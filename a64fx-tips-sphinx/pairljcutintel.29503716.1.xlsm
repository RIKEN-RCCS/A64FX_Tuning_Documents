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home\job\2023\231122\a64fx-tips-result\run.sh.29503716\pairljcutintel.29503716.1.cpupa\"/>
    </mc:Choice>
  </mc:AlternateContent>
  <xr:revisionPtr revIDLastSave="0" documentId="13_ncr:1_{7C056CEB-B751-4A17-BC00-9D2BB3F308A7}"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20" yWindow="-120" windowWidth="29040" windowHeight="157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I39" i="25"/>
  <c r="PH39" i="25"/>
  <c r="PI38" i="25"/>
  <c r="PH38" i="25"/>
  <c r="PI37" i="25"/>
  <c r="PH37" i="25"/>
  <c r="PH36" i="25"/>
  <c r="PI36" i="25"/>
  <c r="PH35" i="25"/>
  <c r="PI35" i="25"/>
  <c r="PH34" i="25"/>
  <c r="PI34" i="25"/>
  <c r="PI33" i="25"/>
  <c r="PH33" i="25"/>
  <c r="PI32" i="25"/>
  <c r="PH32" i="25"/>
  <c r="PI31" i="25"/>
  <c r="PH31" i="25"/>
  <c r="PH30" i="25"/>
  <c r="PI30" i="25"/>
  <c r="PH42" i="25"/>
  <c r="PI42" i="25"/>
  <c r="OT41" i="25"/>
  <c r="OS41" i="25"/>
  <c r="NL41" i="25"/>
  <c r="OT40" i="25"/>
  <c r="NL40" i="25"/>
  <c r="OS40" i="25"/>
  <c r="NL39" i="25"/>
  <c r="OS39" i="25"/>
  <c r="OT39" i="25"/>
  <c r="OS38" i="25"/>
  <c r="NL38" i="25"/>
  <c r="OT38" i="25"/>
  <c r="OT37" i="25"/>
  <c r="NL37" i="25"/>
  <c r="OS37" i="25"/>
  <c r="NL36" i="25"/>
  <c r="OT36" i="25"/>
  <c r="OS36" i="25"/>
  <c r="OT35" i="25"/>
  <c r="NL35" i="25"/>
  <c r="OS35" i="25"/>
  <c r="OT34" i="25"/>
  <c r="OS34" i="25"/>
  <c r="NL34" i="25"/>
  <c r="OT33" i="25"/>
  <c r="NL33" i="25"/>
  <c r="OS33" i="25"/>
  <c r="OT32" i="25"/>
  <c r="NL32" i="25"/>
  <c r="OS32" i="25"/>
  <c r="OS31" i="25"/>
  <c r="OT31" i="25"/>
  <c r="NL31" i="25"/>
  <c r="NL42" i="25"/>
  <c r="OT42" i="25"/>
  <c r="NL30" i="25"/>
  <c r="OT30" i="25"/>
  <c r="OS30" i="25"/>
  <c r="OS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PP41" i="25"/>
  <c r="PW40" i="25"/>
  <c r="PP40" i="25"/>
  <c r="PP39" i="25"/>
  <c r="PW39" i="25"/>
  <c r="PW38" i="25"/>
  <c r="PP38" i="25"/>
  <c r="PW37" i="25"/>
  <c r="PP37" i="25"/>
  <c r="PP36" i="25"/>
  <c r="PW36" i="25"/>
  <c r="PW35" i="25"/>
  <c r="PP35" i="25"/>
  <c r="PP34" i="25"/>
  <c r="PW34" i="25"/>
  <c r="PP33" i="25"/>
  <c r="PW33" i="25"/>
  <c r="PP32" i="25"/>
  <c r="PW32" i="25"/>
  <c r="PW31" i="25"/>
  <c r="PP31" i="25"/>
  <c r="PW30" i="25"/>
  <c r="PP30" i="25"/>
  <c r="NO30" i="25"/>
  <c r="QB32" i="25"/>
  <c r="PG36" i="25"/>
  <c r="PG32" i="25"/>
  <c r="QB37" i="25"/>
  <c r="QB38" i="25"/>
  <c r="NV30" i="25"/>
  <c r="PG37" i="25"/>
  <c r="PG41" i="25"/>
  <c r="QB40" i="25"/>
  <c r="PG33" i="25"/>
  <c r="QB36" i="25"/>
  <c r="PG38" i="25"/>
  <c r="NZ30" i="25"/>
  <c r="PG30" i="25"/>
  <c r="QB33" i="25"/>
  <c r="QB35" i="25"/>
  <c r="QB30" i="25"/>
  <c r="QB31" i="25"/>
  <c r="OH30" i="25"/>
  <c r="PG31" i="25"/>
  <c r="QB41" i="25"/>
  <c r="QB34" i="25"/>
  <c r="QB39" i="25"/>
  <c r="NW30" i="25"/>
  <c r="PT41" i="25"/>
  <c r="PL41" i="25"/>
  <c r="PL40" i="25"/>
  <c r="PT40" i="25"/>
  <c r="PL39" i="25"/>
  <c r="PT39" i="25"/>
  <c r="PT38" i="25"/>
  <c r="PL38" i="25"/>
  <c r="PT37" i="25"/>
  <c r="PL37" i="25"/>
  <c r="PT36" i="25"/>
  <c r="PL36" i="25"/>
  <c r="PL35" i="25"/>
  <c r="PT35" i="25"/>
  <c r="PL34" i="25"/>
  <c r="PT34" i="25"/>
  <c r="PL33" i="25"/>
  <c r="PT33" i="25"/>
  <c r="PL32" i="25"/>
  <c r="PT32" i="25"/>
  <c r="PL31" i="25"/>
  <c r="PT31" i="25"/>
  <c r="PL30" i="25"/>
  <c r="J57" i="9" l="1"/>
  <c r="PF32" i="25"/>
  <c r="K57" i="9" s="1"/>
  <c r="J56" i="9"/>
  <c r="PF31" i="25"/>
  <c r="K56" i="9" s="1"/>
  <c r="J55" i="9"/>
  <c r="PF30" i="25"/>
  <c r="K55" i="9" s="1"/>
  <c r="PE42" i="25"/>
  <c r="L62" i="9"/>
  <c r="L56" i="9"/>
  <c r="L55" i="9"/>
  <c r="L58" i="9"/>
  <c r="L66" i="9"/>
  <c r="L63"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34" i="25"/>
  <c r="PG42" i="25"/>
  <c r="PG40" i="25"/>
  <c r="PG39" i="25"/>
  <c r="L60" i="9" l="1"/>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D40" i="25"/>
  <c r="PC40" i="25"/>
  <c r="PD39" i="25"/>
  <c r="PC39" i="25"/>
  <c r="PC38" i="25"/>
  <c r="PD38" i="25"/>
  <c r="PC37" i="25"/>
  <c r="PD37" i="25"/>
  <c r="PC36" i="25"/>
  <c r="PD36" i="25"/>
  <c r="PD35" i="25"/>
  <c r="PC35" i="25"/>
  <c r="PD34" i="25"/>
  <c r="PC34" i="25"/>
  <c r="PD33" i="25"/>
  <c r="PC33" i="25"/>
  <c r="PC32" i="25"/>
  <c r="PD32" i="25"/>
  <c r="PC31" i="25"/>
  <c r="PD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3" i="25"/>
  <c r="RK52" i="25"/>
  <c r="RK51" i="25"/>
  <c r="RK50" i="25"/>
  <c r="RK49" i="25"/>
  <c r="RK48" i="25"/>
  <c r="RK47" i="25"/>
  <c r="RK46" i="25"/>
  <c r="RK45" i="25"/>
  <c r="NW36" i="25"/>
  <c r="NZ41" i="25"/>
  <c r="OH36" i="25"/>
  <c r="NW40" i="25"/>
  <c r="NV33" i="25"/>
  <c r="NZ37" i="25"/>
  <c r="OH34" i="25"/>
  <c r="NW33" i="25"/>
  <c r="NZ34" i="25"/>
  <c r="NO34" i="25"/>
  <c r="NO35" i="25"/>
  <c r="NZ36" i="25"/>
  <c r="NV31" i="25"/>
  <c r="NZ38" i="25"/>
  <c r="NZ40" i="25"/>
  <c r="NZ32" i="25"/>
  <c r="OH31" i="25"/>
  <c r="OH41" i="25"/>
  <c r="OH39" i="25"/>
  <c r="NW32" i="25"/>
  <c r="OH37" i="25"/>
  <c r="OH33" i="25"/>
  <c r="NZ33" i="25"/>
  <c r="OH35" i="25"/>
  <c r="NV38" i="25"/>
  <c r="NO36" i="25"/>
  <c r="NO31" i="25"/>
  <c r="NO41" i="25"/>
  <c r="NW34" i="25"/>
  <c r="NO32" i="25"/>
  <c r="NW35" i="25"/>
  <c r="NO37" i="25"/>
  <c r="NZ31" i="25"/>
  <c r="NZ35" i="25"/>
  <c r="NV41" i="25"/>
  <c r="NW38" i="25"/>
  <c r="NV39" i="25"/>
  <c r="NV32" i="25"/>
  <c r="NV35" i="25"/>
  <c r="OH40" i="25"/>
  <c r="NV37" i="25"/>
  <c r="NO33" i="25"/>
  <c r="OH38" i="25"/>
  <c r="NO40" i="25"/>
  <c r="NW31" i="25"/>
  <c r="NZ39" i="25"/>
  <c r="NW39" i="25"/>
  <c r="OH32" i="25"/>
  <c r="NO39" i="25"/>
  <c r="NO38" i="25"/>
  <c r="NV36" i="25"/>
  <c r="NV40" i="25"/>
  <c r="NV34" i="25"/>
  <c r="NW41" i="25"/>
  <c r="NW37" i="25"/>
  <c r="RL30" i="25" l="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O100" i="9"/>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M37" i="25"/>
  <c r="QR41" i="25"/>
  <c r="QR40" i="25"/>
  <c r="QR39" i="25"/>
  <c r="QR38" i="25"/>
  <c r="QR37" i="25"/>
  <c r="QR36" i="25"/>
  <c r="QR35" i="25"/>
  <c r="QR34" i="25"/>
  <c r="QR33" i="25"/>
  <c r="QR32" i="25"/>
  <c r="QR31" i="25"/>
  <c r="QR30" i="25"/>
  <c r="QR42"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8" i="25"/>
  <c r="QM41" i="25"/>
  <c r="QM36" i="25"/>
  <c r="QM32" i="25"/>
  <c r="QM30" i="25"/>
  <c r="QM40" i="25"/>
  <c r="QM33" i="25"/>
  <c r="QM31" i="25"/>
  <c r="QM35" i="25"/>
  <c r="QM39" i="25"/>
  <c r="QM34"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<sst xmlns="http://schemas.openxmlformats.org/spreadsheetml/2006/main" count="3577" uniqueCount="2063">
  <si>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</si>
  <si>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</si>
  <si>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</si>
  <si>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</si>
  <si>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</si>
  <si>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</si>
  <si>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</si>
  <si>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</si>
  <si>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</si>
  <si>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</si>
  <si>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</si>
  <si>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</si>
  <si>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</si>
  <si>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</si>
  <si>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</si>
  <si>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</si>
  <si>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</si>
  <si>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</si>
  <si>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</si>
  <si>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</si>
  <si>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</si>
  <si>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</si>
  <si>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</si>
  <si>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</si>
  <si>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</si>
  <si>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</si>
  <si>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</si>
  <si>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</si>
  <si>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</si>
  <si>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</si>
  <si>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</si>
  <si>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</si>
  <si>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</si>
  <si>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</si>
  <si>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</si>
  <si>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</si>
  <si>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</si>
  <si>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</si>
  <si>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</si>
  <si>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</si>
  <si>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</si>
  <si>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</si>
  <si>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</si>
  <si>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</si>
  <si>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</si>
  <si>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</si>
  <si>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</si>
  <si>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</si>
  <si>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</si>
  <si>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</si>
  <si>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</si>
  <si>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</si>
  <si>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</si>
  <si>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</si>
  <si>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</si>
  <si>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</si>
  <si>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</si>
  <si>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</si>
  <si>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</si>
  <si>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</si>
  <si>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</si>
  <si>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</si>
  <si>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</si>
  <si>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</si>
  <si>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</si>
  <si>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</si>
  <si>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</si>
  <si>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</si>
  <si>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</si>
  <si>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</si>
  <si>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</si>
  <si>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</si>
  <si>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</si>
  <si>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</si>
  <si>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</si>
  <si>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</si>
  <si>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</si>
  <si>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</si>
  <si>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</si>
  <si>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</si>
  <si>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</si>
  <si>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</si>
  <si>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</si>
  <si>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</si>
  <si>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</si>
  <si>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</si>
  <si>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</si>
  <si>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</si>
  <si>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</si>
  <si>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</si>
  <si>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</si>
  <si>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</si>
  <si>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</si>
  <si>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</si>
  <si>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</si>
  <si>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</si>
  <si>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</si>
  <si>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</si>
  <si>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</si>
  <si>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</si>
  <si>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</si>
  <si>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</si>
  <si>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</si>
  <si>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</si>
  <si>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</si>
  <si>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</si>
  <si>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</si>
  <si>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</si>
  <si>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</si>
  <si>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</si>
  <si>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</si>
  <si>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</si>
  <si>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</si>
  <si>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</si>
  <si>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</si>
  <si>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</si>
  <si>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</si>
  <si>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</si>
  <si>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</si>
  <si>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</si>
  <si>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</si>
  <si>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</si>
  <si>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</si>
  <si>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</si>
  <si>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</si>
  <si>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</si>
  <si>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</si>
  <si>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</si>
  <si>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</si>
  <si>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</si>
  <si>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</si>
  <si>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</si>
  <si>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</si>
  <si>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</si>
  <si>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</si>
  <si>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</si>
  <si>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</si>
  <si>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</si>
  <si>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</si>
  <si>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</si>
  <si>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</si>
  <si>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</si>
  <si>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</si>
  <si>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</si>
  <si>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</si>
  <si>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</si>
  <si>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</si>
  <si>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</si>
  <si>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</si>
  <si>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</si>
  <si>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</si>
  <si>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</si>
  <si>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</si>
  <si>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</si>
  <si>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</si>
  <si>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</si>
  <si>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</si>
  <si>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</si>
  <si>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</si>
  <si>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</si>
  <si>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</si>
  <si>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</si>
  <si>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</si>
  <si>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</si>
  <si>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</si>
  <si>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</si>
  <si>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</si>
  <si>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</si>
  <si>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</si>
  <si>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</si>
  <si>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</si>
  <si>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</si>
  <si>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</si>
  <si>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</si>
  <si>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</si>
  <si>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</si>
  <si>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</si>
  <si>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</si>
  <si>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</si>
  <si>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</si>
  <si>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</si>
  <si>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</si>
  <si>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</si>
  <si>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</si>
  <si>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</si>
  <si>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</si>
  <si>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</si>
  <si>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</si>
  <si>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</si>
  <si>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</si>
  <si>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</si>
  <si>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</si>
  <si>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</si>
  <si>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</si>
  <si>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</si>
  <si>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</si>
  <si>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</si>
  <si>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</si>
  <si>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</si>
  <si>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</si>
  <si>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</si>
  <si>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</si>
  <si>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</si>
  <si>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</si>
  <si>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</si>
  <si>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</si>
  <si>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</si>
  <si>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</si>
  <si>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</si>
  <si>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</si>
  <si>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</si>
  <si>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</si>
  <si>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</si>
  <si>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</si>
  <si>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</si>
  <si>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</si>
  <si>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</si>
  <si>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</si>
  <si>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</si>
  <si>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</si>
  <si>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</si>
  <si>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</si>
  <si>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</si>
  <si>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</si>
  <si>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</si>
  <si>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</si>
  <si>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</si>
  <si>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</si>
  <si>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</si>
  <si>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</si>
  <si>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</si>
  <si>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</si>
  <si>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</si>
  <si>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</si>
  <si>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</si>
  <si>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</si>
  <si>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</si>
  <si>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</si>
  <si>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</si>
  <si>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</si>
  <si>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</si>
  <si>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</si>
  <si>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</si>
  <si>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</si>
  <si>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</si>
  <si>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</si>
  <si>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</si>
  <si>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</si>
  <si>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</si>
  <si>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</si>
  <si>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</si>
  <si>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</si>
  <si>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</si>
  <si>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</si>
  <si>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</si>
  <si>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</si>
  <si>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</si>
  <si>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</si>
  <si>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</si>
  <si>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</si>
  <si>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</si>
  <si>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</si>
  <si>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</si>
  <si>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</si>
  <si>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</si>
  <si>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</si>
  <si>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</si>
  <si>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</si>
  <si>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</si>
  <si>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</si>
  <si>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</si>
  <si>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</si>
  <si>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</si>
  <si>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</si>
  <si>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</si>
  <si>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</si>
  <si>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</si>
  <si>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</si>
  <si>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</si>
  <si>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</si>
  <si>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</si>
  <si>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</si>
  <si>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</si>
  <si>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</si>
  <si>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</si>
  <si>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</si>
  <si>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</si>
  <si>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</si>
  <si>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</si>
  <si>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</si>
  <si>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</si>
  <si>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</si>
  <si>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</si>
  <si>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</si>
  <si>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</si>
  <si>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</si>
  <si>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</si>
  <si>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</si>
  <si>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</si>
  <si>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</si>
  <si>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</si>
  <si>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</si>
  <si>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</si>
  <si>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</si>
  <si>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</si>
  <si>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</si>
  <si>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</si>
  <si>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</si>
  <si>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</si>
  <si>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</si>
  <si>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</si>
  <si>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</si>
  <si>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</si>
  <si>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</si>
  <si>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</si>
  <si>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</si>
  <si>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</si>
  <si>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</si>
  <si>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</si>
  <si>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</si>
  <si>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</si>
  <si>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</si>
  <si>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</si>
  <si>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</si>
  <si>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</si>
  <si>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</si>
  <si>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</si>
  <si>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</si>
  <si>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</si>
  <si>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</si>
  <si>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</si>
  <si>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</si>
  <si>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</si>
  <si>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</si>
  <si>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</si>
  <si>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</si>
  <si>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</si>
  <si>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</si>
  <si>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</si>
  <si>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</si>
  <si>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</si>
  <si>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</si>
  <si>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</si>
  <si>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</si>
  <si>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</si>
  <si>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</si>
  <si>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</si>
  <si>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</si>
  <si>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</si>
  <si>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</si>
  <si>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</si>
  <si>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</si>
  <si>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</si>
  <si>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</si>
  <si>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</si>
  <si>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</si>
  <si>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</si>
  <si>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</si>
  <si>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</si>
  <si>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</si>
  <si>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</si>
  <si>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</si>
  <si>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</si>
  <si>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</si>
  <si>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</si>
  <si>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</si>
  <si>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</si>
  <si>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</si>
  <si>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</si>
  <si>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</si>
  <si>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</si>
  <si>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</si>
  <si>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</si>
  <si>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</si>
  <si>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</si>
  <si>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</si>
  <si>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</si>
  <si>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</si>
  <si>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</si>
  <si>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</si>
  <si>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</si>
  <si>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</si>
  <si>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</si>
  <si>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</si>
  <si>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</si>
  <si>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</si>
  <si>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</si>
  <si>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</si>
  <si>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</si>
  <si>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</si>
  <si>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</si>
  <si>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</si>
  <si>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</si>
  <si>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</si>
  <si>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</si>
  <si>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</si>
  <si>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</si>
  <si>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</si>
  <si>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</si>
  <si>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</si>
  <si>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</si>
  <si>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</si>
  <si>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</si>
  <si>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</si>
  <si>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</si>
  <si>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</si>
  <si>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</si>
  <si>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</si>
  <si>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</si>
  <si>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</si>
  <si>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</si>
  <si>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</si>
  <si>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</si>
  <si>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</si>
  <si>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</si>
  <si>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</si>
  <si>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</si>
  <si>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</si>
  <si>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</si>
  <si>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</si>
  <si>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</si>
  <si>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</si>
  <si>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</si>
  <si>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</si>
  <si>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</si>
  <si>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</si>
  <si>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</si>
  <si>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</si>
  <si>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</si>
  <si>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</si>
  <si>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</si>
  <si>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</si>
  <si>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</si>
  <si>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</si>
  <si>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</si>
  <si>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</si>
  <si>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</si>
  <si>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</si>
  <si>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</si>
  <si>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</si>
  <si>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</si>
  <si>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</si>
  <si>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</si>
  <si>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</si>
  <si>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</si>
  <si>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</si>
  <si>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</si>
  <si>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</si>
  <si>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</si>
  <si>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</si>
  <si>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</si>
  <si>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</si>
  <si>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</si>
  <si>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</si>
  <si>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</si>
  <si>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</si>
  <si>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</si>
  <si>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</si>
  <si>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</si>
  <si>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</si>
  <si>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</si>
  <si>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</si>
  <si>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</si>
  <si>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</si>
  <si>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</si>
  <si>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</si>
  <si>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</si>
  <si>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</si>
  <si>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</si>
  <si>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</si>
  <si>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</si>
  <si>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</si>
  <si>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</si>
  <si>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</si>
  <si>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</si>
  <si>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</si>
  <si>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</si>
  <si>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</si>
  <si>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</si>
  <si>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</si>
  <si>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</si>
  <si>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</si>
  <si>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</si>
  <si>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</si>
  <si>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</si>
  <si>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</si>
  <si>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</si>
  <si>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</si>
  <si>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</si>
  <si>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</si>
  <si>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</si>
  <si>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</si>
  <si>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</si>
  <si>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</si>
  <si>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</si>
  <si>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</si>
  <si>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</si>
  <si>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</si>
  <si>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</si>
  <si>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</si>
  <si>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</si>
  <si>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</si>
  <si>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</si>
  <si>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</si>
  <si>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</si>
  <si>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</si>
  <si>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</si>
  <si>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</si>
  <si>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</si>
  <si>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</si>
  <si>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</si>
  <si>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</si>
  <si>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</si>
  <si>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</si>
  <si>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</si>
  <si>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</si>
  <si>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</si>
  <si>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</si>
  <si>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</si>
  <si>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</si>
  <si>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</si>
  <si>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</si>
  <si>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</si>
  <si>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</si>
  <si>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</si>
  <si>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</si>
  <si>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</si>
  <si>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</si>
  <si>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</si>
  <si>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</si>
  <si>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</si>
  <si>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</si>
  <si>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</si>
  <si>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</si>
  <si>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</si>
  <si>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</si>
  <si>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</si>
  <si>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</si>
  <si>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</si>
  <si>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</si>
  <si>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</si>
  <si>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</si>
  <si>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</si>
  <si>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</si>
  <si>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</si>
  <si>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</si>
  <si>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</si>
  <si>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</si>
  <si>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</si>
  <si>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</si>
  <si>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</si>
  <si>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</si>
  <si>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</si>
  <si>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</si>
  <si>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</si>
  <si>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</si>
  <si>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</si>
  <si>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</si>
  <si>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</si>
  <si>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</si>
  <si>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</si>
  <si>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</si>
  <si>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</si>
  <si>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</si>
  <si>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</si>
  <si>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</si>
  <si>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</si>
  <si>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</si>
  <si>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</si>
  <si>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</si>
  <si>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</si>
  <si>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</si>
  <si>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</si>
  <si>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</si>
  <si>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</si>
  <si>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</si>
  <si>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</si>
  <si>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</si>
  <si>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</si>
  <si>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</si>
  <si>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</si>
  <si>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</si>
  <si>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</si>
  <si>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</si>
  <si>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</si>
  <si>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</si>
  <si>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</si>
  <si>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</si>
  <si>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</si>
  <si>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</si>
  <si>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</si>
  <si>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</si>
  <si>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</si>
  <si>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</si>
  <si>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</si>
  <si>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</si>
  <si>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</si>
  <si>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</si>
  <si>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</si>
  <si>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</si>
  <si>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</si>
  <si>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</si>
  <si>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</si>
  <si>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</si>
  <si>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</si>
  <si>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</si>
  <si>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</si>
  <si>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</si>
  <si>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</si>
  <si>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</si>
  <si>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</si>
  <si>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</si>
  <si>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</si>
  <si>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</si>
  <si>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</si>
  <si>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</si>
  <si>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</si>
  <si>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</si>
  <si>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</si>
  <si>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</si>
  <si>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</si>
  <si>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</si>
  <si>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</si>
  <si>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</si>
  <si>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</si>
  <si>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</si>
  <si>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</si>
  <si>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</si>
  <si>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</si>
  <si>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</si>
  <si>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</si>
  <si>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</si>
  <si>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</si>
  <si>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</si>
  <si>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</si>
  <si>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</si>
  <si>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</si>
  <si>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</si>
  <si>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</si>
  <si>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</si>
  <si>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</si>
  <si>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</si>
  <si>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</si>
  <si>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</si>
  <si>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</si>
  <si>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</si>
  <si>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</si>
  <si>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</si>
  <si>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</si>
  <si>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</si>
  <si>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</si>
  <si>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</si>
  <si>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</si>
  <si>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</si>
  <si>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</si>
  <si>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</si>
  <si>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</si>
  <si>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</si>
  <si>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</si>
  <si>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</si>
  <si>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</si>
  <si>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</si>
  <si>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</si>
  <si>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</si>
  <si>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</si>
  <si>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</si>
  <si>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</si>
  <si>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</si>
  <si>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</si>
  <si>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</si>
  <si>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</si>
  <si>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</si>
  <si>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</si>
  <si>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</si>
  <si>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</si>
  <si>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</si>
  <si>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</si>
  <si>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</si>
  <si>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</si>
  <si>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</si>
  <si>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</si>
  <si>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</si>
  <si>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</si>
  <si>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</si>
  <si>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</si>
  <si>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</si>
  <si>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</si>
  <si>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</si>
  <si>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</si>
  <si>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</si>
  <si>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</si>
  <si>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</si>
  <si>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</si>
  <si>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</si>
  <si>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</si>
  <si>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</si>
  <si>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</si>
  <si>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</si>
  <si>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</si>
  <si>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</si>
  <si>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</si>
  <si>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</si>
  <si>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</si>
  <si>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</si>
  <si>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</si>
  <si>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</si>
  <si>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</si>
  <si>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</si>
  <si>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</si>
  <si>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</si>
  <si>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</si>
  <si>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</si>
  <si>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</si>
  <si>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</si>
  <si>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</si>
  <si>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</si>
  <si>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</si>
  <si>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</si>
  <si>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</si>
  <si>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</si>
  <si>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</si>
  <si>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</si>
  <si>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</si>
  <si>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</si>
  <si>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</si>
  <si>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</si>
  <si>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</si>
  <si>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</si>
  <si>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</si>
  <si>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</si>
  <si>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</si>
  <si>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</si>
  <si>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</si>
  <si>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</si>
  <si>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</si>
  <si>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</si>
  <si>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</si>
  <si>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</si>
  <si>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</si>
  <si>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</si>
  <si>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</si>
  <si>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</si>
  <si>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</si>
  <si>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</si>
  <si>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</si>
  <si>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</si>
  <si>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</si>
  <si>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</si>
  <si>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</si>
  <si>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</si>
  <si>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</si>
  <si>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</si>
  <si>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</si>
  <si>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</si>
  <si>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</si>
  <si>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</si>
  <si>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</si>
  <si>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</si>
  <si>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</si>
  <si>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</si>
  <si>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</si>
  <si>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</si>
  <si>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</si>
  <si>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</si>
  <si>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</si>
  <si>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</si>
  <si>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</si>
  <si>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</si>
  <si>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</si>
  <si>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</si>
  <si>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</si>
  <si>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</si>
  <si>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</si>
  <si>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</si>
  <si>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</si>
  <si>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</si>
  <si>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</si>
  <si>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</si>
  <si>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</si>
  <si>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</si>
  <si>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</si>
  <si>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</si>
  <si>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</si>
  <si>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</si>
  <si>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</si>
  <si>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</si>
  <si>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</si>
  <si>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</si>
  <si>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</si>
  <si>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</si>
  <si>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</si>
  <si>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</si>
  <si>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</si>
  <si>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</si>
  <si>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</si>
  <si>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</si>
  <si>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</si>
  <si>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</si>
  <si>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</si>
  <si>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</si>
  <si>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</si>
  <si>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</si>
  <si>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</si>
  <si>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</si>
  <si>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</si>
  <si>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</si>
  <si>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</si>
  <si>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</si>
  <si>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</si>
  <si>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</si>
  <si>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</si>
  <si>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</si>
  <si>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</si>
  <si>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</si>
  <si>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</si>
  <si>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</si>
  <si>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</si>
  <si>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</si>
  <si>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</si>
  <si>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</si>
  <si>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</si>
  <si>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</si>
  <si>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</si>
  <si>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</si>
  <si>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</si>
  <si>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</si>
  <si>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</si>
  <si>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</si>
  <si>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</si>
  <si>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</si>
  <si>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</si>
  <si>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</si>
  <si>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</si>
  <si>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</si>
  <si>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</si>
  <si>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</si>
  <si>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</si>
  <si>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</si>
  <si>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</si>
  <si>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</si>
  <si>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</si>
  <si>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</si>
  <si>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</si>
  <si>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</si>
  <si>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</si>
  <si>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</si>
  <si>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</si>
  <si>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</si>
  <si>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</si>
  <si>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</si>
  <si>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</si>
  <si>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</si>
  <si>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</si>
  <si>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</si>
  <si>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</si>
  <si>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</si>
  <si>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</si>
  <si>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</si>
  <si>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</si>
  <si>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</si>
  <si>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</si>
  <si>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</si>
  <si>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</si>
  <si>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</si>
  <si>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</si>
  <si>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</si>
  <si>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</si>
  <si>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</si>
  <si>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</si>
  <si>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</si>
  <si>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</si>
  <si>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</si>
  <si>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</si>
  <si>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</si>
  <si>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</si>
  <si>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</si>
  <si>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</si>
  <si>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</si>
  <si>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</si>
  <si>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</si>
  <si>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</si>
  <si>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</si>
  <si>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</si>
  <si>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</si>
  <si>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</si>
  <si>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</si>
  <si>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</si>
  <si>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</si>
  <si>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</si>
  <si>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</si>
  <si>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</si>
  <si>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</si>
  <si>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</si>
  <si>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</si>
  <si>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</si>
  <si>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</si>
  <si>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</si>
  <si>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</si>
  <si>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</si>
  <si>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</si>
  <si>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</si>
  <si>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</si>
  <si>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</si>
  <si>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</si>
  <si>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</si>
  <si>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</si>
  <si>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</si>
  <si>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</si>
  <si>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</si>
  <si>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</si>
  <si>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</si>
  <si>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</si>
  <si>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</si>
  <si>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</si>
  <si>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</si>
  <si>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</si>
  <si>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</si>
  <si>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</si>
  <si>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</si>
  <si>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</si>
  <si>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</si>
  <si>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</si>
  <si>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</si>
  <si>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</si>
  <si>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</si>
  <si>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</si>
  <si>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</si>
  <si>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</si>
  <si>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</si>
  <si>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</si>
  <si>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</si>
  <si>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</si>
  <si>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</si>
  <si>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</si>
  <si>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</si>
  <si>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</si>
  <si>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</si>
  <si>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</si>
  <si>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</si>
  <si>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</si>
  <si>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</si>
  <si>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</si>
  <si>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</si>
  <si>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</si>
  <si>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</si>
  <si>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</si>
  <si>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</si>
  <si>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</si>
  <si>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</si>
  <si>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</si>
  <si>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</si>
  <si>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</si>
  <si>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</si>
  <si>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</si>
  <si>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</si>
  <si>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</si>
  <si>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</si>
  <si>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</si>
  <si>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</si>
  <si>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</si>
  <si>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</si>
  <si>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</si>
  <si>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</si>
  <si>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</si>
  <si>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</si>
  <si>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</si>
  <si>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</si>
  <si>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</si>
  <si>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</si>
  <si>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</si>
  <si>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</si>
  <si>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</si>
  <si>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</si>
  <si>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</si>
  <si>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</si>
  <si>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</si>
  <si>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</si>
  <si>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</si>
  <si>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</si>
  <si>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</si>
  <si>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</si>
  <si>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</si>
  <si>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</si>
  <si>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</si>
  <si>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</si>
  <si>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</si>
  <si>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</si>
  <si>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</si>
  <si>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</si>
  <si>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</si>
  <si>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</si>
  <si>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</si>
  <si>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</si>
  <si>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</si>
  <si>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</si>
  <si>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</si>
  <si>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</si>
  <si>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</si>
  <si>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</si>
  <si>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</si>
  <si>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</si>
  <si>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</si>
  <si>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</si>
  <si>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</si>
  <si>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</si>
  <si>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</si>
  <si>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</si>
  <si>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</si>
  <si>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</si>
  <si>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</si>
  <si>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</si>
  <si>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</si>
  <si>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</si>
  <si>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</si>
  <si>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</si>
  <si>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</si>
  <si>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</si>
  <si>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</si>
  <si>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</si>
  <si>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</si>
  <si>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</si>
  <si>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</si>
  <si>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</si>
  <si>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</si>
  <si>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</si>
  <si>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</si>
  <si>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</si>
  <si>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</si>
  <si>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</si>
  <si>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</si>
  <si>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</si>
  <si>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</si>
  <si>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</si>
  <si>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</si>
  <si>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</si>
  <si>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</si>
  <si>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</si>
  <si>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</si>
  <si>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</si>
  <si>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</si>
  <si>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</si>
  <si>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</si>
  <si>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</si>
  <si>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</si>
  <si>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</si>
  <si>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</si>
  <si>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</si>
  <si>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</si>
  <si>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</si>
  <si>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</si>
  <si>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</si>
  <si>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</si>
  <si>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</si>
  <si>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</si>
  <si>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</si>
  <si>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</si>
  <si>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</si>
  <si>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</si>
  <si>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</si>
  <si>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</si>
  <si>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</si>
  <si>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</si>
  <si>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</si>
  <si>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</si>
  <si>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</si>
  <si>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</si>
  <si>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</si>
  <si>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</si>
  <si>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</si>
  <si>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</si>
  <si>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</si>
  <si>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</si>
  <si>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</si>
  <si>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</si>
  <si>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</si>
  <si>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</si>
  <si>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</si>
  <si>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</si>
  <si>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</si>
  <si>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</si>
  <si>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</si>
  <si>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</si>
  <si>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</si>
  <si>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</si>
  <si>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</si>
  <si>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</si>
  <si>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</si>
  <si>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</si>
  <si>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</si>
  <si>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</si>
  <si>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</si>
  <si>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</si>
  <si>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</si>
  <si>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</si>
  <si>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</si>
  <si>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</si>
  <si>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</si>
  <si>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</si>
  <si>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</si>
  <si>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</si>
  <si>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</si>
  <si>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</si>
  <si>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</si>
  <si>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</si>
  <si>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</si>
  <si>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</si>
  <si>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</si>
  <si>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</si>
  <si>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</si>
  <si>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</si>
  <si>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</si>
  <si>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</si>
  <si>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</si>
  <si>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</si>
  <si>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</si>
  <si>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</si>
  <si>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</si>
  <si>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</si>
  <si>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</si>
  <si>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</si>
  <si>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</si>
  <si>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</si>
  <si>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</si>
  <si>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</si>
  <si>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</si>
  <si>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</si>
  <si>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</si>
  <si>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</si>
  <si>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</si>
  <si>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</si>
  <si>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</si>
  <si>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</si>
  <si>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</si>
  <si>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</si>
  <si>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</si>
  <si>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</si>
  <si>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</si>
  <si>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</si>
  <si>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</si>
  <si>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</si>
  <si>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</si>
  <si>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</si>
  <si>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</si>
  <si>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</si>
  <si>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</si>
  <si>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</si>
  <si>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</si>
  <si>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</si>
  <si>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</si>
  <si>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</si>
  <si>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</si>
  <si>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</si>
  <si>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</si>
  <si>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</si>
  <si>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</si>
  <si>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</si>
  <si>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</si>
  <si>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</si>
  <si>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</si>
  <si>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</si>
  <si>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</si>
  <si>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</si>
  <si>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</si>
  <si>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</si>
  <si>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</si>
  <si>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</si>
  <si>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</si>
  <si>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</si>
  <si>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</si>
  <si>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</si>
  <si>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</si>
  <si>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</si>
  <si>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</si>
  <si>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</si>
  <si>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</si>
  <si>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</si>
  <si>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</si>
  <si>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</si>
  <si>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</si>
  <si>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</si>
  <si>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</si>
  <si>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</si>
  <si>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</si>
  <si>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</si>
  <si>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</si>
  <si>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</si>
  <si>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</si>
  <si>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</si>
  <si>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</si>
  <si>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</si>
  <si>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</si>
  <si>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</si>
  <si>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</si>
  <si>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</si>
  <si>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</si>
  <si>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</si>
  <si>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</si>
  <si>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</si>
  <si>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</si>
  <si>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</si>
  <si>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</si>
  <si>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</si>
  <si>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</si>
  <si>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</si>
  <si>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</si>
  <si>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</si>
  <si>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</si>
  <si>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</si>
  <si>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</si>
  <si>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</si>
  <si>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</si>
  <si>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</si>
  <si>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</si>
  <si>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</si>
  <si>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</si>
  <si>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</si>
  <si>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</si>
  <si>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</si>
  <si>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</si>
  <si>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</si>
  <si>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</si>
  <si>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</si>
  <si>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</si>
  <si>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</si>
  <si>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</si>
  <si>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</si>
  <si>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</si>
  <si>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</si>
  <si>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</si>
  <si>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</si>
  <si>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</si>
  <si>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</si>
  <si>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</si>
  <si>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</si>
  <si>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</si>
  <si>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</si>
  <si>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</si>
  <si>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</si>
  <si>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</si>
  <si>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</si>
  <si>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</si>
  <si>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</si>
  <si>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</si>
  <si>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</si>
  <si>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</si>
  <si>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</si>
  <si>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</si>
  <si>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</si>
  <si>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</si>
  <si>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</si>
  <si>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</si>
  <si>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</si>
  <si>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</si>
  <si>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</si>
  <si>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</si>
  <si>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</si>
  <si>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</si>
  <si>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</si>
  <si>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</si>
  <si>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</si>
  <si>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</si>
  <si>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</si>
  <si>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</si>
  <si>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</si>
  <si>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</si>
  <si>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</si>
  <si>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</si>
  <si>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</si>
  <si>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</si>
  <si>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</si>
  <si>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</si>
  <si>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</si>
  <si>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</si>
  <si>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</si>
  <si>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</si>
  <si>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</si>
  <si>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</si>
  <si>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</si>
  <si>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</si>
  <si>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</si>
  <si>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</si>
  <si>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</si>
  <si>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</si>
  <si>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</si>
  <si>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</si>
  <si>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</si>
  <si>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</si>
  <si>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</si>
  <si>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</si>
  <si>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</si>
  <si>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</si>
  <si>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</si>
  <si>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</si>
  <si>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</si>
  <si>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</si>
  <si>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</si>
  <si>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</si>
  <si>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</si>
  <si>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</si>
  <si>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</si>
  <si>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</si>
  <si>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</si>
  <si>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</si>
  <si>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</si>
  <si>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</si>
  <si>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</si>
  <si>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</si>
  <si>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</si>
  <si>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</si>
  <si>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</si>
  <si>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</si>
  <si>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</si>
  <si>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</si>
  <si>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</si>
  <si>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</si>
  <si>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</si>
  <si>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</si>
  <si>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</si>
  <si>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</si>
  <si>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</si>
  <si>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</si>
  <si>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</si>
  <si>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</si>
  <si>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</si>
  <si>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</si>
  <si>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</si>
  <si>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</si>
  <si>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</si>
  <si>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</si>
  <si>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</si>
  <si>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</si>
  <si>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</si>
  <si>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</si>
  <si>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</si>
  <si>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</si>
  <si>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</si>
  <si>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</si>
  <si>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</si>
  <si>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</si>
  <si>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</si>
  <si>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</si>
  <si>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</si>
  <si>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</si>
  <si>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</si>
  <si>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</si>
  <si>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</si>
  <si>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</si>
  <si>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</si>
  <si>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</si>
  <si>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</si>
  <si>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</si>
  <si>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</si>
  <si>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</si>
  <si>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</si>
  <si>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</si>
  <si>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</si>
  <si>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</si>
  <si>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</si>
  <si>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</si>
  <si>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</si>
  <si>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</si>
  <si>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</si>
  <si>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</si>
  <si>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</si>
  <si>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</si>
  <si>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</si>
  <si>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</si>
  <si>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</si>
  <si>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</si>
  <si>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</si>
  <si>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</si>
  <si>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</si>
  <si>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</si>
  <si>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</si>
  <si>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</si>
  <si>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</si>
  <si>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</si>
  <si>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</si>
  <si>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</si>
  <si>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</si>
  <si>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</si>
  <si>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</si>
  <si>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</si>
  <si>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</si>
  <si>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</si>
  <si>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</si>
  <si>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</si>
  <si>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</si>
  <si>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</si>
  <si>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</si>
  <si>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</si>
  <si>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</si>
  <si>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</si>
  <si>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</si>
  <si>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</si>
  <si>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</si>
  <si>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</si>
  <si>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</si>
  <si>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</si>
  <si>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</si>
  <si>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</si>
  <si>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</si>
  <si>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</si>
  <si>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</si>
  <si>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</si>
  <si>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</si>
  <si>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</si>
  <si>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</si>
  <si>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</si>
  <si>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</si>
  <si>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</si>
  <si>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</si>
  <si>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</si>
  <si>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</si>
  <si>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</si>
  <si>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</si>
  <si>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</si>
  <si>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</si>
  <si>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</si>
  <si>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</si>
  <si>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</si>
  <si>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</si>
  <si>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</si>
  <si>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</si>
  <si>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</si>
  <si>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</si>
  <si>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</si>
  <si>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</si>
  <si>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</si>
  <si>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</si>
  <si>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</si>
  <si>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</si>
  <si>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</si>
  <si>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</si>
  <si>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</si>
  <si>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</si>
  <si>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</si>
  <si>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</si>
  <si>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</si>
  <si>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</si>
  <si>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</si>
  <si>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</si>
  <si>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</si>
  <si>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</si>
  <si>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</si>
  <si>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</si>
  <si>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</si>
  <si>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</si>
  <si>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</si>
  <si>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</si>
  <si>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</si>
  <si>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</si>
  <si>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</si>
  <si>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</si>
  <si>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</si>
  <si>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</si>
  <si>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</si>
  <si>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</si>
  <si>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</si>
  <si>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</si>
  <si>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</si>
  <si>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</si>
  <si>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</si>
  <si>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</si>
  <si>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</si>
  <si>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</si>
  <si>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</si>
  <si>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</si>
  <si>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</si>
  <si>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</si>
  <si>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</si>
  <si>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</si>
  <si>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</si>
  <si>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</si>
  <si>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</si>
  <si>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</si>
  <si>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</si>
  <si>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</si>
  <si>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</si>
  <si>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</si>
  <si>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</si>
  <si>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</si>
  <si>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</si>
  <si>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</si>
  <si>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</si>
  <si>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</si>
  <si>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</si>
  <si>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</si>
  <si>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</si>
  <si>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</si>
  <si>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</si>
  <si>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</si>
  <si>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</si>
  <si>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</si>
  <si>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</si>
  <si>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</si>
  <si>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</si>
  <si>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</si>
  <si>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</si>
  <si>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</si>
  <si>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</si>
  <si>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</si>
  <si>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</si>
  <si>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</si>
  <si>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</si>
  <si>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</si>
  <si>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</si>
  <si>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</si>
  <si>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</si>
  <si>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</si>
  <si>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</si>
  <si>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</si>
  <si>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</si>
  <si>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</si>
  <si>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</si>
  <si>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</si>
  <si>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</si>
  <si>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</si>
  <si>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</si>
  <si>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</si>
  <si>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</si>
  <si>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</si>
  <si>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</si>
  <si>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</si>
  <si>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</si>
  <si>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</si>
  <si>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</si>
  <si>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</si>
  <si>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</si>
  <si>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</si>
  <si>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</si>
  <si>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</si>
  <si>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</si>
  <si>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</si>
  <si>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</si>
  <si>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</si>
  <si>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</si>
  <si>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</si>
  <si>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</si>
  <si>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</si>
  <si>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</si>
  <si>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</si>
  <si>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</si>
  <si>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</si>
  <si>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</si>
  <si>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</si>
  <si>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</si>
  <si>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</si>
  <si>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</si>
  <si>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</si>
  <si>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</si>
  <si>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</si>
  <si>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</si>
  <si>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</si>
  <si>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</si>
  <si>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</si>
  <si>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</si>
  <si>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</si>
  <si>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</si>
  <si>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</si>
  <si>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</si>
  <si>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</si>
  <si>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</si>
  <si>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</si>
  <si>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</si>
  <si>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</si>
  <si>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</si>
  <si>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</si>
  <si>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</si>
  <si>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</si>
  <si>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</si>
  <si>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</si>
  <si>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</si>
  <si>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</si>
  <si>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</si>
  <si>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</si>
  <si>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</si>
  <si>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</si>
  <si>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</si>
  <si>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</si>
  <si>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</si>
  <si>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</si>
  <si>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</si>
  <si>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</si>
  <si>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</si>
  <si>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</si>
  <si>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</si>
  <si>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</si>
  <si>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</si>
  <si>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</si>
  <si>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</si>
  <si>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</si>
  <si>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</si>
  <si>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</si>
  <si>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</si>
  <si>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</si>
  <si>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</si>
  <si>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</si>
  <si>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</si>
  <si>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</si>
  <si>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</si>
  <si>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</si>
  <si>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</si>
  <si>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</si>
  <si>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</si>
  <si>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</si>
  <si>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</si>
  <si>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</si>
  <si>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</si>
  <si>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</si>
  <si>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</si>
  <si>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</si>
  <si>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</si>
  <si>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</si>
  <si>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</si>
  <si>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</si>
  <si>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</si>
  <si>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</si>
  <si>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</si>
  <si>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</si>
  <si>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</si>
  <si>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</si>
  <si>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</si>
  <si>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</si>
  <si>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</si>
  <si>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</si>
  <si>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</si>
  <si>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</si>
  <si>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</si>
  <si>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</si>
  <si>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</si>
  <si>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</si>
  <si>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</si>
  <si>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</si>
  <si>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</si>
  <si>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</si>
  <si>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</si>
  <si>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</si>
  <si>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</si>
  <si>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</si>
  <si>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</si>
  <si>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</si>
  <si>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</si>
  <si>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</si>
  <si>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</si>
  <si>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</si>
  <si>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</si>
  <si>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</si>
  <si>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</si>
  <si>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</si>
  <si>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</si>
  <si>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</si>
  <si>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</si>
  <si>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</si>
  <si>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</si>
  <si>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</si>
  <si>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</si>
  <si>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</si>
  <si>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</si>
  <si>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</si>
  <si>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</si>
  <si>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</si>
  <si>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</si>
  <si>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</si>
  <si>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</si>
  <si>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</si>
  <si>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</si>
  <si>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</si>
  <si>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</si>
  <si>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</si>
  <si>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</si>
  <si>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</si>
  <si>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</si>
  <si>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</si>
  <si>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</si>
  <si>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</si>
  <si>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</si>
  <si>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</si>
  <si>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</si>
  <si>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</si>
  <si>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</si>
  <si>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</si>
  <si>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</si>
  <si>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</si>
  <si>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</si>
  <si>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</si>
  <si>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</si>
  <si>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</si>
  <si>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</si>
  <si>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</si>
  <si>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</si>
  <si>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</si>
  <si>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</si>
  <si>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</si>
  <si>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</si>
  <si>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</si>
  <si>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</si>
  <si>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</si>
  <si>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</si>
  <si>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</si>
  <si>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</si>
  <si>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</si>
  <si>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</si>
  <si>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</si>
  <si>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</si>
  <si>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</si>
  <si>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</si>
  <si>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</si>
  <si>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</si>
  <si>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</si>
  <si>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</si>
  <si>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</si>
  <si>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</si>
  <si>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</si>
  <si>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</si>
  <si>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</si>
  <si>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</si>
  <si>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</si>
  <si>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</si>
  <si>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</si>
  <si>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</si>
  <si>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</si>
  <si>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</si>
  <si>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</si>
  <si>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</si>
  <si>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</si>
  <si>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</si>
  <si>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</si>
  <si>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</si>
  <si>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</si>
  <si>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</si>
  <si>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</si>
  <si>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</si>
  <si>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</si>
  <si>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</si>
  <si>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</si>
  <si>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</si>
  <si>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</si>
  <si>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</si>
  <si>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</si>
  <si>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</si>
  <si>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</si>
  <si>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</si>
  <si>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</si>
  <si>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</si>
  <si>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</si>
  <si>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</si>
  <si>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</si>
  <si>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</si>
  <si>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</si>
  <si>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</si>
  <si>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</si>
  <si>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</si>
  <si>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</si>
  <si>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</si>
  <si>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</si>
  <si>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</si>
  <si>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</si>
  <si>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</si>
  <si>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</si>
  <si>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</si>
  <si>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</si>
  <si>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</si>
  <si>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</si>
  <si>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</si>
  <si>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</si>
  <si>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</si>
  <si>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</si>
  <si>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</si>
  <si>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</si>
  <si>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</si>
  <si>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</si>
  <si>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</si>
  <si>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</si>
  <si>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</si>
  <si>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</si>
  <si>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</si>
  <si>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</si>
  <si>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</si>
  <si>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</si>
  <si>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</si>
  <si>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</si>
  <si>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</si>
  <si>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</si>
  <si>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</si>
  <si>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</si>
  <si>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</si>
  <si>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</si>
  <si>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</si>
  <si>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</si>
  <si>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</si>
  <si>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</si>
  <si>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</si>
  <si>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</si>
  <si>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</si>
  <si>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</si>
  <si>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</si>
  <si>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</si>
  <si>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</si>
  <si>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</si>
  <si>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</si>
  <si>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</si>
  <si>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</si>
  <si>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</si>
  <si>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</si>
  <si>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</si>
  <si>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</si>
  <si>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</si>
  <si>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</si>
  <si>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</si>
  <si>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</si>
  <si>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</si>
  <si>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</si>
  <si>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</si>
  <si>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</si>
  <si>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</si>
  <si>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</si>
  <si>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</si>
  <si>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</si>
  <si>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</si>
  <si>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</si>
  <si>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</si>
  <si>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</si>
  <si>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</si>
  <si>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</si>
  <si>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</si>
  <si>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</si>
  <si>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</si>
  <si>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</si>
  <si>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</si>
  <si>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</si>
  <si>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</si>
  <si>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</si>
  <si>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</si>
  <si>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</si>
  <si>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</si>
  <si>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</si>
  <si>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</si>
  <si>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</si>
  <si>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</si>
  <si>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</si>
  <si>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</si>
  <si>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</si>
  <si>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</si>
  <si>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</si>
  <si>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</si>
  <si>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</si>
  <si>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</si>
  <si>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</si>
  <si>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</si>
  <si>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</si>
  <si>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</si>
  <si>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</si>
  <si>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</si>
  <si>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</si>
  <si>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</si>
  <si>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</si>
  <si>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</si>
  <si>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</si>
  <si>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</si>
  <si>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</si>
  <si>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</si>
  <si>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</si>
  <si>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</si>
  <si>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</si>
  <si>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</si>
  <si>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</si>
  <si>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</si>
  <si>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</si>
  <si>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</si>
  <si>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</si>
  <si>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</si>
  <si>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</si>
  <si>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</si>
  <si>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</si>
  <si>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</si>
  <si>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</si>
  <si>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</si>
  <si>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</si>
  <si>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</si>
  <si>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</si>
  <si>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</si>
  <si>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</si>
  <si>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</si>
  <si>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</si>
  <si>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</si>
  <si>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</si>
  <si>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</si>
  <si>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</si>
  <si>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</si>
  <si>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</si>
  <si>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</si>
  <si>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</si>
  <si>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</si>
  <si>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</si>
  <si>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</si>
  <si>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</si>
  <si>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</si>
  <si>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</si>
  <si>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</si>
  <si>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</si>
  <si>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</si>
  <si>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</si>
  <si>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</si>
  <si>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</si>
  <si>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</si>
  <si>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</si>
  <si>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</si>
  <si>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</si>
  <si>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</si>
  <si>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</si>
  <si>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</si>
  <si>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</si>
  <si>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</si>
  <si>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</si>
  <si>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</si>
  <si>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</si>
  <si>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</si>
  <si>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</si>
  <si>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</si>
  <si>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</si>
  <si>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</si>
  <si>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</si>
  <si>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</si>
  <si>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</si>
  <si>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</si>
  <si>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</si>
  <si>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</si>
  <si>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</si>
  <si>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</si>
  <si>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</si>
  <si>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</si>
  <si>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</si>
  <si>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</si>
  <si>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</si>
  <si>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</si>
  <si>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</si>
  <si>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</si>
  <si>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</si>
  <si>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</si>
  <si>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</si>
  <si>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</si>
  <si>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</si>
  <si>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</si>
  <si>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</si>
  <si>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</si>
  <si>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</si>
  <si>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</si>
  <si>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</si>
  <si>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</si>
  <si>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</si>
  <si>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</si>
  <si>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</si>
  <si>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</si>
  <si>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</si>
  <si>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</si>
  <si>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</si>
  <si>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</si>
  <si>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Nov 22 12:19:21 2023</t>
  </si>
  <si>
    <t>h34-5001c</t>
  </si>
  <si>
    <t>pairljcutintel, 1</t>
  </si>
  <si>
    <t>LABEL-FAPP-cpupa</t>
  </si>
  <si>
    <t>Level</t>
  </si>
  <si>
    <t>Spawn</t>
  </si>
  <si>
    <t>Thread</t>
  </si>
  <si>
    <t>Region_name</t>
  </si>
  <si>
    <t>Region_number</t>
  </si>
  <si>
    <t>Call</t>
  </si>
  <si>
    <t>CNTVCT</t>
  </si>
  <si>
    <t>PMCCNTR</t>
  </si>
  <si>
    <t>0x0017</t>
  </si>
  <si>
    <t>0x0018</t>
  </si>
  <si>
    <t>0x0325</t>
  </si>
  <si>
    <t>0x0326</t>
  </si>
  <si>
    <t>FAPP-cpupa</t>
  </si>
  <si>
    <t>pairljcutintel</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</si>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</sst>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0.28427615063257505</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4.1403186735189598E-2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0.38283888824784751</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22.964803582823993</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2.3714441363485905</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7.4585308091566063</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1.5786846451142425E-4</c:v>
                </c:pt>
                <c:pt idx="2">
                  <c:v>1.5444544503685786E-4</c:v>
                </c:pt>
                <c:pt idx="3">
                  <c:v>1.6835282440187899E-4</c:v>
                </c:pt>
                <c:pt idx="4">
                  <c:v>1.6490453266555479E-4</c:v>
                </c:pt>
                <c:pt idx="5">
                  <c:v>1.5912718735018935E-4</c:v>
                </c:pt>
                <c:pt idx="6">
                  <c:v>1.6147850932302893E-4</c:v>
                </c:pt>
                <c:pt idx="7">
                  <c:v>6.9692797674958512E-5</c:v>
                </c:pt>
                <c:pt idx="8">
                  <c:v>6.6356116977857522E-5</c:v>
                </c:pt>
                <c:pt idx="9">
                  <c:v>1.2158373155490833E-4</c:v>
                </c:pt>
                <c:pt idx="10">
                  <c:v>1.6681960046845422E-4</c:v>
                </c:pt>
                <c:pt idx="11">
                  <c:v>1.4905731341695202E-4</c:v>
                </c:pt>
                <c:pt idx="12">
                  <c:v>1.3069536057564116E-4</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0.21960564946788405</c:v>
                </c:pt>
                <c:pt idx="2">
                  <c:v>0.22302901608280359</c:v>
                </c:pt>
                <c:pt idx="3">
                  <c:v>0.21727182817459351</c:v>
                </c:pt>
                <c:pt idx="4">
                  <c:v>0.21811015529833669</c:v>
                </c:pt>
                <c:pt idx="5">
                  <c:v>0.2208743578848196</c:v>
                </c:pt>
                <c:pt idx="6">
                  <c:v>0.21662296599878322</c:v>
                </c:pt>
                <c:pt idx="7">
                  <c:v>0.21765540626595298</c:v>
                </c:pt>
                <c:pt idx="8">
                  <c:v>0.2181881760658313</c:v>
                </c:pt>
                <c:pt idx="9">
                  <c:v>0.22058941115343089</c:v>
                </c:pt>
                <c:pt idx="10">
                  <c:v>0.21793139047703045</c:v>
                </c:pt>
                <c:pt idx="11">
                  <c:v>0.2172654192297252</c:v>
                </c:pt>
                <c:pt idx="12">
                  <c:v>0.21301537680564114</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6.7943635871443364E-2</c:v>
                </c:pt>
                <c:pt idx="2">
                  <c:v>4.3138023822720917E-2</c:v>
                </c:pt>
                <c:pt idx="3">
                  <c:v>8.1263770102850186E-2</c:v>
                </c:pt>
                <c:pt idx="4">
                  <c:v>8.542847441487128E-2</c:v>
                </c:pt>
                <c:pt idx="5">
                  <c:v>5.2590106772656325E-2</c:v>
                </c:pt>
                <c:pt idx="6">
                  <c:v>7.764204454254138E-2</c:v>
                </c:pt>
                <c:pt idx="7">
                  <c:v>3.0799694720089848E-2</c:v>
                </c:pt>
                <c:pt idx="8">
                  <c:v>7.3075763638646277E-2</c:v>
                </c:pt>
                <c:pt idx="9">
                  <c:v>6.851802921323856E-2</c:v>
                </c:pt>
                <c:pt idx="10">
                  <c:v>4.5617531005730176E-2</c:v>
                </c:pt>
                <c:pt idx="11">
                  <c:v>8.2855119454462639E-2</c:v>
                </c:pt>
                <c:pt idx="12">
                  <c:v>8.3560357417383532E-2</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1.7576909001123572E-2</c:v>
                </c:pt>
                <c:pt idx="2">
                  <c:v>1.6147209967282326E-2</c:v>
                </c:pt>
                <c:pt idx="3">
                  <c:v>1.7254068688017314E-2</c:v>
                </c:pt>
                <c:pt idx="4">
                  <c:v>1.8161908507553844E-2</c:v>
                </c:pt>
                <c:pt idx="5">
                  <c:v>1.9037277200851146E-2</c:v>
                </c:pt>
                <c:pt idx="6">
                  <c:v>1.8292345485444693E-2</c:v>
                </c:pt>
                <c:pt idx="7">
                  <c:v>1.9791258164780692E-2</c:v>
                </c:pt>
                <c:pt idx="8">
                  <c:v>2.0780133729475223E-2</c:v>
                </c:pt>
                <c:pt idx="9">
                  <c:v>2.0749659365403326E-2</c:v>
                </c:pt>
                <c:pt idx="10">
                  <c:v>2.1081145414759569E-2</c:v>
                </c:pt>
                <c:pt idx="11">
                  <c:v>2.0446647696512502E-2</c:v>
                </c:pt>
                <c:pt idx="12">
                  <c:v>2.3344879717354512E-2</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7.5642079019150842E-3</c:v>
                </c:pt>
                <c:pt idx="2">
                  <c:v>7.5790996363007922E-3</c:v>
                </c:pt>
                <c:pt idx="3">
                  <c:v>7.526973123890196E-3</c:v>
                </c:pt>
                <c:pt idx="4">
                  <c:v>7.5946895611891958E-3</c:v>
                </c:pt>
                <c:pt idx="5">
                  <c:v>7.5477364498271401E-3</c:v>
                </c:pt>
                <c:pt idx="6">
                  <c:v>7.5486535481902629E-3</c:v>
                </c:pt>
                <c:pt idx="7">
                  <c:v>7.5698720186149837E-3</c:v>
                </c:pt>
                <c:pt idx="8">
                  <c:v>7.6980508084511902E-3</c:v>
                </c:pt>
                <c:pt idx="9">
                  <c:v>7.7060989977916772E-3</c:v>
                </c:pt>
                <c:pt idx="10">
                  <c:v>7.617002325373678E-3</c:v>
                </c:pt>
                <c:pt idx="11">
                  <c:v>7.6277114688163049E-3</c:v>
                </c:pt>
                <c:pt idx="12">
                  <c:v>7.7060186930832698E-3</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0.18474329828326705</c:v>
                </c:pt>
                <c:pt idx="2">
                  <c:v>0.17315585773068537</c:v>
                </c:pt>
                <c:pt idx="3">
                  <c:v>0.18705132953042536</c:v>
                </c:pt>
                <c:pt idx="4">
                  <c:v>0.18854402043012516</c:v>
                </c:pt>
                <c:pt idx="5">
                  <c:v>0.19523561273974388</c:v>
                </c:pt>
                <c:pt idx="6">
                  <c:v>0.19329908135656218</c:v>
                </c:pt>
                <c:pt idx="7">
                  <c:v>0.2001022867777062</c:v>
                </c:pt>
                <c:pt idx="8">
                  <c:v>0.20712417068503908</c:v>
                </c:pt>
                <c:pt idx="9">
                  <c:v>0.21067687615702721</c:v>
                </c:pt>
                <c:pt idx="10">
                  <c:v>0.20700927984455347</c:v>
                </c:pt>
                <c:pt idx="11">
                  <c:v>0.21100947183833629</c:v>
                </c:pt>
                <c:pt idx="12">
                  <c:v>0.21512447576686894</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3.621195855472179</c:v>
                </c:pt>
                <c:pt idx="2">
                  <c:v>3.6212735471278474</c:v>
                </c:pt>
                <c:pt idx="3">
                  <c:v>3.623692209290986</c:v>
                </c:pt>
                <c:pt idx="4">
                  <c:v>3.6233649885417365</c:v>
                </c:pt>
                <c:pt idx="5">
                  <c:v>3.6183002236323518</c:v>
                </c:pt>
                <c:pt idx="6">
                  <c:v>3.6223744123321984</c:v>
                </c:pt>
                <c:pt idx="7">
                  <c:v>3.6191512146561036</c:v>
                </c:pt>
                <c:pt idx="8">
                  <c:v>3.6220895892619596</c:v>
                </c:pt>
                <c:pt idx="9">
                  <c:v>3.6207223992428523</c:v>
                </c:pt>
                <c:pt idx="10">
                  <c:v>3.6202517676422605</c:v>
                </c:pt>
                <c:pt idx="11">
                  <c:v>3.6216600181207204</c:v>
                </c:pt>
                <c:pt idx="12">
                  <c:v>3.6229738619722998</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1.7869632902147567</c:v>
                </c:pt>
                <c:pt idx="2">
                  <c:v>1.7885238170646798</c:v>
                </c:pt>
                <c:pt idx="3">
                  <c:v>1.7885524401472932</c:v>
                </c:pt>
                <c:pt idx="4">
                  <c:v>1.7877068077903326</c:v>
                </c:pt>
                <c:pt idx="5">
                  <c:v>1.7886383570426512</c:v>
                </c:pt>
                <c:pt idx="6">
                  <c:v>1.7890300719833887</c:v>
                </c:pt>
                <c:pt idx="7">
                  <c:v>1.7893636962220558</c:v>
                </c:pt>
                <c:pt idx="8">
                  <c:v>1.790320084765497</c:v>
                </c:pt>
                <c:pt idx="9">
                  <c:v>1.7892387526967481</c:v>
                </c:pt>
                <c:pt idx="10">
                  <c:v>1.7892045342724043</c:v>
                </c:pt>
                <c:pt idx="11">
                  <c:v>1.7895615476529747</c:v>
                </c:pt>
                <c:pt idx="12">
                  <c:v>1.7892573843254538</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8.7166634437816413</c:v>
                </c:pt>
                <c:pt idx="2">
                  <c:v>8.7207228524836857</c:v>
                </c:pt>
                <c:pt idx="3">
                  <c:v>8.7140286782801084</c:v>
                </c:pt>
                <c:pt idx="4">
                  <c:v>8.7062600514124142</c:v>
                </c:pt>
                <c:pt idx="5">
                  <c:v>8.6855070476781115</c:v>
                </c:pt>
                <c:pt idx="6">
                  <c:v>8.6984106279162496</c:v>
                </c:pt>
                <c:pt idx="7">
                  <c:v>8.6715992062554825</c:v>
                </c:pt>
                <c:pt idx="8">
                  <c:v>8.6672531467525022</c:v>
                </c:pt>
                <c:pt idx="9">
                  <c:v>8.6671150698767168</c:v>
                </c:pt>
                <c:pt idx="10">
                  <c:v>8.6663505398128713</c:v>
                </c:pt>
                <c:pt idx="11">
                  <c:v>8.6688134206250105</c:v>
                </c:pt>
                <c:pt idx="12">
                  <c:v>8.6662022782304611</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9.4531374700632846E-4</c:v>
                </c:pt>
                <c:pt idx="2">
                  <c:v>9.3620569439775974E-4</c:v>
                </c:pt>
                <c:pt idx="3">
                  <c:v>9.3181203857613368E-4</c:v>
                </c:pt>
                <c:pt idx="4">
                  <c:v>9.352817592539588E-4</c:v>
                </c:pt>
                <c:pt idx="5">
                  <c:v>9.366958690697068E-4</c:v>
                </c:pt>
                <c:pt idx="6">
                  <c:v>9.2953339924541848E-4</c:v>
                </c:pt>
                <c:pt idx="7">
                  <c:v>9.2114784746111255E-4</c:v>
                </c:pt>
                <c:pt idx="8">
                  <c:v>9.2576799681961988E-4</c:v>
                </c:pt>
                <c:pt idx="9">
                  <c:v>9.3496745181950258E-4</c:v>
                </c:pt>
                <c:pt idx="10">
                  <c:v>9.3676195087692401E-4</c:v>
                </c:pt>
                <c:pt idx="11">
                  <c:v>9.2008099357029276E-4</c:v>
                </c:pt>
                <c:pt idx="12">
                  <c:v>9.2540276500115246E-4</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0.90722805245142801</c:v>
                </c:pt>
                <c:pt idx="2">
                  <c:v>0.905953166432798</c:v>
                </c:pt>
                <c:pt idx="3">
                  <c:v>0.90666583251357047</c:v>
                </c:pt>
                <c:pt idx="4">
                  <c:v>0.90922722082629182</c:v>
                </c:pt>
                <c:pt idx="5">
                  <c:v>0.91237726108269734</c:v>
                </c:pt>
                <c:pt idx="6">
                  <c:v>0.91161889915743166</c:v>
                </c:pt>
                <c:pt idx="7">
                  <c:v>0.91298593916491555</c:v>
                </c:pt>
                <c:pt idx="8">
                  <c:v>0.91363541108789659</c:v>
                </c:pt>
                <c:pt idx="9">
                  <c:v>0.91367409245068743</c:v>
                </c:pt>
                <c:pt idx="10">
                  <c:v>0.91363752586081015</c:v>
                </c:pt>
                <c:pt idx="11">
                  <c:v>0.91375575150348509</c:v>
                </c:pt>
                <c:pt idx="12">
                  <c:v>0.91345093463434668</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0.10892639472549011</c:v>
                </c:pt>
                <c:pt idx="2">
                  <c:v>0.10897822502984973</c:v>
                </c:pt>
                <c:pt idx="3">
                  <c:v>0.10895780221648919</c:v>
                </c:pt>
                <c:pt idx="4">
                  <c:v>0.10898167985006244</c:v>
                </c:pt>
                <c:pt idx="5">
                  <c:v>0.10893685688721272</c:v>
                </c:pt>
                <c:pt idx="6">
                  <c:v>0.10898126491013106</c:v>
                </c:pt>
                <c:pt idx="7">
                  <c:v>0.1089587766202625</c:v>
                </c:pt>
                <c:pt idx="8">
                  <c:v>0.10896054434783388</c:v>
                </c:pt>
                <c:pt idx="9">
                  <c:v>0.10894547074413573</c:v>
                </c:pt>
                <c:pt idx="10">
                  <c:v>0.10899040373286591</c:v>
                </c:pt>
                <c:pt idx="11">
                  <c:v>0.10901417924659755</c:v>
                </c:pt>
                <c:pt idx="12">
                  <c:v>0.10900804059165173</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2.6681993207855914</c:v>
                </c:pt>
                <c:pt idx="2">
                  <c:v>2.6701997428150621</c:v>
                </c:pt>
                <c:pt idx="3">
                  <c:v>2.6679934767752371</c:v>
                </c:pt>
                <c:pt idx="4">
                  <c:v>2.6671080640168254</c:v>
                </c:pt>
                <c:pt idx="5">
                  <c:v>2.6666989500585156</c:v>
                </c:pt>
                <c:pt idx="6">
                  <c:v>2.6668518609016307</c:v>
                </c:pt>
                <c:pt idx="7">
                  <c:v>2.6650698991299335</c:v>
                </c:pt>
                <c:pt idx="8">
                  <c:v>2.661561075904372</c:v>
                </c:pt>
                <c:pt idx="9">
                  <c:v>2.6615972909086452</c:v>
                </c:pt>
                <c:pt idx="10">
                  <c:v>2.6622179680537648</c:v>
                </c:pt>
                <c:pt idx="11">
                  <c:v>2.6627631182892175</c:v>
                </c:pt>
                <c:pt idx="12">
                  <c:v>2.6616738386001231</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0.81775675322050312</c:v>
                </c:pt>
                <c:pt idx="2">
                  <c:v>0.81862114876715131</c:v>
                </c:pt>
                <c:pt idx="3">
                  <c:v>0.81812781830868198</c:v>
                </c:pt>
                <c:pt idx="4">
                  <c:v>0.81682922941388703</c:v>
                </c:pt>
                <c:pt idx="5">
                  <c:v>0.81493189692267098</c:v>
                </c:pt>
                <c:pt idx="6">
                  <c:v>0.81682827317621887</c:v>
                </c:pt>
                <c:pt idx="7">
                  <c:v>0.81435934855168857</c:v>
                </c:pt>
                <c:pt idx="8">
                  <c:v>0.8144369719046064</c:v>
                </c:pt>
                <c:pt idx="9">
                  <c:v>0.81438022220454509</c:v>
                </c:pt>
                <c:pt idx="10">
                  <c:v>0.81457460725304165</c:v>
                </c:pt>
                <c:pt idx="11">
                  <c:v>0.81476354353108871</c:v>
                </c:pt>
                <c:pt idx="12">
                  <c:v>0.81457673842365252</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0.51528404696291852</c:v>
                </c:pt>
                <c:pt idx="2">
                  <c:v>0.51440016840959801</c:v>
                </c:pt>
                <c:pt idx="3">
                  <c:v>0.51504854843408465</c:v>
                </c:pt>
                <c:pt idx="4">
                  <c:v>0.51655721210855587</c:v>
                </c:pt>
                <c:pt idx="5">
                  <c:v>0.51730149699162209</c:v>
                </c:pt>
                <c:pt idx="6">
                  <c:v>0.51692455096907342</c:v>
                </c:pt>
                <c:pt idx="7">
                  <c:v>0.51842151400193448</c:v>
                </c:pt>
                <c:pt idx="8">
                  <c:v>0.518501531206355</c:v>
                </c:pt>
                <c:pt idx="9">
                  <c:v>0.51835022395837538</c:v>
                </c:pt>
                <c:pt idx="10">
                  <c:v>0.51854866620215356</c:v>
                </c:pt>
                <c:pt idx="11">
                  <c:v>0.51872039765382005</c:v>
                </c:pt>
                <c:pt idx="12">
                  <c:v>0.51808256616867332</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1.4198745291023354</c:v>
                </c:pt>
                <c:pt idx="2">
                  <c:v>1.4189890420503639</c:v>
                </c:pt>
                <c:pt idx="3">
                  <c:v>1.419766830701259</c:v>
                </c:pt>
                <c:pt idx="4">
                  <c:v>1.4194189008794746</c:v>
                </c:pt>
                <c:pt idx="5">
                  <c:v>1.419348318038631</c:v>
                </c:pt>
                <c:pt idx="6">
                  <c:v>1.4200244467964391</c:v>
                </c:pt>
                <c:pt idx="7">
                  <c:v>1.419665366994556</c:v>
                </c:pt>
                <c:pt idx="8">
                  <c:v>1.4200367738398283</c:v>
                </c:pt>
                <c:pt idx="9">
                  <c:v>1.4202284506743315</c:v>
                </c:pt>
                <c:pt idx="10">
                  <c:v>1.4195176750340526</c:v>
                </c:pt>
                <c:pt idx="11">
                  <c:v>1.4202433624618178</c:v>
                </c:pt>
                <c:pt idx="12">
                  <c:v>1.4210745828196412</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0</c:v>
                </c:pt>
                <c:pt idx="3">
                  <c:v>0</c:v>
                </c:pt>
                <c:pt idx="4">
                  <c:v>0</c:v>
                </c:pt>
                <c:pt idx="5">
                  <c:v>0</c:v>
                </c:pt>
                <c:pt idx="6">
                  <c:v>3.9329017150070734E-5</c:v>
                </c:pt>
                <c:pt idx="7">
                  <c:v>0</c:v>
                </c:pt>
                <c:pt idx="8">
                  <c:v>0</c:v>
                </c:pt>
                <c:pt idx="9">
                  <c:v>0</c:v>
                </c:pt>
                <c:pt idx="10">
                  <c:v>0</c:v>
                </c:pt>
                <c:pt idx="11">
                  <c:v>0</c:v>
                </c:pt>
                <c:pt idx="12">
                  <c:v>0</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4.4715447784615057</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0.41564441838024696</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4.6995237708039648</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4.933163043923753</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8.0572583489999996</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2.4036149237100764E-3</c:v>
                </c:pt>
                <c:pt idx="1">
                  <c:v>2.780645743649726E-3</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7.0655639732823586E-2</c:v>
                </c:pt>
                <c:pt idx="1">
                  <c:v>7.0437099421539515E-2</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8.4741566602396907E-4</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1.5786846451142425E-4</c:v>
                </c:pt>
                <c:pt idx="2">
                  <c:v>1.5444544503685786E-4</c:v>
                </c:pt>
                <c:pt idx="3">
                  <c:v>1.6835282440187899E-4</c:v>
                </c:pt>
                <c:pt idx="4">
                  <c:v>1.6490453266555479E-4</c:v>
                </c:pt>
                <c:pt idx="5">
                  <c:v>1.5912718735018935E-4</c:v>
                </c:pt>
                <c:pt idx="6">
                  <c:v>1.6147850932302893E-4</c:v>
                </c:pt>
                <c:pt idx="7">
                  <c:v>6.9692797674958512E-5</c:v>
                </c:pt>
                <c:pt idx="8">
                  <c:v>6.6356116977857522E-5</c:v>
                </c:pt>
                <c:pt idx="9">
                  <c:v>1.2158373155490833E-4</c:v>
                </c:pt>
                <c:pt idx="10">
                  <c:v>1.6681960046845422E-4</c:v>
                </c:pt>
                <c:pt idx="11">
                  <c:v>1.4905731341695202E-4</c:v>
                </c:pt>
                <c:pt idx="12">
                  <c:v>1.3069536057564116E-4</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0.18474329828326705</c:v>
                </c:pt>
                <c:pt idx="2">
                  <c:v>0.17315585773068537</c:v>
                </c:pt>
                <c:pt idx="3">
                  <c:v>0.18705132953042536</c:v>
                </c:pt>
                <c:pt idx="4">
                  <c:v>0.18854402043012516</c:v>
                </c:pt>
                <c:pt idx="5">
                  <c:v>0.19523561273974388</c:v>
                </c:pt>
                <c:pt idx="6">
                  <c:v>0.19329908135656218</c:v>
                </c:pt>
                <c:pt idx="7">
                  <c:v>0.2001022867777062</c:v>
                </c:pt>
                <c:pt idx="8">
                  <c:v>0.20712417068503908</c:v>
                </c:pt>
                <c:pt idx="9">
                  <c:v>0.21067687615702721</c:v>
                </c:pt>
                <c:pt idx="10">
                  <c:v>0.20700927984455347</c:v>
                </c:pt>
                <c:pt idx="11">
                  <c:v>0.21100947183833629</c:v>
                </c:pt>
                <c:pt idx="12">
                  <c:v>0.21512447576686894</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8.7166634437816413</c:v>
                </c:pt>
                <c:pt idx="2">
                  <c:v>8.7207228524836857</c:v>
                </c:pt>
                <c:pt idx="3">
                  <c:v>8.7140286782801084</c:v>
                </c:pt>
                <c:pt idx="4">
                  <c:v>8.7062600514124142</c:v>
                </c:pt>
                <c:pt idx="5">
                  <c:v>8.6855070476781115</c:v>
                </c:pt>
                <c:pt idx="6">
                  <c:v>8.6984106279162496</c:v>
                </c:pt>
                <c:pt idx="7">
                  <c:v>8.6715992062554825</c:v>
                </c:pt>
                <c:pt idx="8">
                  <c:v>8.6672531467525022</c:v>
                </c:pt>
                <c:pt idx="9">
                  <c:v>8.6671150698767168</c:v>
                </c:pt>
                <c:pt idx="10">
                  <c:v>8.6663505398128713</c:v>
                </c:pt>
                <c:pt idx="11">
                  <c:v>8.6688134206250105</c:v>
                </c:pt>
                <c:pt idx="12">
                  <c:v>8.6662022782304611</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0.90722805245142801</c:v>
                </c:pt>
                <c:pt idx="2">
                  <c:v>0.905953166432798</c:v>
                </c:pt>
                <c:pt idx="3">
                  <c:v>0.90666583251357047</c:v>
                </c:pt>
                <c:pt idx="4">
                  <c:v>0.90922722082629182</c:v>
                </c:pt>
                <c:pt idx="5">
                  <c:v>0.91237726108269734</c:v>
                </c:pt>
                <c:pt idx="6">
                  <c:v>0.91161889915743166</c:v>
                </c:pt>
                <c:pt idx="7">
                  <c:v>0.91298593916491555</c:v>
                </c:pt>
                <c:pt idx="8">
                  <c:v>0.91363541108789659</c:v>
                </c:pt>
                <c:pt idx="9">
                  <c:v>0.91367409245068743</c:v>
                </c:pt>
                <c:pt idx="10">
                  <c:v>0.91363752586081015</c:v>
                </c:pt>
                <c:pt idx="11">
                  <c:v>0.91375575150348509</c:v>
                </c:pt>
                <c:pt idx="12">
                  <c:v>0.91345093463434668</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0.10892639472549011</c:v>
                </c:pt>
                <c:pt idx="2">
                  <c:v>0.10897822502984973</c:v>
                </c:pt>
                <c:pt idx="3">
                  <c:v>0.10895780221648919</c:v>
                </c:pt>
                <c:pt idx="4">
                  <c:v>0.10898167985006244</c:v>
                </c:pt>
                <c:pt idx="5">
                  <c:v>0.10893685688721272</c:v>
                </c:pt>
                <c:pt idx="6">
                  <c:v>0.10898126491013106</c:v>
                </c:pt>
                <c:pt idx="7">
                  <c:v>0.1089587766202625</c:v>
                </c:pt>
                <c:pt idx="8">
                  <c:v>0.10896054434783388</c:v>
                </c:pt>
                <c:pt idx="9">
                  <c:v>0.10894547074413573</c:v>
                </c:pt>
                <c:pt idx="10">
                  <c:v>0.10899040373286591</c:v>
                </c:pt>
                <c:pt idx="11">
                  <c:v>0.10901417924659755</c:v>
                </c:pt>
                <c:pt idx="12">
                  <c:v>0.10900804059165173</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2.6681993207855914</c:v>
                </c:pt>
                <c:pt idx="2">
                  <c:v>2.6701997428150621</c:v>
                </c:pt>
                <c:pt idx="3">
                  <c:v>2.6679934767752371</c:v>
                </c:pt>
                <c:pt idx="4">
                  <c:v>2.6671080640168254</c:v>
                </c:pt>
                <c:pt idx="5">
                  <c:v>2.6666989500585156</c:v>
                </c:pt>
                <c:pt idx="6">
                  <c:v>2.6668518609016307</c:v>
                </c:pt>
                <c:pt idx="7">
                  <c:v>2.6650698991299335</c:v>
                </c:pt>
                <c:pt idx="8">
                  <c:v>2.661561075904372</c:v>
                </c:pt>
                <c:pt idx="9">
                  <c:v>2.6615972909086452</c:v>
                </c:pt>
                <c:pt idx="10">
                  <c:v>2.6622179680537648</c:v>
                </c:pt>
                <c:pt idx="11">
                  <c:v>2.6627631182892175</c:v>
                </c:pt>
                <c:pt idx="12">
                  <c:v>2.6616738386001231</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0</c:v>
                </c:pt>
                <c:pt idx="2">
                  <c:v>0</c:v>
                </c:pt>
                <c:pt idx="3">
                  <c:v>0</c:v>
                </c:pt>
                <c:pt idx="4">
                  <c:v>0</c:v>
                </c:pt>
                <c:pt idx="5">
                  <c:v>0</c:v>
                </c:pt>
                <c:pt idx="6">
                  <c:v>3.9329017150070734E-5</c:v>
                </c:pt>
                <c:pt idx="7">
                  <c:v>0</c:v>
                </c:pt>
                <c:pt idx="8">
                  <c:v>0</c:v>
                </c:pt>
                <c:pt idx="9">
                  <c:v>0</c:v>
                </c:pt>
                <c:pt idx="10">
                  <c:v>0</c:v>
                </c:pt>
                <c:pt idx="11">
                  <c:v>0</c:v>
                </c:pt>
                <c:pt idx="12">
                  <c:v>0</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4.4715447784615057</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0.41564441838024696</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4.6995237708039648</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4.933163043923753</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8.0572583489999996</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1.5786846451142425E-4</c:v>
                </c:pt>
                <c:pt idx="2">
                  <c:v>1.5444544503685786E-4</c:v>
                </c:pt>
                <c:pt idx="3">
                  <c:v>1.6835282440187899E-4</c:v>
                </c:pt>
                <c:pt idx="4">
                  <c:v>1.6490453266555479E-4</c:v>
                </c:pt>
                <c:pt idx="5">
                  <c:v>1.5912718735018935E-4</c:v>
                </c:pt>
                <c:pt idx="6">
                  <c:v>1.6147850932302893E-4</c:v>
                </c:pt>
                <c:pt idx="7">
                  <c:v>6.9692797674958512E-5</c:v>
                </c:pt>
                <c:pt idx="8">
                  <c:v>6.6356116977857522E-5</c:v>
                </c:pt>
                <c:pt idx="9">
                  <c:v>1.2158373155490833E-4</c:v>
                </c:pt>
                <c:pt idx="10">
                  <c:v>1.6681960046845422E-4</c:v>
                </c:pt>
                <c:pt idx="11">
                  <c:v>1.4905731341695202E-4</c:v>
                </c:pt>
                <c:pt idx="12">
                  <c:v>1.3069536057564116E-4</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0.21960564946788405</c:v>
                </c:pt>
                <c:pt idx="2">
                  <c:v>0.22302901608280359</c:v>
                </c:pt>
                <c:pt idx="3">
                  <c:v>0.21727182817459351</c:v>
                </c:pt>
                <c:pt idx="4">
                  <c:v>0.21811015529833669</c:v>
                </c:pt>
                <c:pt idx="5">
                  <c:v>0.2208743578848196</c:v>
                </c:pt>
                <c:pt idx="6">
                  <c:v>0.21662296599878322</c:v>
                </c:pt>
                <c:pt idx="7">
                  <c:v>0.21765540626595298</c:v>
                </c:pt>
                <c:pt idx="8">
                  <c:v>0.2181881760658313</c:v>
                </c:pt>
                <c:pt idx="9">
                  <c:v>0.22058941115343089</c:v>
                </c:pt>
                <c:pt idx="10">
                  <c:v>0.21793139047703045</c:v>
                </c:pt>
                <c:pt idx="11">
                  <c:v>0.2172654192297252</c:v>
                </c:pt>
                <c:pt idx="12">
                  <c:v>0.21301537680564114</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6.7943635871443364E-2</c:v>
                </c:pt>
                <c:pt idx="2">
                  <c:v>4.3138023822720917E-2</c:v>
                </c:pt>
                <c:pt idx="3">
                  <c:v>8.1263770102850186E-2</c:v>
                </c:pt>
                <c:pt idx="4">
                  <c:v>8.542847441487128E-2</c:v>
                </c:pt>
                <c:pt idx="5">
                  <c:v>5.2590106772656325E-2</c:v>
                </c:pt>
                <c:pt idx="6">
                  <c:v>7.764204454254138E-2</c:v>
                </c:pt>
                <c:pt idx="7">
                  <c:v>3.0799694720089848E-2</c:v>
                </c:pt>
                <c:pt idx="8">
                  <c:v>7.3075763638646277E-2</c:v>
                </c:pt>
                <c:pt idx="9">
                  <c:v>6.851802921323856E-2</c:v>
                </c:pt>
                <c:pt idx="10">
                  <c:v>4.5617531005730176E-2</c:v>
                </c:pt>
                <c:pt idx="11">
                  <c:v>8.2855119454462639E-2</c:v>
                </c:pt>
                <c:pt idx="12">
                  <c:v>8.3560357417383532E-2</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1.7576909001123572E-2</c:v>
                </c:pt>
                <c:pt idx="2">
                  <c:v>1.6147209967282326E-2</c:v>
                </c:pt>
                <c:pt idx="3">
                  <c:v>1.7254068688017314E-2</c:v>
                </c:pt>
                <c:pt idx="4">
                  <c:v>1.8161908507553844E-2</c:v>
                </c:pt>
                <c:pt idx="5">
                  <c:v>1.9037277200851146E-2</c:v>
                </c:pt>
                <c:pt idx="6">
                  <c:v>1.8292345485444693E-2</c:v>
                </c:pt>
                <c:pt idx="7">
                  <c:v>1.9791258164780692E-2</c:v>
                </c:pt>
                <c:pt idx="8">
                  <c:v>2.0780133729475223E-2</c:v>
                </c:pt>
                <c:pt idx="9">
                  <c:v>2.0749659365403326E-2</c:v>
                </c:pt>
                <c:pt idx="10">
                  <c:v>2.1081145414759569E-2</c:v>
                </c:pt>
                <c:pt idx="11">
                  <c:v>2.0446647696512502E-2</c:v>
                </c:pt>
                <c:pt idx="12">
                  <c:v>2.3344879717354512E-2</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7.5642079019150842E-3</c:v>
                </c:pt>
                <c:pt idx="2">
                  <c:v>7.5790996363007922E-3</c:v>
                </c:pt>
                <c:pt idx="3">
                  <c:v>7.526973123890196E-3</c:v>
                </c:pt>
                <c:pt idx="4">
                  <c:v>7.5946895611891958E-3</c:v>
                </c:pt>
                <c:pt idx="5">
                  <c:v>7.5477364498271401E-3</c:v>
                </c:pt>
                <c:pt idx="6">
                  <c:v>7.5486535481902629E-3</c:v>
                </c:pt>
                <c:pt idx="7">
                  <c:v>7.5698720186149837E-3</c:v>
                </c:pt>
                <c:pt idx="8">
                  <c:v>7.6980508084511902E-3</c:v>
                </c:pt>
                <c:pt idx="9">
                  <c:v>7.7060989977916772E-3</c:v>
                </c:pt>
                <c:pt idx="10">
                  <c:v>7.617002325373678E-3</c:v>
                </c:pt>
                <c:pt idx="11">
                  <c:v>7.6277114688163049E-3</c:v>
                </c:pt>
                <c:pt idx="12">
                  <c:v>7.7060186930832698E-3</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0.18474329828326705</c:v>
                </c:pt>
                <c:pt idx="2">
                  <c:v>0.17315585773068537</c:v>
                </c:pt>
                <c:pt idx="3">
                  <c:v>0.18705132953042536</c:v>
                </c:pt>
                <c:pt idx="4">
                  <c:v>0.18854402043012516</c:v>
                </c:pt>
                <c:pt idx="5">
                  <c:v>0.19523561273974388</c:v>
                </c:pt>
                <c:pt idx="6">
                  <c:v>0.19329908135656218</c:v>
                </c:pt>
                <c:pt idx="7">
                  <c:v>0.2001022867777062</c:v>
                </c:pt>
                <c:pt idx="8">
                  <c:v>0.20712417068503908</c:v>
                </c:pt>
                <c:pt idx="9">
                  <c:v>0.21067687615702721</c:v>
                </c:pt>
                <c:pt idx="10">
                  <c:v>0.20700927984455347</c:v>
                </c:pt>
                <c:pt idx="11">
                  <c:v>0.21100947183833629</c:v>
                </c:pt>
                <c:pt idx="12">
                  <c:v>0.21512447576686894</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3.621195855472179</c:v>
                </c:pt>
                <c:pt idx="2">
                  <c:v>3.6212735471278474</c:v>
                </c:pt>
                <c:pt idx="3">
                  <c:v>3.623692209290986</c:v>
                </c:pt>
                <c:pt idx="4">
                  <c:v>3.6233649885417365</c:v>
                </c:pt>
                <c:pt idx="5">
                  <c:v>3.6183002236323518</c:v>
                </c:pt>
                <c:pt idx="6">
                  <c:v>3.6223744123321984</c:v>
                </c:pt>
                <c:pt idx="7">
                  <c:v>3.6191512146561036</c:v>
                </c:pt>
                <c:pt idx="8">
                  <c:v>3.6220895892619596</c:v>
                </c:pt>
                <c:pt idx="9">
                  <c:v>3.6207223992428523</c:v>
                </c:pt>
                <c:pt idx="10">
                  <c:v>3.6202517676422605</c:v>
                </c:pt>
                <c:pt idx="11">
                  <c:v>3.6216600181207204</c:v>
                </c:pt>
                <c:pt idx="12">
                  <c:v>3.6229738619722998</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1.7869632902147567</c:v>
                </c:pt>
                <c:pt idx="2">
                  <c:v>1.7885238170646798</c:v>
                </c:pt>
                <c:pt idx="3">
                  <c:v>1.7885524401472932</c:v>
                </c:pt>
                <c:pt idx="4">
                  <c:v>1.7877068077903326</c:v>
                </c:pt>
                <c:pt idx="5">
                  <c:v>1.7886383570426512</c:v>
                </c:pt>
                <c:pt idx="6">
                  <c:v>1.7890300719833887</c:v>
                </c:pt>
                <c:pt idx="7">
                  <c:v>1.7893636962220558</c:v>
                </c:pt>
                <c:pt idx="8">
                  <c:v>1.790320084765497</c:v>
                </c:pt>
                <c:pt idx="9">
                  <c:v>1.7892387526967481</c:v>
                </c:pt>
                <c:pt idx="10">
                  <c:v>1.7892045342724043</c:v>
                </c:pt>
                <c:pt idx="11">
                  <c:v>1.7895615476529747</c:v>
                </c:pt>
                <c:pt idx="12">
                  <c:v>1.7892573843254538</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8.7166634437816413</c:v>
                </c:pt>
                <c:pt idx="2">
                  <c:v>8.7207228524836857</c:v>
                </c:pt>
                <c:pt idx="3">
                  <c:v>8.7140286782801084</c:v>
                </c:pt>
                <c:pt idx="4">
                  <c:v>8.7062600514124142</c:v>
                </c:pt>
                <c:pt idx="5">
                  <c:v>8.6855070476781115</c:v>
                </c:pt>
                <c:pt idx="6">
                  <c:v>8.6984106279162496</c:v>
                </c:pt>
                <c:pt idx="7">
                  <c:v>8.6715992062554825</c:v>
                </c:pt>
                <c:pt idx="8">
                  <c:v>8.6672531467525022</c:v>
                </c:pt>
                <c:pt idx="9">
                  <c:v>8.6671150698767168</c:v>
                </c:pt>
                <c:pt idx="10">
                  <c:v>8.6663505398128713</c:v>
                </c:pt>
                <c:pt idx="11">
                  <c:v>8.6688134206250105</c:v>
                </c:pt>
                <c:pt idx="12">
                  <c:v>8.6662022782304611</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9.4531374700632846E-4</c:v>
                </c:pt>
                <c:pt idx="2">
                  <c:v>9.3620569439775974E-4</c:v>
                </c:pt>
                <c:pt idx="3">
                  <c:v>9.3181203857613368E-4</c:v>
                </c:pt>
                <c:pt idx="4">
                  <c:v>9.352817592539588E-4</c:v>
                </c:pt>
                <c:pt idx="5">
                  <c:v>9.366958690697068E-4</c:v>
                </c:pt>
                <c:pt idx="6">
                  <c:v>9.2953339924541848E-4</c:v>
                </c:pt>
                <c:pt idx="7">
                  <c:v>9.2114784746111255E-4</c:v>
                </c:pt>
                <c:pt idx="8">
                  <c:v>9.2576799681961988E-4</c:v>
                </c:pt>
                <c:pt idx="9">
                  <c:v>9.3496745181950258E-4</c:v>
                </c:pt>
                <c:pt idx="10">
                  <c:v>9.3676195087692401E-4</c:v>
                </c:pt>
                <c:pt idx="11">
                  <c:v>9.2008099357029276E-4</c:v>
                </c:pt>
                <c:pt idx="12">
                  <c:v>9.2540276500115246E-4</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0.90722805245142801</c:v>
                </c:pt>
                <c:pt idx="2">
                  <c:v>0.905953166432798</c:v>
                </c:pt>
                <c:pt idx="3">
                  <c:v>0.90666583251357047</c:v>
                </c:pt>
                <c:pt idx="4">
                  <c:v>0.90922722082629182</c:v>
                </c:pt>
                <c:pt idx="5">
                  <c:v>0.91237726108269734</c:v>
                </c:pt>
                <c:pt idx="6">
                  <c:v>0.91161889915743166</c:v>
                </c:pt>
                <c:pt idx="7">
                  <c:v>0.91298593916491555</c:v>
                </c:pt>
                <c:pt idx="8">
                  <c:v>0.91363541108789659</c:v>
                </c:pt>
                <c:pt idx="9">
                  <c:v>0.91367409245068743</c:v>
                </c:pt>
                <c:pt idx="10">
                  <c:v>0.91363752586081015</c:v>
                </c:pt>
                <c:pt idx="11">
                  <c:v>0.91375575150348509</c:v>
                </c:pt>
                <c:pt idx="12">
                  <c:v>0.91345093463434668</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0.10892639472549011</c:v>
                </c:pt>
                <c:pt idx="2">
                  <c:v>0.10897822502984973</c:v>
                </c:pt>
                <c:pt idx="3">
                  <c:v>0.10895780221648919</c:v>
                </c:pt>
                <c:pt idx="4">
                  <c:v>0.10898167985006244</c:v>
                </c:pt>
                <c:pt idx="5">
                  <c:v>0.10893685688721272</c:v>
                </c:pt>
                <c:pt idx="6">
                  <c:v>0.10898126491013106</c:v>
                </c:pt>
                <c:pt idx="7">
                  <c:v>0.1089587766202625</c:v>
                </c:pt>
                <c:pt idx="8">
                  <c:v>0.10896054434783388</c:v>
                </c:pt>
                <c:pt idx="9">
                  <c:v>0.10894547074413573</c:v>
                </c:pt>
                <c:pt idx="10">
                  <c:v>0.10899040373286591</c:v>
                </c:pt>
                <c:pt idx="11">
                  <c:v>0.10901417924659755</c:v>
                </c:pt>
                <c:pt idx="12">
                  <c:v>0.10900804059165173</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2.6681993207855914</c:v>
                </c:pt>
                <c:pt idx="2">
                  <c:v>2.6701997428150621</c:v>
                </c:pt>
                <c:pt idx="3">
                  <c:v>2.6679934767752371</c:v>
                </c:pt>
                <c:pt idx="4">
                  <c:v>2.6671080640168254</c:v>
                </c:pt>
                <c:pt idx="5">
                  <c:v>2.6666989500585156</c:v>
                </c:pt>
                <c:pt idx="6">
                  <c:v>2.6668518609016307</c:v>
                </c:pt>
                <c:pt idx="7">
                  <c:v>2.6650698991299335</c:v>
                </c:pt>
                <c:pt idx="8">
                  <c:v>2.661561075904372</c:v>
                </c:pt>
                <c:pt idx="9">
                  <c:v>2.6615972909086452</c:v>
                </c:pt>
                <c:pt idx="10">
                  <c:v>2.6622179680537648</c:v>
                </c:pt>
                <c:pt idx="11">
                  <c:v>2.6627631182892175</c:v>
                </c:pt>
                <c:pt idx="12">
                  <c:v>2.6616738386001231</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0.81775675322050312</c:v>
                </c:pt>
                <c:pt idx="2">
                  <c:v>0.81862114876715131</c:v>
                </c:pt>
                <c:pt idx="3">
                  <c:v>0.81812781830868198</c:v>
                </c:pt>
                <c:pt idx="4">
                  <c:v>0.81682922941388703</c:v>
                </c:pt>
                <c:pt idx="5">
                  <c:v>0.81493189692267098</c:v>
                </c:pt>
                <c:pt idx="6">
                  <c:v>0.81682827317621887</c:v>
                </c:pt>
                <c:pt idx="7">
                  <c:v>0.81435934855168857</c:v>
                </c:pt>
                <c:pt idx="8">
                  <c:v>0.8144369719046064</c:v>
                </c:pt>
                <c:pt idx="9">
                  <c:v>0.81438022220454509</c:v>
                </c:pt>
                <c:pt idx="10">
                  <c:v>0.81457460725304165</c:v>
                </c:pt>
                <c:pt idx="11">
                  <c:v>0.81476354353108871</c:v>
                </c:pt>
                <c:pt idx="12">
                  <c:v>0.81457673842365252</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0.51528404696291852</c:v>
                </c:pt>
                <c:pt idx="2">
                  <c:v>0.51440016840959801</c:v>
                </c:pt>
                <c:pt idx="3">
                  <c:v>0.51504854843408465</c:v>
                </c:pt>
                <c:pt idx="4">
                  <c:v>0.51655721210855587</c:v>
                </c:pt>
                <c:pt idx="5">
                  <c:v>0.51730149699162209</c:v>
                </c:pt>
                <c:pt idx="6">
                  <c:v>0.51692455096907342</c:v>
                </c:pt>
                <c:pt idx="7">
                  <c:v>0.51842151400193448</c:v>
                </c:pt>
                <c:pt idx="8">
                  <c:v>0.518501531206355</c:v>
                </c:pt>
                <c:pt idx="9">
                  <c:v>0.51835022395837538</c:v>
                </c:pt>
                <c:pt idx="10">
                  <c:v>0.51854866620215356</c:v>
                </c:pt>
                <c:pt idx="11">
                  <c:v>0.51872039765382005</c:v>
                </c:pt>
                <c:pt idx="12">
                  <c:v>0.51808256616867332</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1.4198745291023354</c:v>
                </c:pt>
                <c:pt idx="2">
                  <c:v>1.4189890420503639</c:v>
                </c:pt>
                <c:pt idx="3">
                  <c:v>1.419766830701259</c:v>
                </c:pt>
                <c:pt idx="4">
                  <c:v>1.4194189008794746</c:v>
                </c:pt>
                <c:pt idx="5">
                  <c:v>1.419348318038631</c:v>
                </c:pt>
                <c:pt idx="6">
                  <c:v>1.4200244467964391</c:v>
                </c:pt>
                <c:pt idx="7">
                  <c:v>1.419665366994556</c:v>
                </c:pt>
                <c:pt idx="8">
                  <c:v>1.4200367738398283</c:v>
                </c:pt>
                <c:pt idx="9">
                  <c:v>1.4202284506743315</c:v>
                </c:pt>
                <c:pt idx="10">
                  <c:v>1.4195176750340526</c:v>
                </c:pt>
                <c:pt idx="11">
                  <c:v>1.4202433624618178</c:v>
                </c:pt>
                <c:pt idx="12">
                  <c:v>1.4210745828196412</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0</c:v>
                </c:pt>
                <c:pt idx="3">
                  <c:v>0</c:v>
                </c:pt>
                <c:pt idx="4">
                  <c:v>0</c:v>
                </c:pt>
                <c:pt idx="5">
                  <c:v>0</c:v>
                </c:pt>
                <c:pt idx="6">
                  <c:v>3.9329017150070734E-5</c:v>
                </c:pt>
                <c:pt idx="7">
                  <c:v>0</c:v>
                </c:pt>
                <c:pt idx="8">
                  <c:v>0</c:v>
                </c:pt>
                <c:pt idx="9">
                  <c:v>0</c:v>
                </c:pt>
                <c:pt idx="10">
                  <c:v>0</c:v>
                </c:pt>
                <c:pt idx="11">
                  <c:v>0</c:v>
                </c:pt>
                <c:pt idx="12">
                  <c:v>0</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4.4715447784615057</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0.41564441838024696</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4.6995237708039648</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4.933163043923753</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8.0572583489999996</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2.4036149237100764E-3</c:v>
                </c:pt>
                <c:pt idx="1">
                  <c:v>2.780645743649726E-3</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7.1503055398847548E-2</c:v>
                </c:pt>
                <c:pt idx="1">
                  <c:v>7.0291865022907934E-2</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2.4036149237100764E-3</c:v>
                </c:pt>
                <c:pt idx="1">
                  <c:v>2.780645743649726E-3</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7.0655639732823586E-2</c:v>
                </c:pt>
                <c:pt idx="1">
                  <c:v>7.0437099421539515E-2</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8.4741566602396907E-4</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455" t="str">
        <f>"CPU Performance Analysis Report " &amp; data!C18</f>
        <v>CPU Performance Analysis Report 4.2.1</v>
      </c>
    </row>
    <row r="2" spans="1:44" ht="16.5" thickBot="1" x14ac:dyDescent="0.2"/>
    <row r="3" spans="1:44" x14ac:dyDescent="0.15">
      <c r="A3" s="783" t="str">
        <f>data!F4</f>
        <v>Measured time</v>
      </c>
      <c r="B3" s="784"/>
      <c r="C3" s="785" t="str">
        <f>data!G4</f>
        <v>Wed Nov 22 12:19:21 2023</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6.5" thickBot="1" x14ac:dyDescent="0.2">
      <c r="A4" s="788" t="str">
        <f>data!F5</f>
        <v>Node name</v>
      </c>
      <c r="B4" s="789"/>
      <c r="C4" s="790" t="str">
        <f>data!G5</f>
        <v>h34-5001c</v>
      </c>
      <c r="D4" s="791"/>
      <c r="E4" s="791"/>
      <c r="F4" s="792"/>
      <c r="H4" s="795" t="str">
        <f>data!F11</f>
        <v>CMG no.</v>
      </c>
      <c r="I4" s="796"/>
      <c r="J4" s="797">
        <f>data!G11</f>
        <v>0</v>
      </c>
      <c r="K4" s="797"/>
      <c r="L4" s="797"/>
      <c r="M4" s="798"/>
      <c r="O4" s="774" t="str">
        <f>data!F15</f>
        <v>CPU frequency (GHz)</v>
      </c>
      <c r="P4" s="775"/>
      <c r="Q4" s="801">
        <f>data!G15</f>
        <v>2.1999876674986623</v>
      </c>
      <c r="R4" s="801"/>
      <c r="S4" s="801"/>
      <c r="T4" s="802"/>
    </row>
    <row r="5" spans="1:44" ht="16.5" thickBot="1" x14ac:dyDescent="0.2">
      <c r="H5" s="774" t="str">
        <f>data!F12</f>
        <v>Measured region</v>
      </c>
      <c r="I5" s="775"/>
      <c r="J5" s="776" t="str">
        <f>data!G12</f>
        <v>pairljcutintel, 1</v>
      </c>
      <c r="K5" s="776"/>
      <c r="L5" s="776"/>
      <c r="M5" s="777"/>
    </row>
    <row r="7" spans="1:44" ht="16.5" thickBot="1" x14ac:dyDescent="0.2"/>
    <row r="8" spans="1:44" ht="15.75" customHeight="1" x14ac:dyDescent="0.15">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x14ac:dyDescent="0.15">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x14ac:dyDescent="0.15">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x14ac:dyDescent="0.15">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6" customHeight="1" x14ac:dyDescent="0.15">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x14ac:dyDescent="0.2">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x14ac:dyDescent="0.15">
      <c r="A14" s="105">
        <f>data!$NA$30</f>
        <v>0</v>
      </c>
      <c r="B14" s="106">
        <f>data!$NB$30</f>
        <v>0</v>
      </c>
      <c r="C14" s="39">
        <f>data!NC30</f>
        <v>21.060609920000001</v>
      </c>
      <c r="D14" s="41">
        <f>data!ND30</f>
        <v>2.9127536302614354</v>
      </c>
      <c r="E14" s="40">
        <f>data!NE30</f>
        <v>4.1374573271659124E-2</v>
      </c>
      <c r="F14" s="41">
        <f>data!NF30</f>
        <v>8.1567147836903668</v>
      </c>
      <c r="G14" s="607">
        <f>data!NG42</f>
        <v>0.38283888824784751</v>
      </c>
      <c r="H14" s="30">
        <f>data!NH30</f>
        <v>25360604428</v>
      </c>
      <c r="I14" s="30">
        <f>data!NI30</f>
        <v>61344368000</v>
      </c>
      <c r="J14" s="50">
        <f>data!NJ30</f>
        <v>0.28427638897439927</v>
      </c>
      <c r="K14" s="50">
        <f>data!NK30</f>
        <v>0.78037220955638498</v>
      </c>
      <c r="L14" s="50">
        <f>data!NL30</f>
        <v>0.95838754012134308</v>
      </c>
      <c r="M14" s="52">
        <f>data!NM30</f>
        <v>0.54735414269546567</v>
      </c>
      <c r="N14" s="53">
        <f>data!NN30</f>
        <v>1.2041723636843276</v>
      </c>
      <c r="P14" s="105">
        <f>data!$NA$30</f>
        <v>0</v>
      </c>
      <c r="Q14" s="106">
        <f>data!$NB$30</f>
        <v>0</v>
      </c>
      <c r="R14" s="93">
        <f>data!NO30</f>
        <v>1.5786846451142425E-4</v>
      </c>
      <c r="S14" s="94">
        <f>data!NP30</f>
        <v>0</v>
      </c>
      <c r="T14" s="94">
        <f>data!NQ30</f>
        <v>0.21960564946788405</v>
      </c>
      <c r="U14" s="94">
        <f>data!NR30</f>
        <v>6.7943635871443364E-2</v>
      </c>
      <c r="V14" s="94">
        <f>data!NS30</f>
        <v>1.7576909001123572E-2</v>
      </c>
      <c r="W14" s="94">
        <f>data!NT30</f>
        <v>7.5642079019150842E-3</v>
      </c>
      <c r="X14" s="94">
        <f>data!NU30</f>
        <v>0.18474329828326705</v>
      </c>
      <c r="Y14" s="94">
        <f>data!NV30</f>
        <v>3.621195855472179</v>
      </c>
      <c r="Z14" s="94">
        <f>data!NW30</f>
        <v>1.7869632902147567</v>
      </c>
      <c r="AA14" s="94">
        <f>data!NX30</f>
        <v>8.7166634437816413</v>
      </c>
      <c r="AB14" s="94">
        <f>data!NY30</f>
        <v>9.4531374700632846E-4</v>
      </c>
      <c r="AC14" s="94">
        <f>data!NZ30</f>
        <v>0.90722805245142801</v>
      </c>
      <c r="AD14" s="94">
        <f>data!OA30</f>
        <v>0</v>
      </c>
      <c r="AE14" s="94">
        <f>data!OB30</f>
        <v>0.10892639472549011</v>
      </c>
      <c r="AF14" s="94">
        <f>data!OC30</f>
        <v>0</v>
      </c>
      <c r="AG14" s="94">
        <f>data!OD30</f>
        <v>2.6681993207855914</v>
      </c>
      <c r="AH14" s="94">
        <f>data!OE30</f>
        <v>0.81775675322050312</v>
      </c>
      <c r="AI14" s="94">
        <f>data!OF30</f>
        <v>0.51528404696291852</v>
      </c>
      <c r="AJ14" s="94">
        <f>data!OG30</f>
        <v>1.4198745291023354</v>
      </c>
      <c r="AK14" s="94">
        <f>data!OH30</f>
        <v>0</v>
      </c>
      <c r="AL14" s="95">
        <f>data!OI30</f>
        <v>21.060609920000001</v>
      </c>
      <c r="AR14" s="20"/>
    </row>
    <row r="15" spans="1:44" ht="15.75" customHeight="1" x14ac:dyDescent="0.15">
      <c r="A15" s="107">
        <f>data!$NA$31</f>
        <v>0</v>
      </c>
      <c r="B15" s="108">
        <f>data!$NB$31</f>
        <v>1</v>
      </c>
      <c r="C15" s="42">
        <f>data!NC31</f>
        <v>21.031784640000001</v>
      </c>
      <c r="D15" s="11">
        <f>data!ND31</f>
        <v>2.9167457279554951</v>
      </c>
      <c r="E15" s="4">
        <f>data!NE31</f>
        <v>4.1431279522690621E-2</v>
      </c>
      <c r="F15" s="11">
        <f>data!NF31</f>
        <v>8.1768088458326851</v>
      </c>
      <c r="G15" s="608"/>
      <c r="H15" s="5">
        <f>data!NH31</f>
        <v>25360604705</v>
      </c>
      <c r="I15" s="5">
        <f>data!NI31</f>
        <v>61344368000</v>
      </c>
      <c r="J15" s="51">
        <f>data!NJ31</f>
        <v>0.2842763858694039</v>
      </c>
      <c r="K15" s="113">
        <f>data!NK31</f>
        <v>0.78037220955638498</v>
      </c>
      <c r="L15" s="113">
        <f>data!NL31</f>
        <v>0.95841036705458227</v>
      </c>
      <c r="M15" s="54">
        <f>data!NM31</f>
        <v>0.54810433688585902</v>
      </c>
      <c r="N15" s="55">
        <f>data!NN31</f>
        <v>1.2058227648816395</v>
      </c>
      <c r="P15" s="109">
        <f>data!$NA$31</f>
        <v>0</v>
      </c>
      <c r="Q15" s="110">
        <f>data!$NB$31</f>
        <v>1</v>
      </c>
      <c r="R15" s="96">
        <f>data!NO31</f>
        <v>1.5444544503685786E-4</v>
      </c>
      <c r="S15" s="97">
        <f>data!NP31</f>
        <v>0</v>
      </c>
      <c r="T15" s="97">
        <f>data!NQ31</f>
        <v>0.22302901608280359</v>
      </c>
      <c r="U15" s="97">
        <f>data!NR31</f>
        <v>4.3138023822720917E-2</v>
      </c>
      <c r="V15" s="97">
        <f>data!NS31</f>
        <v>1.6147209967282326E-2</v>
      </c>
      <c r="W15" s="97">
        <f>data!NT31</f>
        <v>7.5790996363007922E-3</v>
      </c>
      <c r="X15" s="97">
        <f>data!NU31</f>
        <v>0.17315585773068537</v>
      </c>
      <c r="Y15" s="97">
        <f>data!NV31</f>
        <v>3.6212735471278474</v>
      </c>
      <c r="Z15" s="97">
        <f>data!NW31</f>
        <v>1.7885238170646798</v>
      </c>
      <c r="AA15" s="97">
        <f>data!NX31</f>
        <v>8.7207228524836857</v>
      </c>
      <c r="AB15" s="97">
        <f>data!NY31</f>
        <v>9.3620569439775974E-4</v>
      </c>
      <c r="AC15" s="97">
        <f>data!NZ31</f>
        <v>0.905953166432798</v>
      </c>
      <c r="AD15" s="97">
        <f>data!OA31</f>
        <v>0</v>
      </c>
      <c r="AE15" s="97">
        <f>data!OB31</f>
        <v>0.10897822502984973</v>
      </c>
      <c r="AF15" s="97">
        <f>data!OC31</f>
        <v>0</v>
      </c>
      <c r="AG15" s="97">
        <f>data!OD31</f>
        <v>2.6701997428150621</v>
      </c>
      <c r="AH15" s="97">
        <f>data!OE31</f>
        <v>0.81862114876715131</v>
      </c>
      <c r="AI15" s="97">
        <f>data!OF31</f>
        <v>0.51440016840959801</v>
      </c>
      <c r="AJ15" s="97">
        <f>data!OG31</f>
        <v>1.4189890420503639</v>
      </c>
      <c r="AK15" s="97">
        <f>data!OH31</f>
        <v>0</v>
      </c>
      <c r="AL15" s="98">
        <f>data!OI31</f>
        <v>21.031784640000001</v>
      </c>
      <c r="AR15" s="20"/>
    </row>
    <row r="16" spans="1:44" ht="15.75" customHeight="1" x14ac:dyDescent="0.15">
      <c r="A16" s="107">
        <f>data!$NA$32</f>
        <v>0</v>
      </c>
      <c r="B16" s="108">
        <f>data!$NB$32</f>
        <v>2</v>
      </c>
      <c r="C16" s="42">
        <f>data!NC32</f>
        <v>21.074297919999999</v>
      </c>
      <c r="D16" s="11">
        <f>data!ND32</f>
        <v>2.9108617631234477</v>
      </c>
      <c r="E16" s="4">
        <f>data!NE32</f>
        <v>4.1347700008260636E-2</v>
      </c>
      <c r="F16" s="11">
        <f>data!NF32</f>
        <v>8.135595879817572</v>
      </c>
      <c r="G16" s="608"/>
      <c r="H16" s="5">
        <f>data!NH32</f>
        <v>25360604631</v>
      </c>
      <c r="I16" s="5">
        <f>data!NI32</f>
        <v>61344368000</v>
      </c>
      <c r="J16" s="51">
        <f>data!NJ32</f>
        <v>0.28427638669889721</v>
      </c>
      <c r="K16" s="113">
        <f>data!NK32</f>
        <v>0.78037220955638498</v>
      </c>
      <c r="L16" s="113">
        <f>data!NL32</f>
        <v>0.95840422217874488</v>
      </c>
      <c r="M16" s="54">
        <f>data!NM32</f>
        <v>0.54699842056047765</v>
      </c>
      <c r="N16" s="55">
        <f>data!NN32</f>
        <v>1.2033902494532069</v>
      </c>
      <c r="P16" s="109">
        <f>data!$NA$32</f>
        <v>0</v>
      </c>
      <c r="Q16" s="110">
        <f>data!$NB$32</f>
        <v>2</v>
      </c>
      <c r="R16" s="96">
        <f>data!NO32</f>
        <v>1.6835282440187899E-4</v>
      </c>
      <c r="S16" s="97">
        <f>data!NP32</f>
        <v>0</v>
      </c>
      <c r="T16" s="97">
        <f>data!NQ32</f>
        <v>0.21727182817459351</v>
      </c>
      <c r="U16" s="97">
        <f>data!NR32</f>
        <v>8.1263770102850186E-2</v>
      </c>
      <c r="V16" s="97">
        <f>data!NS32</f>
        <v>1.7254068688017314E-2</v>
      </c>
      <c r="W16" s="97">
        <f>data!NT32</f>
        <v>7.526973123890196E-3</v>
      </c>
      <c r="X16" s="97">
        <f>data!NU32</f>
        <v>0.18705132953042536</v>
      </c>
      <c r="Y16" s="97">
        <f>data!NV32</f>
        <v>3.623692209290986</v>
      </c>
      <c r="Z16" s="97">
        <f>data!NW32</f>
        <v>1.7885524401472932</v>
      </c>
      <c r="AA16" s="97">
        <f>data!NX32</f>
        <v>8.7140286782801084</v>
      </c>
      <c r="AB16" s="97">
        <f>data!NY32</f>
        <v>9.3181203857613368E-4</v>
      </c>
      <c r="AC16" s="97">
        <f>data!NZ32</f>
        <v>0.90666583251357047</v>
      </c>
      <c r="AD16" s="97">
        <f>data!OA32</f>
        <v>0</v>
      </c>
      <c r="AE16" s="97">
        <f>data!OB32</f>
        <v>0.10895780221648919</v>
      </c>
      <c r="AF16" s="97">
        <f>data!OC32</f>
        <v>0</v>
      </c>
      <c r="AG16" s="97">
        <f>data!OD32</f>
        <v>2.6679934767752371</v>
      </c>
      <c r="AH16" s="97">
        <f>data!OE32</f>
        <v>0.81812781830868198</v>
      </c>
      <c r="AI16" s="97">
        <f>data!OF32</f>
        <v>0.51504854843408465</v>
      </c>
      <c r="AJ16" s="97">
        <f>data!OG32</f>
        <v>1.419766830701259</v>
      </c>
      <c r="AK16" s="97">
        <f>data!OH32</f>
        <v>0</v>
      </c>
      <c r="AL16" s="98">
        <f>data!OI32</f>
        <v>21.074297919999999</v>
      </c>
      <c r="AR16" s="20"/>
    </row>
    <row r="17" spans="1:44" ht="15.75" customHeight="1" x14ac:dyDescent="0.15">
      <c r="A17" s="107">
        <f>data!$NA$33</f>
        <v>0</v>
      </c>
      <c r="B17" s="108">
        <f>data!$NB$33</f>
        <v>3</v>
      </c>
      <c r="C17" s="42">
        <f>data!NC33</f>
        <v>21.074378240000001</v>
      </c>
      <c r="D17" s="11">
        <f>data!ND33</f>
        <v>2.9108506690634397</v>
      </c>
      <c r="E17" s="4">
        <f>data!NE33</f>
        <v>4.1347542421297595E-2</v>
      </c>
      <c r="F17" s="11">
        <f>data!NF33</f>
        <v>8.1677309130425844</v>
      </c>
      <c r="G17" s="608"/>
      <c r="H17" s="5">
        <f>data!NH33</f>
        <v>25360604782</v>
      </c>
      <c r="I17" s="5">
        <f>data!NI33</f>
        <v>61344368000</v>
      </c>
      <c r="J17" s="51">
        <f>data!NJ33</f>
        <v>0.28427638500628244</v>
      </c>
      <c r="K17" s="113">
        <f>data!NK33</f>
        <v>0.78037220955638498</v>
      </c>
      <c r="L17" s="113">
        <f>data!NL33</f>
        <v>0.95835221437440354</v>
      </c>
      <c r="M17" s="54">
        <f>data!NM33</f>
        <v>0.5469964695849493</v>
      </c>
      <c r="N17" s="55">
        <f>data!NN33</f>
        <v>1.2033856701814609</v>
      </c>
      <c r="P17" s="109">
        <f>data!$NA$33</f>
        <v>0</v>
      </c>
      <c r="Q17" s="110">
        <f>data!$NB$33</f>
        <v>3</v>
      </c>
      <c r="R17" s="96">
        <f>data!NO33</f>
        <v>1.6490453266555479E-4</v>
      </c>
      <c r="S17" s="97">
        <f>data!NP33</f>
        <v>0</v>
      </c>
      <c r="T17" s="97">
        <f>data!NQ33</f>
        <v>0.21811015529833669</v>
      </c>
      <c r="U17" s="97">
        <f>data!NR33</f>
        <v>8.542847441487128E-2</v>
      </c>
      <c r="V17" s="97">
        <f>data!NS33</f>
        <v>1.8161908507553844E-2</v>
      </c>
      <c r="W17" s="97">
        <f>data!NT33</f>
        <v>7.5946895611891958E-3</v>
      </c>
      <c r="X17" s="97">
        <f>data!NU33</f>
        <v>0.18854402043012516</v>
      </c>
      <c r="Y17" s="97">
        <f>data!NV33</f>
        <v>3.6233649885417365</v>
      </c>
      <c r="Z17" s="97">
        <f>data!NW33</f>
        <v>1.7877068077903326</v>
      </c>
      <c r="AA17" s="97">
        <f>data!NX33</f>
        <v>8.7062600514124142</v>
      </c>
      <c r="AB17" s="97">
        <f>data!NY33</f>
        <v>9.352817592539588E-4</v>
      </c>
      <c r="AC17" s="97">
        <f>data!NZ33</f>
        <v>0.90922722082629182</v>
      </c>
      <c r="AD17" s="97">
        <f>data!OA33</f>
        <v>0</v>
      </c>
      <c r="AE17" s="97">
        <f>data!OB33</f>
        <v>0.10898167985006244</v>
      </c>
      <c r="AF17" s="97">
        <f>data!OC33</f>
        <v>0</v>
      </c>
      <c r="AG17" s="97">
        <f>data!OD33</f>
        <v>2.6671080640168254</v>
      </c>
      <c r="AH17" s="97">
        <f>data!OE33</f>
        <v>0.81682922941388703</v>
      </c>
      <c r="AI17" s="97">
        <f>data!OF33</f>
        <v>0.51655721210855587</v>
      </c>
      <c r="AJ17" s="97">
        <f>data!OG33</f>
        <v>1.4194189008794746</v>
      </c>
      <c r="AK17" s="97">
        <f>data!OH33</f>
        <v>0</v>
      </c>
      <c r="AL17" s="98">
        <f>data!OI33</f>
        <v>21.074378240000001</v>
      </c>
      <c r="AR17" s="20"/>
    </row>
    <row r="18" spans="1:44" ht="15.75" customHeight="1" x14ac:dyDescent="0.15">
      <c r="A18" s="107">
        <f>data!$NA$34</f>
        <v>0</v>
      </c>
      <c r="B18" s="108">
        <f>data!$NB$34</f>
        <v>4</v>
      </c>
      <c r="C18" s="42">
        <f>data!NC34</f>
        <v>21.028413440000001</v>
      </c>
      <c r="D18" s="11">
        <f>data!ND34</f>
        <v>2.9172133301940635</v>
      </c>
      <c r="E18" s="4">
        <f>data!NE34</f>
        <v>4.1437921637176592E-2</v>
      </c>
      <c r="F18" s="11">
        <f>data!NF34</f>
        <v>8.1842587199959489</v>
      </c>
      <c r="G18" s="608"/>
      <c r="H18" s="5">
        <f>data!NH34</f>
        <v>25360641496</v>
      </c>
      <c r="I18" s="5">
        <f>data!NI34</f>
        <v>61344368000</v>
      </c>
      <c r="J18" s="51">
        <f>data!NJ34</f>
        <v>0.28427597346609329</v>
      </c>
      <c r="K18" s="113">
        <f>data!NK34</f>
        <v>0.78037220955638498</v>
      </c>
      <c r="L18" s="113">
        <f>data!NL34</f>
        <v>0.95831278445971113</v>
      </c>
      <c r="M18" s="54">
        <f>data!NM34</f>
        <v>0.54819449735719916</v>
      </c>
      <c r="N18" s="55">
        <f>data!NN34</f>
        <v>1.2060178276578528</v>
      </c>
      <c r="P18" s="109">
        <f>data!$NA$34</f>
        <v>0</v>
      </c>
      <c r="Q18" s="110">
        <f>data!$NB$34</f>
        <v>4</v>
      </c>
      <c r="R18" s="96">
        <f>data!NO34</f>
        <v>1.5912718735018935E-4</v>
      </c>
      <c r="S18" s="97">
        <f>data!NP34</f>
        <v>0</v>
      </c>
      <c r="T18" s="97">
        <f>data!NQ34</f>
        <v>0.2208743578848196</v>
      </c>
      <c r="U18" s="97">
        <f>data!NR34</f>
        <v>5.2590106772656325E-2</v>
      </c>
      <c r="V18" s="97">
        <f>data!NS34</f>
        <v>1.9037277200851146E-2</v>
      </c>
      <c r="W18" s="97">
        <f>data!NT34</f>
        <v>7.5477364498271401E-3</v>
      </c>
      <c r="X18" s="97">
        <f>data!NU34</f>
        <v>0.19523561273974388</v>
      </c>
      <c r="Y18" s="97">
        <f>data!NV34</f>
        <v>3.6183002236323518</v>
      </c>
      <c r="Z18" s="97">
        <f>data!NW34</f>
        <v>1.7886383570426512</v>
      </c>
      <c r="AA18" s="97">
        <f>data!NX34</f>
        <v>8.6855070476781115</v>
      </c>
      <c r="AB18" s="97">
        <f>data!NY34</f>
        <v>9.366958690697068E-4</v>
      </c>
      <c r="AC18" s="97">
        <f>data!NZ34</f>
        <v>0.91237726108269734</v>
      </c>
      <c r="AD18" s="97">
        <f>data!OA34</f>
        <v>0</v>
      </c>
      <c r="AE18" s="97">
        <f>data!OB34</f>
        <v>0.10893685688721272</v>
      </c>
      <c r="AF18" s="97">
        <f>data!OC34</f>
        <v>0</v>
      </c>
      <c r="AG18" s="97">
        <f>data!OD34</f>
        <v>2.6666989500585156</v>
      </c>
      <c r="AH18" s="97">
        <f>data!OE34</f>
        <v>0.81493189692267098</v>
      </c>
      <c r="AI18" s="97">
        <f>data!OF34</f>
        <v>0.51730149699162209</v>
      </c>
      <c r="AJ18" s="97">
        <f>data!OG34</f>
        <v>1.419348318038631</v>
      </c>
      <c r="AK18" s="97">
        <f>data!OH34</f>
        <v>0</v>
      </c>
      <c r="AL18" s="98">
        <f>data!OI34</f>
        <v>21.028413440000001</v>
      </c>
      <c r="AR18" s="20"/>
    </row>
    <row r="19" spans="1:44" ht="15.75" customHeight="1" x14ac:dyDescent="0.15">
      <c r="A19" s="107">
        <f>data!$NA$35</f>
        <v>0</v>
      </c>
      <c r="B19" s="108">
        <f>data!$NB$35</f>
        <v>5</v>
      </c>
      <c r="C19" s="42">
        <f>data!NC35</f>
        <v>21.065579840000002</v>
      </c>
      <c r="D19" s="11">
        <f>data!ND35</f>
        <v>2.9120664356704458</v>
      </c>
      <c r="E19" s="4">
        <f>data!NE35</f>
        <v>4.1364811930136317E-2</v>
      </c>
      <c r="F19" s="11">
        <f>data!NF35</f>
        <v>8.1390549712967211</v>
      </c>
      <c r="G19" s="608"/>
      <c r="H19" s="5">
        <f>data!NH35</f>
        <v>25360646449</v>
      </c>
      <c r="I19" s="5">
        <f>data!NI35</f>
        <v>61344368000</v>
      </c>
      <c r="J19" s="51">
        <f>data!NJ35</f>
        <v>0.28427591794625867</v>
      </c>
      <c r="K19" s="113">
        <f>data!NK35</f>
        <v>0.78037220955638498</v>
      </c>
      <c r="L19" s="113">
        <f>data!NL35</f>
        <v>0.95835309071104013</v>
      </c>
      <c r="M19" s="54">
        <f>data!NM35</f>
        <v>0.54722732967939292</v>
      </c>
      <c r="N19" s="55">
        <f>data!NN35</f>
        <v>1.2038902627709487</v>
      </c>
      <c r="P19" s="109">
        <f>data!$NA$35</f>
        <v>0</v>
      </c>
      <c r="Q19" s="110">
        <f>data!$NB$35</f>
        <v>5</v>
      </c>
      <c r="R19" s="96">
        <f>data!NO35</f>
        <v>1.6147850932302893E-4</v>
      </c>
      <c r="S19" s="97">
        <f>data!NP35</f>
        <v>0</v>
      </c>
      <c r="T19" s="97">
        <f>data!NQ35</f>
        <v>0.21662296599878322</v>
      </c>
      <c r="U19" s="97">
        <f>data!NR35</f>
        <v>7.764204454254138E-2</v>
      </c>
      <c r="V19" s="97">
        <f>data!NS35</f>
        <v>1.8292345485444693E-2</v>
      </c>
      <c r="W19" s="97">
        <f>data!NT35</f>
        <v>7.5486535481902629E-3</v>
      </c>
      <c r="X19" s="97">
        <f>data!NU35</f>
        <v>0.19329908135656218</v>
      </c>
      <c r="Y19" s="97">
        <f>data!NV35</f>
        <v>3.6223744123321984</v>
      </c>
      <c r="Z19" s="97">
        <f>data!NW35</f>
        <v>1.7890300719833887</v>
      </c>
      <c r="AA19" s="97">
        <f>data!NX35</f>
        <v>8.6984106279162496</v>
      </c>
      <c r="AB19" s="97">
        <f>data!NY35</f>
        <v>9.2953339924541848E-4</v>
      </c>
      <c r="AC19" s="97">
        <f>data!NZ35</f>
        <v>0.91161889915743166</v>
      </c>
      <c r="AD19" s="97">
        <f>data!OA35</f>
        <v>0</v>
      </c>
      <c r="AE19" s="97">
        <f>data!OB35</f>
        <v>0.10898126491013106</v>
      </c>
      <c r="AF19" s="97">
        <f>data!OC35</f>
        <v>0</v>
      </c>
      <c r="AG19" s="97">
        <f>data!OD35</f>
        <v>2.6668518609016307</v>
      </c>
      <c r="AH19" s="97">
        <f>data!OE35</f>
        <v>0.81682827317621887</v>
      </c>
      <c r="AI19" s="97">
        <f>data!OF35</f>
        <v>0.51692455096907342</v>
      </c>
      <c r="AJ19" s="97">
        <f>data!OG35</f>
        <v>1.4200244467964391</v>
      </c>
      <c r="AK19" s="97">
        <f>data!OH35</f>
        <v>3.9329017150070734E-5</v>
      </c>
      <c r="AL19" s="98">
        <f>data!OI35</f>
        <v>21.065579840000002</v>
      </c>
      <c r="AR19" s="20"/>
    </row>
    <row r="20" spans="1:44" ht="15.75" customHeight="1" x14ac:dyDescent="0.15">
      <c r="A20" s="107">
        <f>data!$NA$36</f>
        <v>0</v>
      </c>
      <c r="B20" s="108">
        <f>data!$NB$36</f>
        <v>6</v>
      </c>
      <c r="C20" s="42">
        <f>data!NC36</f>
        <v>20.9964592</v>
      </c>
      <c r="D20" s="11">
        <f>data!ND36</f>
        <v>2.9216529994733591</v>
      </c>
      <c r="E20" s="4">
        <f>data!NE36</f>
        <v>4.1500985474773343E-2</v>
      </c>
      <c r="F20" s="11">
        <f>data!NF36</f>
        <v>8.1795719034378891</v>
      </c>
      <c r="G20" s="608"/>
      <c r="H20" s="5">
        <f>data!NH36</f>
        <v>25360648624</v>
      </c>
      <c r="I20" s="5">
        <f>data!NI36</f>
        <v>61344368000</v>
      </c>
      <c r="J20" s="51">
        <f>data!NJ36</f>
        <v>0.28427589356596261</v>
      </c>
      <c r="K20" s="113">
        <f>data!NK36</f>
        <v>0.78037220955638498</v>
      </c>
      <c r="L20" s="113">
        <f>data!NL36</f>
        <v>0.95831943945666309</v>
      </c>
      <c r="M20" s="54">
        <f>data!NM36</f>
        <v>0.54902876437092085</v>
      </c>
      <c r="N20" s="55">
        <f>data!NN36</f>
        <v>1.2078535900948479</v>
      </c>
      <c r="P20" s="109">
        <f>data!$NA$36</f>
        <v>0</v>
      </c>
      <c r="Q20" s="110">
        <f>data!$NB$36</f>
        <v>6</v>
      </c>
      <c r="R20" s="96">
        <f>data!NO36</f>
        <v>6.9692797674958512E-5</v>
      </c>
      <c r="S20" s="97">
        <f>data!NP36</f>
        <v>0</v>
      </c>
      <c r="T20" s="97">
        <f>data!NQ36</f>
        <v>0.21765540626595298</v>
      </c>
      <c r="U20" s="97">
        <f>data!NR36</f>
        <v>3.0799694720089848E-2</v>
      </c>
      <c r="V20" s="97">
        <f>data!NS36</f>
        <v>1.9791258164780692E-2</v>
      </c>
      <c r="W20" s="97">
        <f>data!NT36</f>
        <v>7.5698720186149837E-3</v>
      </c>
      <c r="X20" s="97">
        <f>data!NU36</f>
        <v>0.2001022867777062</v>
      </c>
      <c r="Y20" s="97">
        <f>data!NV36</f>
        <v>3.6191512146561036</v>
      </c>
      <c r="Z20" s="97">
        <f>data!NW36</f>
        <v>1.7893636962220558</v>
      </c>
      <c r="AA20" s="97">
        <f>data!NX36</f>
        <v>8.6715992062554825</v>
      </c>
      <c r="AB20" s="97">
        <f>data!NY36</f>
        <v>9.2114784746111255E-4</v>
      </c>
      <c r="AC20" s="97">
        <f>data!NZ36</f>
        <v>0.91298593916491555</v>
      </c>
      <c r="AD20" s="97">
        <f>data!OA36</f>
        <v>0</v>
      </c>
      <c r="AE20" s="97">
        <f>data!OB36</f>
        <v>0.1089587766202625</v>
      </c>
      <c r="AF20" s="97">
        <f>data!OC36</f>
        <v>0</v>
      </c>
      <c r="AG20" s="97">
        <f>data!OD36</f>
        <v>2.6650698991299335</v>
      </c>
      <c r="AH20" s="97">
        <f>data!OE36</f>
        <v>0.81435934855168857</v>
      </c>
      <c r="AI20" s="97">
        <f>data!OF36</f>
        <v>0.51842151400193448</v>
      </c>
      <c r="AJ20" s="97">
        <f>data!OG36</f>
        <v>1.419665366994556</v>
      </c>
      <c r="AK20" s="97">
        <f>data!OH36</f>
        <v>0</v>
      </c>
      <c r="AL20" s="98">
        <f>data!OI36</f>
        <v>20.9964592</v>
      </c>
      <c r="AR20" s="20"/>
    </row>
    <row r="21" spans="1:44" ht="15.75" customHeight="1" x14ac:dyDescent="0.15">
      <c r="A21" s="107">
        <f>data!$NA$37</f>
        <v>0</v>
      </c>
      <c r="B21" s="108">
        <f>data!$NB$37</f>
        <v>7</v>
      </c>
      <c r="C21" s="42">
        <f>data!NC37</f>
        <v>21.044628800000002</v>
      </c>
      <c r="D21" s="11">
        <f>data!ND37</f>
        <v>2.9149655516850932</v>
      </c>
      <c r="E21" s="4">
        <f>data!NE37</f>
        <v>4.1405992786191177E-2</v>
      </c>
      <c r="F21" s="11">
        <f>data!NF37</f>
        <v>8.1569395508653493</v>
      </c>
      <c r="G21" s="608"/>
      <c r="H21" s="5">
        <f>data!NH37</f>
        <v>25360604675</v>
      </c>
      <c r="I21" s="5">
        <f>data!NI37</f>
        <v>61344368000</v>
      </c>
      <c r="J21" s="51">
        <f>data!NJ37</f>
        <v>0.28427638620568496</v>
      </c>
      <c r="K21" s="113">
        <f>data!NK37</f>
        <v>0.78037220955638498</v>
      </c>
      <c r="L21" s="113">
        <f>data!NL37</f>
        <v>0.95838175746148868</v>
      </c>
      <c r="M21" s="54">
        <f>data!NM37</f>
        <v>0.54776973767068327</v>
      </c>
      <c r="N21" s="55">
        <f>data!NN37</f>
        <v>1.2050868141233262</v>
      </c>
      <c r="P21" s="109">
        <f>data!$NA$37</f>
        <v>0</v>
      </c>
      <c r="Q21" s="110">
        <f>data!$NB$37</f>
        <v>7</v>
      </c>
      <c r="R21" s="96">
        <f>data!NO37</f>
        <v>6.6356116977857522E-5</v>
      </c>
      <c r="S21" s="97">
        <f>data!NP37</f>
        <v>0</v>
      </c>
      <c r="T21" s="97">
        <f>data!NQ37</f>
        <v>0.2181881760658313</v>
      </c>
      <c r="U21" s="97">
        <f>data!NR37</f>
        <v>7.3075763638646277E-2</v>
      </c>
      <c r="V21" s="97">
        <f>data!NS37</f>
        <v>2.0780133729475223E-2</v>
      </c>
      <c r="W21" s="97">
        <f>data!NT37</f>
        <v>7.6980508084511902E-3</v>
      </c>
      <c r="X21" s="97">
        <f>data!NU37</f>
        <v>0.20712417068503908</v>
      </c>
      <c r="Y21" s="97">
        <f>data!NV37</f>
        <v>3.6220895892619596</v>
      </c>
      <c r="Z21" s="97">
        <f>data!NW37</f>
        <v>1.790320084765497</v>
      </c>
      <c r="AA21" s="97">
        <f>data!NX37</f>
        <v>8.6672531467525022</v>
      </c>
      <c r="AB21" s="97">
        <f>data!NY37</f>
        <v>9.2576799681961988E-4</v>
      </c>
      <c r="AC21" s="97">
        <f>data!NZ37</f>
        <v>0.91363541108789659</v>
      </c>
      <c r="AD21" s="97">
        <f>data!OA37</f>
        <v>0</v>
      </c>
      <c r="AE21" s="97">
        <f>data!OB37</f>
        <v>0.10896054434783388</v>
      </c>
      <c r="AF21" s="97">
        <f>data!OC37</f>
        <v>0</v>
      </c>
      <c r="AG21" s="97">
        <f>data!OD37</f>
        <v>2.661561075904372</v>
      </c>
      <c r="AH21" s="97">
        <f>data!OE37</f>
        <v>0.8144369719046064</v>
      </c>
      <c r="AI21" s="97">
        <f>data!OF37</f>
        <v>0.518501531206355</v>
      </c>
      <c r="AJ21" s="97">
        <f>data!OG37</f>
        <v>1.4200367738398283</v>
      </c>
      <c r="AK21" s="97">
        <f>data!OH37</f>
        <v>0</v>
      </c>
      <c r="AL21" s="98">
        <f>data!OI37</f>
        <v>21.044628800000002</v>
      </c>
      <c r="AR21" s="20"/>
    </row>
    <row r="22" spans="1:44" ht="15.75" customHeight="1" x14ac:dyDescent="0.15">
      <c r="A22" s="107">
        <f>data!$NA$38</f>
        <v>0</v>
      </c>
      <c r="B22" s="108">
        <f>data!$NB$38</f>
        <v>8</v>
      </c>
      <c r="C22" s="42">
        <f>data!NC38</f>
        <v>21.043514559999998</v>
      </c>
      <c r="D22" s="11">
        <f>data!ND38</f>
        <v>2.9151198971584718</v>
      </c>
      <c r="E22" s="4">
        <f>data!NE38</f>
        <v>4.1408185205773496E-2</v>
      </c>
      <c r="F22" s="11">
        <f>data!NF38</f>
        <v>8.1550958689288446</v>
      </c>
      <c r="G22" s="608"/>
      <c r="H22" s="5">
        <f>data!NH38</f>
        <v>25360635074</v>
      </c>
      <c r="I22" s="5">
        <f>data!NI38</f>
        <v>61344368000</v>
      </c>
      <c r="J22" s="51">
        <f>data!NJ38</f>
        <v>0.28427604545247281</v>
      </c>
      <c r="K22" s="113">
        <f>data!NK38</f>
        <v>0.78037220955638498</v>
      </c>
      <c r="L22" s="113">
        <f>data!NL38</f>
        <v>0.95836388832790098</v>
      </c>
      <c r="M22" s="54">
        <f>data!NM38</f>
        <v>0.54780069207531601</v>
      </c>
      <c r="N22" s="55">
        <f>data!NN38</f>
        <v>1.2051520672409963</v>
      </c>
      <c r="P22" s="109">
        <f>data!$NA$38</f>
        <v>0</v>
      </c>
      <c r="Q22" s="110">
        <f>data!$NB$38</f>
        <v>8</v>
      </c>
      <c r="R22" s="96">
        <f>data!NO38</f>
        <v>1.2158373155490833E-4</v>
      </c>
      <c r="S22" s="97">
        <f>data!NP38</f>
        <v>0</v>
      </c>
      <c r="T22" s="97">
        <f>data!NQ38</f>
        <v>0.22058941115343089</v>
      </c>
      <c r="U22" s="97">
        <f>data!NR38</f>
        <v>6.851802921323856E-2</v>
      </c>
      <c r="V22" s="97">
        <f>data!NS38</f>
        <v>2.0749659365403326E-2</v>
      </c>
      <c r="W22" s="97">
        <f>data!NT38</f>
        <v>7.7060989977916772E-3</v>
      </c>
      <c r="X22" s="97">
        <f>data!NU38</f>
        <v>0.21067687615702721</v>
      </c>
      <c r="Y22" s="97">
        <f>data!NV38</f>
        <v>3.6207223992428523</v>
      </c>
      <c r="Z22" s="97">
        <f>data!NW38</f>
        <v>1.7892387526967481</v>
      </c>
      <c r="AA22" s="97">
        <f>data!NX38</f>
        <v>8.6671150698767168</v>
      </c>
      <c r="AB22" s="97">
        <f>data!NY38</f>
        <v>9.3496745181950258E-4</v>
      </c>
      <c r="AC22" s="97">
        <f>data!NZ38</f>
        <v>0.91367409245068743</v>
      </c>
      <c r="AD22" s="97">
        <f>data!OA38</f>
        <v>0</v>
      </c>
      <c r="AE22" s="97">
        <f>data!OB38</f>
        <v>0.10894547074413573</v>
      </c>
      <c r="AF22" s="97">
        <f>data!OC38</f>
        <v>0</v>
      </c>
      <c r="AG22" s="97">
        <f>data!OD38</f>
        <v>2.6615972909086452</v>
      </c>
      <c r="AH22" s="97">
        <f>data!OE38</f>
        <v>0.81438022220454509</v>
      </c>
      <c r="AI22" s="97">
        <f>data!OF38</f>
        <v>0.51835022395837538</v>
      </c>
      <c r="AJ22" s="97">
        <f>data!OG38</f>
        <v>1.4202284506743315</v>
      </c>
      <c r="AK22" s="97">
        <f>data!OH38</f>
        <v>0</v>
      </c>
      <c r="AL22" s="98">
        <f>data!OI38</f>
        <v>21.043514559999998</v>
      </c>
      <c r="AR22" s="20"/>
    </row>
    <row r="23" spans="1:44" ht="15.75" customHeight="1" x14ac:dyDescent="0.15">
      <c r="A23" s="107">
        <f>data!$NA$39</f>
        <v>0</v>
      </c>
      <c r="B23" s="108">
        <f>data!$NB$39</f>
        <v>9</v>
      </c>
      <c r="C23" s="42">
        <f>data!NC39</f>
        <v>21.013639999999999</v>
      </c>
      <c r="D23" s="11">
        <f>data!ND39</f>
        <v>2.9192642493161589</v>
      </c>
      <c r="E23" s="4">
        <f>data!NE39</f>
        <v>4.1467054174377745E-2</v>
      </c>
      <c r="F23" s="11">
        <f>data!NF39</f>
        <v>8.1993544429237399</v>
      </c>
      <c r="G23" s="608"/>
      <c r="H23" s="5">
        <f>data!NH39</f>
        <v>25360633050</v>
      </c>
      <c r="I23" s="5">
        <f>data!NI39</f>
        <v>61344368000</v>
      </c>
      <c r="J23" s="51">
        <f>data!NJ39</f>
        <v>0.28427606814018391</v>
      </c>
      <c r="K23" s="113">
        <f>data!NK39</f>
        <v>0.78037220955638498</v>
      </c>
      <c r="L23" s="113">
        <f>data!NL39</f>
        <v>0.95834497679229214</v>
      </c>
      <c r="M23" s="54">
        <f>data!NM39</f>
        <v>0.5485791980040472</v>
      </c>
      <c r="N23" s="55">
        <f>data!NN39</f>
        <v>1.2068653051065881</v>
      </c>
      <c r="P23" s="109">
        <f>data!$NA$39</f>
        <v>0</v>
      </c>
      <c r="Q23" s="110">
        <f>data!$NB$39</f>
        <v>9</v>
      </c>
      <c r="R23" s="96">
        <f>data!NO39</f>
        <v>1.6681960046845422E-4</v>
      </c>
      <c r="S23" s="97">
        <f>data!NP39</f>
        <v>0</v>
      </c>
      <c r="T23" s="97">
        <f>data!NQ39</f>
        <v>0.21793139047703045</v>
      </c>
      <c r="U23" s="97">
        <f>data!NR39</f>
        <v>4.5617531005730176E-2</v>
      </c>
      <c r="V23" s="97">
        <f>data!NS39</f>
        <v>2.1081145414759569E-2</v>
      </c>
      <c r="W23" s="97">
        <f>data!NT39</f>
        <v>7.617002325373678E-3</v>
      </c>
      <c r="X23" s="97">
        <f>data!NU39</f>
        <v>0.20700927984455347</v>
      </c>
      <c r="Y23" s="97">
        <f>data!NV39</f>
        <v>3.6202517676422605</v>
      </c>
      <c r="Z23" s="97">
        <f>data!NW39</f>
        <v>1.7892045342724043</v>
      </c>
      <c r="AA23" s="97">
        <f>data!NX39</f>
        <v>8.6663505398128713</v>
      </c>
      <c r="AB23" s="97">
        <f>data!NY39</f>
        <v>9.3676195087692401E-4</v>
      </c>
      <c r="AC23" s="97">
        <f>data!NZ39</f>
        <v>0.91363752586081015</v>
      </c>
      <c r="AD23" s="97">
        <f>data!OA39</f>
        <v>0</v>
      </c>
      <c r="AE23" s="97">
        <f>data!OB39</f>
        <v>0.10899040373286591</v>
      </c>
      <c r="AF23" s="97">
        <f>data!OC39</f>
        <v>0</v>
      </c>
      <c r="AG23" s="97">
        <f>data!OD39</f>
        <v>2.6622179680537648</v>
      </c>
      <c r="AH23" s="97">
        <f>data!OE39</f>
        <v>0.81457460725304165</v>
      </c>
      <c r="AI23" s="97">
        <f>data!OF39</f>
        <v>0.51854866620215356</v>
      </c>
      <c r="AJ23" s="97">
        <f>data!OG39</f>
        <v>1.4195176750340526</v>
      </c>
      <c r="AK23" s="97">
        <f>data!OH39</f>
        <v>0</v>
      </c>
      <c r="AL23" s="98">
        <f>data!OI39</f>
        <v>21.013639999999999</v>
      </c>
      <c r="AR23" s="20"/>
    </row>
    <row r="24" spans="1:44" ht="15.75" customHeight="1" x14ac:dyDescent="0.15">
      <c r="A24" s="107">
        <f>data!$NA$40</f>
        <v>0</v>
      </c>
      <c r="B24" s="108">
        <f>data!$NB$40</f>
        <v>10</v>
      </c>
      <c r="C24" s="42">
        <f>data!NC40</f>
        <v>21.059564160000001</v>
      </c>
      <c r="D24" s="11">
        <f>data!ND40</f>
        <v>2.9128982695907797</v>
      </c>
      <c r="E24" s="4">
        <f>data!NE40</f>
        <v>4.137662781910445E-2</v>
      </c>
      <c r="F24" s="11">
        <f>data!NF40</f>
        <v>8.1716458998171397</v>
      </c>
      <c r="G24" s="608"/>
      <c r="H24" s="5">
        <f>data!NH40</f>
        <v>25360637869</v>
      </c>
      <c r="I24" s="5">
        <f>data!NI40</f>
        <v>61344368000</v>
      </c>
      <c r="J24" s="51">
        <f>data!NJ40</f>
        <v>0.28427601412236386</v>
      </c>
      <c r="K24" s="113">
        <f>data!NK40</f>
        <v>0.78037220955638498</v>
      </c>
      <c r="L24" s="113">
        <f>data!NL40</f>
        <v>0.95835920267525154</v>
      </c>
      <c r="M24" s="54">
        <f>data!NM40</f>
        <v>0.54738314537954269</v>
      </c>
      <c r="N24" s="55">
        <f>data!NN40</f>
        <v>1.204233747494611</v>
      </c>
      <c r="P24" s="109">
        <f>data!$NA$40</f>
        <v>0</v>
      </c>
      <c r="Q24" s="110">
        <f>data!$NB$40</f>
        <v>10</v>
      </c>
      <c r="R24" s="96">
        <f>data!NO40</f>
        <v>1.4905731341695202E-4</v>
      </c>
      <c r="S24" s="97">
        <f>data!NP40</f>
        <v>0</v>
      </c>
      <c r="T24" s="97">
        <f>data!NQ40</f>
        <v>0.2172654192297252</v>
      </c>
      <c r="U24" s="97">
        <f>data!NR40</f>
        <v>8.2855119454462639E-2</v>
      </c>
      <c r="V24" s="97">
        <f>data!NS40</f>
        <v>2.0446647696512502E-2</v>
      </c>
      <c r="W24" s="97">
        <f>data!NT40</f>
        <v>7.6277114688163049E-3</v>
      </c>
      <c r="X24" s="97">
        <f>data!NU40</f>
        <v>0.21100947183833629</v>
      </c>
      <c r="Y24" s="97">
        <f>data!NV40</f>
        <v>3.6216600181207204</v>
      </c>
      <c r="Z24" s="97">
        <f>data!NW40</f>
        <v>1.7895615476529747</v>
      </c>
      <c r="AA24" s="97">
        <f>data!NX40</f>
        <v>8.6688134206250105</v>
      </c>
      <c r="AB24" s="97">
        <f>data!NY40</f>
        <v>9.2008099357029276E-4</v>
      </c>
      <c r="AC24" s="97">
        <f>data!NZ40</f>
        <v>0.91375575150348509</v>
      </c>
      <c r="AD24" s="97">
        <f>data!OA40</f>
        <v>0</v>
      </c>
      <c r="AE24" s="97">
        <f>data!OB40</f>
        <v>0.10901417924659755</v>
      </c>
      <c r="AF24" s="97">
        <f>data!OC40</f>
        <v>0</v>
      </c>
      <c r="AG24" s="97">
        <f>data!OD40</f>
        <v>2.6627631182892175</v>
      </c>
      <c r="AH24" s="97">
        <f>data!OE40</f>
        <v>0.81476354353108871</v>
      </c>
      <c r="AI24" s="97">
        <f>data!OF40</f>
        <v>0.51872039765382005</v>
      </c>
      <c r="AJ24" s="97">
        <f>data!OG40</f>
        <v>1.4202433624618178</v>
      </c>
      <c r="AK24" s="97">
        <f>data!OH40</f>
        <v>0</v>
      </c>
      <c r="AL24" s="98">
        <f>data!OI40</f>
        <v>21.059564160000001</v>
      </c>
      <c r="AR24" s="20"/>
    </row>
    <row r="25" spans="1:44" ht="15.75" customHeight="1" thickBot="1" x14ac:dyDescent="0.2">
      <c r="A25" s="114">
        <f>data!$NA$41</f>
        <v>0</v>
      </c>
      <c r="B25" s="463">
        <f>data!$NB$41</f>
        <v>11</v>
      </c>
      <c r="C25" s="115">
        <f>data!NC41</f>
        <v>21.060104320000001</v>
      </c>
      <c r="D25" s="116">
        <f>data!ND41</f>
        <v>2.9128235581313588</v>
      </c>
      <c r="E25" s="32">
        <f>data!NE41</f>
        <v>4.1375566570834112E-2</v>
      </c>
      <c r="F25" s="116">
        <f>data!NF41</f>
        <v>8.1841418449346026</v>
      </c>
      <c r="G25" s="608"/>
      <c r="H25" s="33">
        <f>data!NH41</f>
        <v>25360642506</v>
      </c>
      <c r="I25" s="33">
        <f>data!NI41</f>
        <v>61344368000</v>
      </c>
      <c r="J25" s="117">
        <f>data!NJ41</f>
        <v>0.2842759621446635</v>
      </c>
      <c r="K25" s="118">
        <f>data!NK41</f>
        <v>0.78037220955638498</v>
      </c>
      <c r="L25" s="118">
        <f>data!NL41</f>
        <v>0.95839580777562972</v>
      </c>
      <c r="M25" s="119">
        <f>data!NM41</f>
        <v>0.54736941136585038</v>
      </c>
      <c r="N25" s="120">
        <f>data!NN41</f>
        <v>1.2042030808895823</v>
      </c>
      <c r="P25" s="114">
        <f>data!$NA$41</f>
        <v>0</v>
      </c>
      <c r="Q25" s="463">
        <f>data!$NB$41</f>
        <v>11</v>
      </c>
      <c r="R25" s="99">
        <f>data!NO41</f>
        <v>1.3069536057564116E-4</v>
      </c>
      <c r="S25" s="100">
        <f>data!NP41</f>
        <v>0</v>
      </c>
      <c r="T25" s="100">
        <f>data!NQ41</f>
        <v>0.21301537680564114</v>
      </c>
      <c r="U25" s="100">
        <f>data!NR41</f>
        <v>8.3560357417383532E-2</v>
      </c>
      <c r="V25" s="100">
        <f>data!NS41</f>
        <v>2.3344879717354512E-2</v>
      </c>
      <c r="W25" s="100">
        <f>data!NT41</f>
        <v>7.7060186930832698E-3</v>
      </c>
      <c r="X25" s="100">
        <f>data!NU41</f>
        <v>0.21512447576686894</v>
      </c>
      <c r="Y25" s="100">
        <f>data!NV41</f>
        <v>3.6229738619722998</v>
      </c>
      <c r="Z25" s="100">
        <f>data!NW41</f>
        <v>1.7892573843254538</v>
      </c>
      <c r="AA25" s="100">
        <f>data!NX41</f>
        <v>8.6662022782304611</v>
      </c>
      <c r="AB25" s="100">
        <f>data!NY41</f>
        <v>9.2540276500115246E-4</v>
      </c>
      <c r="AC25" s="100">
        <f>data!NZ41</f>
        <v>0.91345093463434668</v>
      </c>
      <c r="AD25" s="100">
        <f>data!OA41</f>
        <v>0</v>
      </c>
      <c r="AE25" s="100">
        <f>data!OB41</f>
        <v>0.10900804059165173</v>
      </c>
      <c r="AF25" s="100">
        <f>data!OC41</f>
        <v>0</v>
      </c>
      <c r="AG25" s="100">
        <f>data!OD41</f>
        <v>2.6616738386001231</v>
      </c>
      <c r="AH25" s="100">
        <f>data!OE41</f>
        <v>0.81457673842365252</v>
      </c>
      <c r="AI25" s="100">
        <f>data!OF41</f>
        <v>0.51808256616867332</v>
      </c>
      <c r="AJ25" s="100">
        <f>data!OG41</f>
        <v>1.4210745828196412</v>
      </c>
      <c r="AK25" s="100">
        <f>data!OH41</f>
        <v>0</v>
      </c>
      <c r="AL25" s="101">
        <f>data!OI41</f>
        <v>21.060104320000001</v>
      </c>
      <c r="AR25" s="20"/>
    </row>
    <row r="26" spans="1:44" ht="15.75" customHeight="1" thickTop="1" thickBot="1" x14ac:dyDescent="0.2">
      <c r="A26" s="631" t="str">
        <f>data!$NB$42</f>
        <v>CMG 0 total</v>
      </c>
      <c r="B26" s="632"/>
      <c r="C26" s="464">
        <f>data!NC42</f>
        <v>21.046081253333337</v>
      </c>
      <c r="D26" s="465">
        <f>data!ND42</f>
        <v>34.97717257379729</v>
      </c>
      <c r="E26" s="466">
        <f>data!NE42</f>
        <v>4.1403186735189598E-2</v>
      </c>
      <c r="F26" s="465">
        <f>data!NF42</f>
        <v>98.006755391448962</v>
      </c>
      <c r="G26" s="466">
        <f>data!NG42</f>
        <v>0.38283888824784751</v>
      </c>
      <c r="H26" s="467">
        <f>data!NH42</f>
        <v>304327508289</v>
      </c>
      <c r="I26" s="467">
        <f>data!NI42</f>
        <v>736132416000</v>
      </c>
      <c r="J26" s="468">
        <f>data!NJ42</f>
        <v>0.28427615063257505</v>
      </c>
      <c r="K26" s="468">
        <f>data!NK42</f>
        <v>0.78037220955638498</v>
      </c>
      <c r="L26" s="468">
        <f>data!NL42</f>
        <v>0.95836544133710688</v>
      </c>
      <c r="M26" s="469">
        <f>data!NM42</f>
        <v>0.54773384546914206</v>
      </c>
      <c r="N26" s="470">
        <f>data!NN42</f>
        <v>14.460055752222269</v>
      </c>
      <c r="P26" s="631" t="str">
        <f>data!$NB$42</f>
        <v>CMG 0 total</v>
      </c>
      <c r="Q26" s="632"/>
      <c r="R26" s="473">
        <f>data!NO42</f>
        <v>1.3919849032980884E-4</v>
      </c>
      <c r="S26" s="474">
        <f>data!NP42</f>
        <v>0</v>
      </c>
      <c r="T26" s="474">
        <f>data!NQ42</f>
        <v>0.21834659607540274</v>
      </c>
      <c r="U26" s="474">
        <f>data!NR42</f>
        <v>6.6036045914719552E-2</v>
      </c>
      <c r="V26" s="474">
        <f>data!NS42</f>
        <v>1.9388620244879893E-2</v>
      </c>
      <c r="W26" s="474">
        <f>data!NT42</f>
        <v>7.6071762111203133E-3</v>
      </c>
      <c r="X26" s="474">
        <f>data!NU42</f>
        <v>0.19775631342836167</v>
      </c>
      <c r="Y26" s="474">
        <f>data!NV42</f>
        <v>3.6214208406077915</v>
      </c>
      <c r="Z26" s="474">
        <f>data!NW42</f>
        <v>1.7888633986815197</v>
      </c>
      <c r="AA26" s="474">
        <f>data!NX42</f>
        <v>8.6874105302587701</v>
      </c>
      <c r="AB26" s="474">
        <f>data!NY42</f>
        <v>9.3158095942482571E-4</v>
      </c>
      <c r="AC26" s="474">
        <f>data!NZ42</f>
        <v>0.91118417393052997</v>
      </c>
      <c r="AD26" s="474">
        <f>data!OA42</f>
        <v>0</v>
      </c>
      <c r="AE26" s="474">
        <f>data!OB42</f>
        <v>0.10896996990854856</v>
      </c>
      <c r="AF26" s="474">
        <f>data!OC42</f>
        <v>0</v>
      </c>
      <c r="AG26" s="474">
        <f>data!OD42</f>
        <v>2.6651612171865766</v>
      </c>
      <c r="AH26" s="474">
        <f>data!OE42</f>
        <v>0.81584887930647809</v>
      </c>
      <c r="AI26" s="474">
        <f>data!OF42</f>
        <v>0.51717841025559708</v>
      </c>
      <c r="AJ26" s="474">
        <f>data!OG42</f>
        <v>1.4198490232827277</v>
      </c>
      <c r="AK26" s="474">
        <f>data!OH42</f>
        <v>3.2774180958392278E-6</v>
      </c>
      <c r="AL26" s="475">
        <f>data!OI42</f>
        <v>21.046081253333337</v>
      </c>
    </row>
    <row r="27" spans="1:44" ht="15.75" customHeight="1" thickBot="1" x14ac:dyDescent="0.2">
      <c r="L27" s="1"/>
      <c r="M27" s="1"/>
      <c r="N27" s="1"/>
      <c r="O27" s="1"/>
      <c r="P27" s="1"/>
      <c r="Q27" s="1"/>
      <c r="R27" s="10"/>
      <c r="V27" s="10"/>
      <c r="Y27" s="576" t="s">
        <v>1936</v>
      </c>
      <c r="AA27" s="10"/>
      <c r="AH27" s="13"/>
    </row>
    <row r="28" spans="1:44" ht="15.75" customHeight="1" x14ac:dyDescent="0.15">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x14ac:dyDescent="0.15">
      <c r="A29" s="629"/>
      <c r="B29" s="630"/>
      <c r="C29" s="603"/>
      <c r="D29" s="605"/>
      <c r="E29" s="620"/>
      <c r="F29" s="610"/>
      <c r="G29" s="613"/>
      <c r="H29" s="613"/>
      <c r="I29" s="625"/>
      <c r="J29" s="620"/>
      <c r="K29" s="610"/>
      <c r="L29" s="613"/>
      <c r="M29" s="613"/>
      <c r="N29" s="613"/>
      <c r="O29" s="613"/>
      <c r="P29" s="772"/>
    </row>
    <row r="30" spans="1:44" ht="15.75" customHeight="1" x14ac:dyDescent="0.15">
      <c r="A30" s="629"/>
      <c r="B30" s="630"/>
      <c r="C30" s="603"/>
      <c r="D30" s="605"/>
      <c r="E30" s="620"/>
      <c r="F30" s="610"/>
      <c r="G30" s="613"/>
      <c r="H30" s="613"/>
      <c r="I30" s="625"/>
      <c r="J30" s="620"/>
      <c r="K30" s="610"/>
      <c r="L30" s="613"/>
      <c r="M30" s="613"/>
      <c r="N30" s="613"/>
      <c r="O30" s="613"/>
      <c r="P30" s="772"/>
    </row>
    <row r="31" spans="1:44" ht="15.75" customHeight="1" x14ac:dyDescent="0.15">
      <c r="A31" s="629"/>
      <c r="B31" s="630"/>
      <c r="C31" s="603"/>
      <c r="D31" s="605"/>
      <c r="E31" s="620"/>
      <c r="F31" s="610"/>
      <c r="G31" s="613"/>
      <c r="H31" s="613"/>
      <c r="I31" s="625"/>
      <c r="J31" s="620"/>
      <c r="K31" s="610"/>
      <c r="L31" s="613"/>
      <c r="M31" s="613"/>
      <c r="N31" s="613"/>
      <c r="O31" s="613"/>
      <c r="P31" s="772"/>
    </row>
    <row r="32" spans="1:44" ht="15.75" customHeight="1" x14ac:dyDescent="0.15">
      <c r="A32" s="641"/>
      <c r="B32" s="643"/>
      <c r="C32" s="618"/>
      <c r="D32" s="606"/>
      <c r="E32" s="621"/>
      <c r="F32" s="622"/>
      <c r="G32" s="623"/>
      <c r="H32" s="623"/>
      <c r="I32" s="626"/>
      <c r="J32" s="620"/>
      <c r="K32" s="610"/>
      <c r="L32" s="613"/>
      <c r="M32" s="613"/>
      <c r="N32" s="613"/>
      <c r="O32" s="613"/>
      <c r="P32" s="772"/>
    </row>
    <row r="33" spans="1:21" ht="15.75" customHeight="1" thickBot="1" x14ac:dyDescent="0.2">
      <c r="A33" s="440" t="s">
        <v>1473</v>
      </c>
      <c r="B33" s="441" t="s">
        <v>1474</v>
      </c>
      <c r="C33" s="519"/>
      <c r="D33" s="520"/>
      <c r="E33" s="521"/>
      <c r="F33" s="521"/>
      <c r="G33" s="45"/>
      <c r="H33" s="14"/>
      <c r="I33" s="15"/>
      <c r="J33" s="633"/>
      <c r="K33" s="611"/>
      <c r="L33" s="614"/>
      <c r="M33" s="614"/>
      <c r="N33" s="614"/>
      <c r="O33" s="614"/>
      <c r="P33" s="773"/>
    </row>
    <row r="34" spans="1:21" ht="15.75" customHeight="1" thickBot="1" x14ac:dyDescent="0.2">
      <c r="A34" s="105">
        <f>data!$NA$30</f>
        <v>0</v>
      </c>
      <c r="B34" s="106">
        <f>data!$NB$30</f>
        <v>0</v>
      </c>
      <c r="C34" s="44">
        <f>data!OJ30</f>
        <v>0.22490038102293131</v>
      </c>
      <c r="D34" s="44">
        <f>data!OK30</f>
        <v>0.19971478644125296</v>
      </c>
      <c r="E34" s="44">
        <f>data!OL30</f>
        <v>1.5268427185701703E-2</v>
      </c>
      <c r="F34" s="44">
        <f>data!OM30</f>
        <v>2.428110785800364E-2</v>
      </c>
      <c r="G34" s="46">
        <f>data!ON30</f>
        <v>0.22311613773289588</v>
      </c>
      <c r="H34" s="644">
        <f>data!OO42</f>
        <v>0.23439817534404059</v>
      </c>
      <c r="I34" s="644">
        <f>data!OP42</f>
        <v>0.38283888824784751</v>
      </c>
      <c r="J34" s="44">
        <f>data!OQ30</f>
        <v>0.15055417814595276</v>
      </c>
      <c r="K34" s="44">
        <f>data!OR30</f>
        <v>0.14851483566277188</v>
      </c>
      <c r="L34" s="128">
        <f>data!OS30</f>
        <v>0.92299039493834578</v>
      </c>
      <c r="M34" s="128">
        <f>data!OT30</f>
        <v>0.99824854180597222</v>
      </c>
      <c r="N34" s="81">
        <f>data!OU30</f>
        <v>1.0000000009855581</v>
      </c>
      <c r="O34" s="81">
        <f>data!OV30</f>
        <v>0.99999999932496197</v>
      </c>
      <c r="P34" s="559">
        <f>data!OW30</f>
        <v>9.1701341649409619E-3</v>
      </c>
    </row>
    <row r="35" spans="1:21" ht="15.75" customHeight="1" thickBot="1" x14ac:dyDescent="0.2">
      <c r="A35" s="107">
        <f>data!$NA$31</f>
        <v>0</v>
      </c>
      <c r="B35" s="108">
        <f>data!$NB$31</f>
        <v>1</v>
      </c>
      <c r="C35" s="3">
        <f>data!OJ31</f>
        <v>0.22524626710594645</v>
      </c>
      <c r="D35" s="3">
        <f>data!OK31</f>
        <v>0.20003906700158636</v>
      </c>
      <c r="E35" s="3">
        <f>data!OL31</f>
        <v>1.5306576258092862E-2</v>
      </c>
      <c r="F35" s="3">
        <f>data!OM31</f>
        <v>2.4283400634320343E-2</v>
      </c>
      <c r="G35" s="3">
        <f>data!ON31</f>
        <v>0.22338370809604061</v>
      </c>
      <c r="H35" s="644"/>
      <c r="I35" s="644"/>
      <c r="J35" s="3">
        <f>data!OQ31</f>
        <v>0.15078111159076193</v>
      </c>
      <c r="K35" s="3">
        <f>data!OR31</f>
        <v>0.14876303180119974</v>
      </c>
      <c r="L35" s="4">
        <f>data!OS31</f>
        <v>0.92302729852052001</v>
      </c>
      <c r="M35" s="4">
        <f>data!OT31</f>
        <v>0.9982521050986225</v>
      </c>
      <c r="N35" s="47">
        <f>data!OU31</f>
        <v>1.0000000007390173</v>
      </c>
      <c r="O35" s="47">
        <f>data!OV31</f>
        <v>1</v>
      </c>
      <c r="P35" s="560">
        <f>data!OW31</f>
        <v>9.1684691597947801E-3</v>
      </c>
    </row>
    <row r="36" spans="1:21" ht="15.75" customHeight="1" thickBot="1" x14ac:dyDescent="0.2">
      <c r="A36" s="107">
        <f>data!$NA$32</f>
        <v>0</v>
      </c>
      <c r="B36" s="108">
        <f>data!$NB$32</f>
        <v>2</v>
      </c>
      <c r="C36" s="3">
        <f>data!OJ32</f>
        <v>0.22483328841173664</v>
      </c>
      <c r="D36" s="3">
        <f>data!OK32</f>
        <v>0.19966280425839716</v>
      </c>
      <c r="E36" s="3">
        <f>data!OL32</f>
        <v>1.5266111451519371E-2</v>
      </c>
      <c r="F36" s="3">
        <f>data!OM32</f>
        <v>2.4269534660211835E-2</v>
      </c>
      <c r="G36" s="3">
        <f>data!ON32</f>
        <v>0.22309951611218384</v>
      </c>
      <c r="H36" s="644"/>
      <c r="I36" s="644"/>
      <c r="J36" s="3">
        <f>data!OQ32</f>
        <v>0.15048696173575521</v>
      </c>
      <c r="K36" s="3">
        <f>data!OR32</f>
        <v>0.14850679120145305</v>
      </c>
      <c r="L36" s="4">
        <f>data!OS32</f>
        <v>0.92301892610922809</v>
      </c>
      <c r="M36" s="4">
        <f>data!OT32</f>
        <v>0.99825036430963576</v>
      </c>
      <c r="N36" s="47">
        <f>data!OU32</f>
        <v>1.0000000004929448</v>
      </c>
      <c r="O36" s="47">
        <f>data!OV32</f>
        <v>1</v>
      </c>
      <c r="P36" s="560">
        <f>data!OW32</f>
        <v>9.1748075616885378E-3</v>
      </c>
      <c r="U36" s="10"/>
    </row>
    <row r="37" spans="1:21" ht="15.75" customHeight="1" thickBot="1" x14ac:dyDescent="0.2">
      <c r="A37" s="107">
        <f>data!$NA$33</f>
        <v>0</v>
      </c>
      <c r="B37" s="108">
        <f>data!$NB$33</f>
        <v>3</v>
      </c>
      <c r="C37" s="3">
        <f>data!OJ33</f>
        <v>0.22469861281902886</v>
      </c>
      <c r="D37" s="3">
        <f>data!OK33</f>
        <v>0.19973146985591034</v>
      </c>
      <c r="E37" s="3">
        <f>data!OL33</f>
        <v>1.5257949233311316E-2</v>
      </c>
      <c r="F37" s="3">
        <f>data!OM33</f>
        <v>2.4247961842365533E-2</v>
      </c>
      <c r="G37" s="3">
        <f>data!ON33</f>
        <v>0.22308758382048546</v>
      </c>
      <c r="H37" s="644"/>
      <c r="I37" s="644"/>
      <c r="J37" s="3">
        <f>data!OQ33</f>
        <v>0.15054839242904725</v>
      </c>
      <c r="K37" s="3">
        <f>data!OR33</f>
        <v>0.1484452608738191</v>
      </c>
      <c r="L37" s="4">
        <f>data!OS33</f>
        <v>0.9228894372074784</v>
      </c>
      <c r="M37" s="4">
        <f>data!OT33</f>
        <v>0.99824796461279597</v>
      </c>
      <c r="N37" s="47">
        <f>data!OU33</f>
        <v>1.0000000009851486</v>
      </c>
      <c r="O37" s="47">
        <f>data!OV33</f>
        <v>0.99999999932446959</v>
      </c>
      <c r="P37" s="560">
        <f>data!OW33</f>
        <v>9.187878712965461E-3</v>
      </c>
    </row>
    <row r="38" spans="1:21" ht="15.75" customHeight="1" thickBot="1" x14ac:dyDescent="0.2">
      <c r="A38" s="107">
        <f>data!$NA$34</f>
        <v>0</v>
      </c>
      <c r="B38" s="108">
        <f>data!$NB$34</f>
        <v>4</v>
      </c>
      <c r="C38" s="3">
        <f>data!OJ34</f>
        <v>0.22508017480702108</v>
      </c>
      <c r="D38" s="3">
        <f>data!OK34</f>
        <v>0.20011327897798736</v>
      </c>
      <c r="E38" s="3">
        <f>data!OL34</f>
        <v>1.5322257267505853E-2</v>
      </c>
      <c r="F38" s="3">
        <f>data!OM34</f>
        <v>2.4165284477078785E-2</v>
      </c>
      <c r="G38" s="3">
        <f>data!ON34</f>
        <v>0.22338272841617526</v>
      </c>
      <c r="H38" s="644"/>
      <c r="I38" s="644"/>
      <c r="J38" s="3">
        <f>data!OQ34</f>
        <v>0.15097874986831317</v>
      </c>
      <c r="K38" s="3">
        <f>data!OR34</f>
        <v>0.14865979256367245</v>
      </c>
      <c r="L38" s="4">
        <f>data!OS34</f>
        <v>0.92281480400780258</v>
      </c>
      <c r="M38" s="4">
        <f>data!OT34</f>
        <v>0.99823962832643265</v>
      </c>
      <c r="N38" s="47">
        <f>data!OU34</f>
        <v>1.0000000012299795</v>
      </c>
      <c r="O38" s="47">
        <f>data!OV34</f>
        <v>0.99999999932335837</v>
      </c>
      <c r="P38" s="560">
        <f>data!OW34</f>
        <v>9.1689513913280739E-3</v>
      </c>
    </row>
    <row r="39" spans="1:21" ht="15.75" customHeight="1" thickBot="1" x14ac:dyDescent="0.2">
      <c r="A39" s="107">
        <f>data!$NA$35</f>
        <v>0</v>
      </c>
      <c r="B39" s="108">
        <f>data!$NB$35</f>
        <v>5</v>
      </c>
      <c r="C39" s="3">
        <f>data!OJ35</f>
        <v>0.22474050495159761</v>
      </c>
      <c r="D39" s="3">
        <f>data!OK35</f>
        <v>0.19978792197204875</v>
      </c>
      <c r="E39" s="3">
        <f>data!OL35</f>
        <v>1.5284427342755242E-2</v>
      </c>
      <c r="F39" s="3">
        <f>data!OM35</f>
        <v>2.4182215575482422E-2</v>
      </c>
      <c r="G39" s="3">
        <f>data!ON35</f>
        <v>0.22313653616936205</v>
      </c>
      <c r="H39" s="644"/>
      <c r="I39" s="644"/>
      <c r="J39" s="3">
        <f>data!OQ35</f>
        <v>0.1506519273550628</v>
      </c>
      <c r="K39" s="3">
        <f>data!OR35</f>
        <v>0.14845198099817539</v>
      </c>
      <c r="L39" s="4">
        <f>data!OS35</f>
        <v>0.9228894940220097</v>
      </c>
      <c r="M39" s="4">
        <f>data!OT35</f>
        <v>0.99824592581649552</v>
      </c>
      <c r="N39" s="47">
        <f>data!OU35</f>
        <v>1.0000000002461569</v>
      </c>
      <c r="O39" s="47">
        <f>data!OV35</f>
        <v>1.0000000250123953</v>
      </c>
      <c r="P39" s="560">
        <f>data!OW35</f>
        <v>9.1727113778479284E-3</v>
      </c>
    </row>
    <row r="40" spans="1:21" ht="15.75" customHeight="1" thickBot="1" x14ac:dyDescent="0.2">
      <c r="A40" s="107">
        <f>data!$NA$36</f>
        <v>0</v>
      </c>
      <c r="B40" s="108">
        <f>data!$NB$36</f>
        <v>6</v>
      </c>
      <c r="C40" s="3">
        <f>data!OJ36</f>
        <v>0.22549014824308841</v>
      </c>
      <c r="D40" s="3">
        <f>data!OK36</f>
        <v>0.20040267081013777</v>
      </c>
      <c r="E40" s="3">
        <f>data!OL36</f>
        <v>1.5355690869046314E-2</v>
      </c>
      <c r="F40" s="3">
        <f>data!OM36</f>
        <v>2.4187430853347437E-2</v>
      </c>
      <c r="G40" s="3">
        <f>data!ON36</f>
        <v>0.22368860596596313</v>
      </c>
      <c r="H40" s="644"/>
      <c r="I40" s="644"/>
      <c r="J40" s="3">
        <f>data!OQ36</f>
        <v>0.15119515009850917</v>
      </c>
      <c r="K40" s="3">
        <f>data!OR36</f>
        <v>0.148891268039896</v>
      </c>
      <c r="L40" s="4">
        <f>data!OS36</f>
        <v>0.92286999401584546</v>
      </c>
      <c r="M40" s="4">
        <f>data!OT36</f>
        <v>0.99820663594596704</v>
      </c>
      <c r="N40" s="47">
        <f>data!OU36</f>
        <v>1.0000000019674531</v>
      </c>
      <c r="O40" s="47">
        <f>data!OV36</f>
        <v>0.99999999932304184</v>
      </c>
      <c r="P40" s="560">
        <f>data!OW36</f>
        <v>9.1954152555133659E-3</v>
      </c>
    </row>
    <row r="41" spans="1:21" ht="15.75" customHeight="1" thickBot="1" x14ac:dyDescent="0.2">
      <c r="A41" s="107">
        <f>data!$NA$37</f>
        <v>0</v>
      </c>
      <c r="B41" s="108">
        <f>data!$NB$37</f>
        <v>7</v>
      </c>
      <c r="C41" s="3">
        <f>data!OJ37</f>
        <v>0.22493381547251201</v>
      </c>
      <c r="D41" s="3">
        <f>data!OK37</f>
        <v>0.20005879935529966</v>
      </c>
      <c r="E41" s="3">
        <f>data!OL37</f>
        <v>1.5365395203521441E-2</v>
      </c>
      <c r="F41" s="3">
        <f>data!OM37</f>
        <v>2.4092239383485051E-2</v>
      </c>
      <c r="G41" s="3">
        <f>data!ON37</f>
        <v>0.2233392298320277</v>
      </c>
      <c r="H41" s="644"/>
      <c r="I41" s="644"/>
      <c r="J41" s="3">
        <f>data!OQ37</f>
        <v>0.15088656559221716</v>
      </c>
      <c r="K41" s="3">
        <f>data!OR37</f>
        <v>0.14853065514038516</v>
      </c>
      <c r="L41" s="4">
        <f>data!OS37</f>
        <v>0.9229655355645513</v>
      </c>
      <c r="M41" s="4">
        <f>data!OT37</f>
        <v>0.99820158016646898</v>
      </c>
      <c r="N41" s="47">
        <f>data!OU37</f>
        <v>1.0000000004916232</v>
      </c>
      <c r="O41" s="47">
        <f>data!OV37</f>
        <v>1</v>
      </c>
      <c r="P41" s="560">
        <f>data!OW37</f>
        <v>9.2043560813747979E-3</v>
      </c>
    </row>
    <row r="42" spans="1:21" ht="15.75" customHeight="1" thickBot="1" x14ac:dyDescent="0.2">
      <c r="A42" s="107">
        <f>data!$NA$38</f>
        <v>0</v>
      </c>
      <c r="B42" s="108">
        <f>data!$NB$38</f>
        <v>8</v>
      </c>
      <c r="C42" s="3">
        <f>data!OJ38</f>
        <v>0.22487278442711803</v>
      </c>
      <c r="D42" s="3">
        <f>data!OK38</f>
        <v>0.20001944078565115</v>
      </c>
      <c r="E42" s="3">
        <f>data!OL38</f>
        <v>1.5369367801228401E-2</v>
      </c>
      <c r="F42" s="3">
        <f>data!OM38</f>
        <v>2.4092359430718264E-2</v>
      </c>
      <c r="G42" s="3">
        <f>data!ON38</f>
        <v>0.22330613241578656</v>
      </c>
      <c r="H42" s="644"/>
      <c r="I42" s="644"/>
      <c r="J42" s="3">
        <f>data!OQ38</f>
        <v>0.15089558777145418</v>
      </c>
      <c r="K42" s="3">
        <f>data!OR38</f>
        <v>0.14854258900200015</v>
      </c>
      <c r="L42" s="4">
        <f>data!OS38</f>
        <v>0.92293023221871517</v>
      </c>
      <c r="M42" s="4">
        <f>data!OT38</f>
        <v>0.99820034062677743</v>
      </c>
      <c r="N42" s="47">
        <f>data!OU38</f>
        <v>1.0000000009831744</v>
      </c>
      <c r="O42" s="47">
        <f>data!OV38</f>
        <v>0.99999999932251782</v>
      </c>
      <c r="P42" s="560">
        <f>data!OW38</f>
        <v>9.2127576799065428E-3</v>
      </c>
    </row>
    <row r="43" spans="1:21" ht="15.75" customHeight="1" thickBot="1" x14ac:dyDescent="0.2">
      <c r="A43" s="107">
        <f>data!$NA$39</f>
        <v>0</v>
      </c>
      <c r="B43" s="108">
        <f>data!$NB$39</f>
        <v>9</v>
      </c>
      <c r="C43" s="3">
        <f>data!OJ39</f>
        <v>0.22523537875934047</v>
      </c>
      <c r="D43" s="3">
        <f>data!OK39</f>
        <v>0.20034498613512261</v>
      </c>
      <c r="E43" s="3">
        <f>data!OL39</f>
        <v>1.5389849773338982E-2</v>
      </c>
      <c r="F43" s="3">
        <f>data!OM39</f>
        <v>2.4123607386539941E-2</v>
      </c>
      <c r="G43" s="3">
        <f>data!ON39</f>
        <v>0.22360700786193885</v>
      </c>
      <c r="H43" s="644"/>
      <c r="I43" s="644"/>
      <c r="J43" s="3">
        <f>data!OQ39</f>
        <v>0.15109999957715201</v>
      </c>
      <c r="K43" s="3">
        <f>data!OR39</f>
        <v>0.14875277659691014</v>
      </c>
      <c r="L43" s="4">
        <f>data!OS39</f>
        <v>0.92289472762392299</v>
      </c>
      <c r="M43" s="4">
        <f>data!OT39</f>
        <v>0.9981994820264054</v>
      </c>
      <c r="N43" s="47">
        <f>data!OU39</f>
        <v>1.0000000004916347</v>
      </c>
      <c r="O43" s="47">
        <f>data!OV39</f>
        <v>1</v>
      </c>
      <c r="P43" s="560">
        <f>data!OW39</f>
        <v>9.2195756670508579E-3</v>
      </c>
    </row>
    <row r="44" spans="1:21" ht="15.75" customHeight="1" thickBot="1" x14ac:dyDescent="0.2">
      <c r="A44" s="107">
        <f>data!$NA$40</f>
        <v>0</v>
      </c>
      <c r="B44" s="108">
        <f>data!$NB$40</f>
        <v>10</v>
      </c>
      <c r="C44" s="3">
        <f>data!OJ40</f>
        <v>0.22473723866126991</v>
      </c>
      <c r="D44" s="3">
        <f>data!OK40</f>
        <v>0.19989723376066215</v>
      </c>
      <c r="E44" s="3">
        <f>data!OL40</f>
        <v>1.53575448713703E-2</v>
      </c>
      <c r="F44" s="3">
        <f>data!OM40</f>
        <v>2.4079254072672491E-2</v>
      </c>
      <c r="G44" s="3">
        <f>data!ON40</f>
        <v>0.22320485175920823</v>
      </c>
      <c r="H44" s="644"/>
      <c r="I44" s="644"/>
      <c r="J44" s="3">
        <f>data!OQ40</f>
        <v>0.15079408312134579</v>
      </c>
      <c r="K44" s="3">
        <f>data!OR40</f>
        <v>0.14845753738862025</v>
      </c>
      <c r="L44" s="4">
        <f>data!OS40</f>
        <v>0.92292155230845907</v>
      </c>
      <c r="M44" s="4">
        <f>data!OT40</f>
        <v>0.99820047280314139</v>
      </c>
      <c r="N44" s="47">
        <f>data!OU40</f>
        <v>1.0000000004917158</v>
      </c>
      <c r="O44" s="47">
        <f>data!OV40</f>
        <v>1</v>
      </c>
      <c r="P44" s="560">
        <f>data!OW40</f>
        <v>9.2114546777689512E-3</v>
      </c>
    </row>
    <row r="45" spans="1:21" ht="15.75" customHeight="1" thickBot="1" x14ac:dyDescent="0.2">
      <c r="A45" s="114">
        <f>data!$NA$41</f>
        <v>0</v>
      </c>
      <c r="B45" s="463">
        <f>data!$NB$41</f>
        <v>11</v>
      </c>
      <c r="C45" s="31">
        <f>data!OJ41</f>
        <v>0.2247476902624273</v>
      </c>
      <c r="D45" s="31">
        <f>data!OK41</f>
        <v>0.19986465598634209</v>
      </c>
      <c r="E45" s="31">
        <f>data!OL41</f>
        <v>1.5362341966256738E-2</v>
      </c>
      <c r="F45" s="31">
        <f>data!OM41</f>
        <v>2.407196980254089E-2</v>
      </c>
      <c r="G45" s="31">
        <f>data!ON41</f>
        <v>0.22321262330277716</v>
      </c>
      <c r="H45" s="645"/>
      <c r="I45" s="645"/>
      <c r="J45" s="31">
        <f>data!OQ41</f>
        <v>0.15078720858668118</v>
      </c>
      <c r="K45" s="31">
        <f>data!OR41</f>
        <v>0.14842960663813895</v>
      </c>
      <c r="L45" s="495">
        <f>data!OS41</f>
        <v>0.92300657732557667</v>
      </c>
      <c r="M45" s="495">
        <f>data!OT41</f>
        <v>0.99819097698432524</v>
      </c>
      <c r="N45" s="496">
        <f>data!OU41</f>
        <v>1.0000000009831995</v>
      </c>
      <c r="O45" s="497">
        <f>data!OV41</f>
        <v>0.99999999932251193</v>
      </c>
      <c r="P45" s="561">
        <f>data!OW41</f>
        <v>9.2052378677526421E-3</v>
      </c>
    </row>
    <row r="46" spans="1:21" ht="15.75" customHeight="1" thickTop="1" thickBot="1" x14ac:dyDescent="0.2">
      <c r="A46" s="631" t="str">
        <f>data!$NB$42</f>
        <v>CMG 0 total</v>
      </c>
      <c r="B46" s="632"/>
      <c r="C46" s="471">
        <f>data!OJ42</f>
        <v>0.22495944453698127</v>
      </c>
      <c r="D46" s="471">
        <f>data!OK42</f>
        <v>0.19996952201381449</v>
      </c>
      <c r="E46" s="471">
        <f>data!OL42</f>
        <v>1.5325467261687667E-2</v>
      </c>
      <c r="F46" s="471">
        <f>data!OM42</f>
        <v>2.4173042069061599E-2</v>
      </c>
      <c r="G46" s="472">
        <f>data!ON42</f>
        <v>0.22329685580110742</v>
      </c>
      <c r="H46" s="466">
        <f>data!OO42</f>
        <v>0.23439817534404059</v>
      </c>
      <c r="I46" s="466">
        <f>data!OP42</f>
        <v>0.38283888824784751</v>
      </c>
      <c r="J46" s="471">
        <f>data!OQ42</f>
        <v>0.15080479207889774</v>
      </c>
      <c r="K46" s="471">
        <f>data!OR42</f>
        <v>0.14857870186749525</v>
      </c>
      <c r="L46" s="498">
        <f>data!OS42</f>
        <v>0.92293492406395572</v>
      </c>
      <c r="M46" s="498">
        <f>data!OT42</f>
        <v>0.99822366275584573</v>
      </c>
      <c r="N46" s="499">
        <f>data!OU42</f>
        <v>1.0000000008406338</v>
      </c>
      <c r="O46" s="499">
        <f>data!OV42</f>
        <v>1.0000000017461048</v>
      </c>
      <c r="P46" s="487">
        <f>data!OW42</f>
        <v>9.1909744571566487E-3</v>
      </c>
    </row>
    <row r="47" spans="1:21" ht="15.75" customHeight="1" thickBot="1" x14ac:dyDescent="0.2"/>
    <row r="48" spans="1:21" ht="15.75" customHeight="1" x14ac:dyDescent="0.15">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x14ac:dyDescent="0.15">
      <c r="A49" s="629"/>
      <c r="B49" s="640"/>
      <c r="C49" s="647"/>
      <c r="D49" s="613"/>
      <c r="E49" s="613"/>
      <c r="F49" s="613"/>
      <c r="G49" s="613"/>
      <c r="H49" s="613"/>
      <c r="I49" s="613"/>
      <c r="J49" s="613"/>
      <c r="K49" s="613"/>
      <c r="L49" s="779"/>
      <c r="M49" s="779"/>
      <c r="N49" s="779"/>
      <c r="O49" s="613"/>
      <c r="P49" s="761"/>
    </row>
    <row r="50" spans="1:21" ht="15.75" customHeight="1" x14ac:dyDescent="0.15">
      <c r="A50" s="629"/>
      <c r="B50" s="640"/>
      <c r="C50" s="647"/>
      <c r="D50" s="613"/>
      <c r="E50" s="613"/>
      <c r="F50" s="613"/>
      <c r="G50" s="613"/>
      <c r="H50" s="613"/>
      <c r="I50" s="613"/>
      <c r="J50" s="613"/>
      <c r="K50" s="613"/>
      <c r="L50" s="779"/>
      <c r="M50" s="779"/>
      <c r="N50" s="779"/>
      <c r="O50" s="613"/>
      <c r="P50" s="761"/>
    </row>
    <row r="51" spans="1:21" ht="15.75" customHeight="1" x14ac:dyDescent="0.15">
      <c r="A51" s="629"/>
      <c r="B51" s="640"/>
      <c r="C51" s="647"/>
      <c r="D51" s="613"/>
      <c r="E51" s="613"/>
      <c r="F51" s="613"/>
      <c r="G51" s="613"/>
      <c r="H51" s="613"/>
      <c r="I51" s="613"/>
      <c r="J51" s="613"/>
      <c r="K51" s="613"/>
      <c r="L51" s="779"/>
      <c r="M51" s="779"/>
      <c r="N51" s="779"/>
      <c r="O51" s="613"/>
      <c r="P51" s="761"/>
      <c r="U51" s="10"/>
    </row>
    <row r="52" spans="1:21" ht="15.75" customHeight="1" x14ac:dyDescent="0.15">
      <c r="A52" s="629"/>
      <c r="B52" s="640"/>
      <c r="C52" s="647"/>
      <c r="D52" s="613"/>
      <c r="E52" s="613"/>
      <c r="F52" s="613"/>
      <c r="G52" s="613"/>
      <c r="H52" s="613"/>
      <c r="I52" s="613"/>
      <c r="J52" s="613"/>
      <c r="K52" s="613"/>
      <c r="L52" s="779"/>
      <c r="M52" s="779"/>
      <c r="N52" s="779"/>
      <c r="O52" s="613"/>
      <c r="P52" s="761"/>
    </row>
    <row r="53" spans="1:21" ht="15.75" customHeight="1" x14ac:dyDescent="0.15">
      <c r="A53" s="641"/>
      <c r="B53" s="642"/>
      <c r="C53" s="647"/>
      <c r="D53" s="613"/>
      <c r="E53" s="613"/>
      <c r="F53" s="613"/>
      <c r="G53" s="623"/>
      <c r="H53" s="623"/>
      <c r="I53" s="623"/>
      <c r="J53" s="613"/>
      <c r="K53" s="613"/>
      <c r="L53" s="780"/>
      <c r="M53" s="780"/>
      <c r="N53" s="780"/>
      <c r="O53" s="613"/>
      <c r="P53" s="761"/>
    </row>
    <row r="54" spans="1:21" ht="15.75" customHeight="1" thickBot="1" x14ac:dyDescent="0.2">
      <c r="A54" s="440" t="s">
        <v>1473</v>
      </c>
      <c r="B54" s="441" t="s">
        <v>1474</v>
      </c>
      <c r="C54" s="21"/>
      <c r="D54" s="22"/>
      <c r="E54" s="22"/>
      <c r="F54" s="22"/>
      <c r="G54" s="23"/>
      <c r="H54" s="24"/>
      <c r="I54" s="25"/>
      <c r="J54" s="22"/>
      <c r="K54" s="22"/>
      <c r="L54" s="23"/>
      <c r="M54" s="24"/>
      <c r="N54" s="25"/>
      <c r="O54" s="22"/>
      <c r="P54" s="522"/>
    </row>
    <row r="55" spans="1:21" ht="15.75" customHeight="1" x14ac:dyDescent="0.15">
      <c r="A55" s="105">
        <f>data!$NA$30</f>
        <v>0</v>
      </c>
      <c r="B55" s="106">
        <f>data!$NB$30</f>
        <v>0</v>
      </c>
      <c r="C55" s="550">
        <f>data!OX30</f>
        <v>1.7192019269013299E-8</v>
      </c>
      <c r="D55" s="5">
        <f>data!OY30</f>
        <v>6328076728</v>
      </c>
      <c r="E55" s="5">
        <f>data!OZ30</f>
        <v>467648962</v>
      </c>
      <c r="F55" s="11">
        <f>data!PA30</f>
        <v>7.3900646610490978E-2</v>
      </c>
      <c r="G55" s="4">
        <f>data!PB30</f>
        <v>3.2556167632421688E-2</v>
      </c>
      <c r="H55" s="452">
        <f>data!PC30</f>
        <v>0.95597813387213293</v>
      </c>
      <c r="I55" s="452">
        <f>data!PD30</f>
        <v>1.1465698495445393E-2</v>
      </c>
      <c r="J55" s="5">
        <f>data!PE30</f>
        <v>462873956</v>
      </c>
      <c r="K55" s="11">
        <f>data!PF30</f>
        <v>7.3146072005086465E-2</v>
      </c>
      <c r="L55" s="4">
        <f>data!PG30</f>
        <v>3.6752851972671065E-2</v>
      </c>
      <c r="M55" s="452">
        <f>data!PH30</f>
        <v>0.96526621824991732</v>
      </c>
      <c r="N55" s="452">
        <f>data!PI30</f>
        <v>0</v>
      </c>
      <c r="O55" s="553">
        <f>data!PJ30</f>
        <v>6.8140766702789578E-7</v>
      </c>
      <c r="P55" s="554">
        <f>data!PK30</f>
        <v>6.3210358722439306E-10</v>
      </c>
    </row>
    <row r="56" spans="1:21" ht="15.75" customHeight="1" x14ac:dyDescent="0.15">
      <c r="A56" s="109">
        <f>data!$NA$31</f>
        <v>0</v>
      </c>
      <c r="B56" s="110">
        <f>data!$NB$31</f>
        <v>1</v>
      </c>
      <c r="C56" s="550">
        <f>data!OX31</f>
        <v>1.6837137953410642E-8</v>
      </c>
      <c r="D56" s="5">
        <f>data!OY31</f>
        <v>6328075423</v>
      </c>
      <c r="E56" s="5">
        <f>data!OZ31</f>
        <v>467686546</v>
      </c>
      <c r="F56" s="11">
        <f>data!PA31</f>
        <v>7.3906601097096306E-2</v>
      </c>
      <c r="G56" s="4">
        <f>data!PB31</f>
        <v>3.1559141750466348E-2</v>
      </c>
      <c r="H56" s="452">
        <f>data!PC31</f>
        <v>0.95697249969640996</v>
      </c>
      <c r="I56" s="452">
        <f>data!PD31</f>
        <v>1.1468358553123741E-2</v>
      </c>
      <c r="J56" s="5">
        <f>data!PE31</f>
        <v>462671251</v>
      </c>
      <c r="K56" s="11">
        <f>data!PF31</f>
        <v>7.3114054443532195E-2</v>
      </c>
      <c r="L56" s="4">
        <f>data!PG31</f>
        <v>3.6716206074032039E-2</v>
      </c>
      <c r="M56" s="452">
        <f>data!PH31</f>
        <v>0.96472911018702456</v>
      </c>
      <c r="N56" s="452">
        <f>data!PI31</f>
        <v>0</v>
      </c>
      <c r="O56" s="553">
        <f>data!PJ31</f>
        <v>5.8232554981985711E-7</v>
      </c>
      <c r="P56" s="554">
        <f>data!PK31</f>
        <v>1.5802592939480518E-10</v>
      </c>
    </row>
    <row r="57" spans="1:21" ht="15.75" customHeight="1" x14ac:dyDescent="0.15">
      <c r="A57" s="109">
        <f>data!$NA$32</f>
        <v>0</v>
      </c>
      <c r="B57" s="110">
        <f>data!$NB$32</f>
        <v>2</v>
      </c>
      <c r="C57" s="550">
        <f>data!OX32</f>
        <v>1.5772494615962454E-8</v>
      </c>
      <c r="D57" s="5">
        <f>data!OY32</f>
        <v>6328074852</v>
      </c>
      <c r="E57" s="5">
        <f>data!OZ32</f>
        <v>467658450</v>
      </c>
      <c r="F57" s="11">
        <f>data!PA32</f>
        <v>7.3902167868983987E-2</v>
      </c>
      <c r="G57" s="4">
        <f>data!PB32</f>
        <v>3.3140032004126088E-2</v>
      </c>
      <c r="H57" s="452">
        <f>data!PC32</f>
        <v>0.95539446576876774</v>
      </c>
      <c r="I57" s="452">
        <f>data!PD32</f>
        <v>1.1465502227106128E-2</v>
      </c>
      <c r="J57" s="5">
        <f>data!PE32</f>
        <v>462181169</v>
      </c>
      <c r="K57" s="11">
        <f>data!PF32</f>
        <v>7.3036615370301247E-2</v>
      </c>
      <c r="L57" s="4">
        <f>data!PG32</f>
        <v>3.8248893911460934E-2</v>
      </c>
      <c r="M57" s="452">
        <f>data!PH32</f>
        <v>0.96412115125319942</v>
      </c>
      <c r="N57" s="452">
        <f>data!PI32</f>
        <v>0</v>
      </c>
      <c r="O57" s="553">
        <f>data!PJ32</f>
        <v>6.8298812847228311E-7</v>
      </c>
      <c r="P57" s="554">
        <f>data!PK32</f>
        <v>1.5802594365392946E-10</v>
      </c>
    </row>
    <row r="58" spans="1:21" ht="15.75" customHeight="1" x14ac:dyDescent="0.15">
      <c r="A58" s="109">
        <f>data!$NA$33</f>
        <v>0</v>
      </c>
      <c r="B58" s="110">
        <f>data!$NB$33</f>
        <v>3</v>
      </c>
      <c r="C58" s="550">
        <f>data!OX33</f>
        <v>1.577249452205118E-8</v>
      </c>
      <c r="D58" s="5">
        <f>data!OY33</f>
        <v>6328076038</v>
      </c>
      <c r="E58" s="5">
        <f>data!OZ33</f>
        <v>467716219</v>
      </c>
      <c r="F58" s="11">
        <f>data!PA33</f>
        <v>7.3911283017361246E-2</v>
      </c>
      <c r="G58" s="4">
        <f>data!PB33</f>
        <v>3.3305545899831195E-2</v>
      </c>
      <c r="H58" s="452">
        <f>data!PC33</f>
        <v>0.95521520924635717</v>
      </c>
      <c r="I58" s="452">
        <f>data!PD33</f>
        <v>1.1479244853811665E-2</v>
      </c>
      <c r="J58" s="5">
        <f>data!PE33</f>
        <v>462891583</v>
      </c>
      <c r="K58" s="11">
        <f>data!PF33</f>
        <v>7.3148865503565877E-2</v>
      </c>
      <c r="L58" s="4">
        <f>data!PG33</f>
        <v>3.8004534279602299E-2</v>
      </c>
      <c r="M58" s="452">
        <f>data!PH33</f>
        <v>0.96471792104838738</v>
      </c>
      <c r="N58" s="452">
        <f>data!PI33</f>
        <v>0</v>
      </c>
      <c r="O58" s="553">
        <f>data!PJ33</f>
        <v>6.4521980701269188E-7</v>
      </c>
      <c r="P58" s="554">
        <f>data!PK33</f>
        <v>1.5802591403690715E-10</v>
      </c>
    </row>
    <row r="59" spans="1:21" ht="15.75" customHeight="1" x14ac:dyDescent="0.25">
      <c r="A59" s="109">
        <f>data!$NA$34</f>
        <v>0</v>
      </c>
      <c r="B59" s="110">
        <f>data!$NB$34</f>
        <v>4</v>
      </c>
      <c r="C59" s="550">
        <f>data!OX34</f>
        <v>1.7625737111993122E-8</v>
      </c>
      <c r="D59" s="5">
        <f>data!OY34</f>
        <v>6328074852</v>
      </c>
      <c r="E59" s="5">
        <f>data!OZ34</f>
        <v>467633260</v>
      </c>
      <c r="F59" s="11">
        <f>data!PA34</f>
        <v>7.3898187195463344E-2</v>
      </c>
      <c r="G59" s="4">
        <f>data!PB34</f>
        <v>3.183562905683826E-2</v>
      </c>
      <c r="H59" s="452">
        <f>data!PC34</f>
        <v>0.95669916207414329</v>
      </c>
      <c r="I59" s="452">
        <f>data!PD34</f>
        <v>1.1465208869018428E-2</v>
      </c>
      <c r="J59" s="5">
        <f>data!PE34</f>
        <v>462653498</v>
      </c>
      <c r="K59" s="11">
        <f>data!PF34</f>
        <v>7.3111255606241363E-2</v>
      </c>
      <c r="L59" s="4">
        <f>data!PG34</f>
        <v>3.6424067605772069E-2</v>
      </c>
      <c r="M59" s="452">
        <f>data!PH34</f>
        <v>0.96535898641609885</v>
      </c>
      <c r="N59" s="452">
        <f>data!PI34</f>
        <v>0</v>
      </c>
      <c r="O59" s="553">
        <f>data!PJ34</f>
        <v>5.9386149625146696E-7</v>
      </c>
      <c r="P59" s="554">
        <f>data!PK34</f>
        <v>1.1061816055775063E-9</v>
      </c>
      <c r="U59" s="9"/>
    </row>
    <row r="60" spans="1:21" ht="15.75" customHeight="1" x14ac:dyDescent="0.15">
      <c r="A60" s="109">
        <f>data!$NA$35</f>
        <v>0</v>
      </c>
      <c r="B60" s="110">
        <f>data!$NB$35</f>
        <v>5</v>
      </c>
      <c r="C60" s="550">
        <f>data!OX35</f>
        <v>1.5378156892975343E-8</v>
      </c>
      <c r="D60" s="5">
        <f>data!OY35</f>
        <v>6328076051</v>
      </c>
      <c r="E60" s="5">
        <f>data!OZ35</f>
        <v>467660931</v>
      </c>
      <c r="F60" s="11">
        <f>data!PA35</f>
        <v>7.3902545928805241E-2</v>
      </c>
      <c r="G60" s="4">
        <f>data!PB35</f>
        <v>3.3003962864710627E-2</v>
      </c>
      <c r="H60" s="452">
        <f>data!PC35</f>
        <v>0.95553614248781449</v>
      </c>
      <c r="I60" s="452">
        <f>data!PD35</f>
        <v>1.1459894647474839E-2</v>
      </c>
      <c r="J60" s="5">
        <f>data!PE35</f>
        <v>462677180</v>
      </c>
      <c r="K60" s="11">
        <f>data!PF35</f>
        <v>7.311498412331581E-2</v>
      </c>
      <c r="L60" s="4">
        <f>data!PG35</f>
        <v>3.6518892532927498E-2</v>
      </c>
      <c r="M60" s="452">
        <f>data!PH35</f>
        <v>0.96587818880019016</v>
      </c>
      <c r="N60" s="452">
        <f>data!PI35</f>
        <v>0</v>
      </c>
      <c r="O60" s="553">
        <f>data!PJ35</f>
        <v>6.8282997315071304E-7</v>
      </c>
      <c r="P60" s="554">
        <f>data!PK35</f>
        <v>1.5802591371226869E-10</v>
      </c>
    </row>
    <row r="61" spans="1:21" ht="15.75" customHeight="1" x14ac:dyDescent="0.15">
      <c r="A61" s="109">
        <f>data!$NA$36</f>
        <v>0</v>
      </c>
      <c r="B61" s="110">
        <f>data!$NB$36</f>
        <v>6</v>
      </c>
      <c r="C61" s="550">
        <f>data!OX36</f>
        <v>1.7941181503118641E-8</v>
      </c>
      <c r="D61" s="5">
        <f>data!OY36</f>
        <v>6328075696</v>
      </c>
      <c r="E61" s="5">
        <f>data!OZ36</f>
        <v>467588401</v>
      </c>
      <c r="F61" s="11">
        <f>data!PA36</f>
        <v>7.38910884545146E-2</v>
      </c>
      <c r="G61" s="4">
        <f>data!PB36</f>
        <v>3.1118934877086484E-2</v>
      </c>
      <c r="H61" s="452">
        <f>data!PC36</f>
        <v>0.95741023952388415</v>
      </c>
      <c r="I61" s="452">
        <f>data!PD36</f>
        <v>1.1470825599029347E-2</v>
      </c>
      <c r="J61" s="5">
        <f>data!PE36</f>
        <v>462583116</v>
      </c>
      <c r="K61" s="11">
        <f>data!PF36</f>
        <v>7.3100123674626788E-2</v>
      </c>
      <c r="L61" s="4">
        <f>data!PG36</f>
        <v>3.6031219969439622E-2</v>
      </c>
      <c r="M61" s="452">
        <f>data!PH36</f>
        <v>0.96509725797600909</v>
      </c>
      <c r="N61" s="452">
        <f>data!PI36</f>
        <v>0</v>
      </c>
      <c r="O61" s="553">
        <f>data!PJ36</f>
        <v>6.5643968238650477E-7</v>
      </c>
      <c r="P61" s="554">
        <f>data!PK36</f>
        <v>1.5802592257739642E-10</v>
      </c>
    </row>
    <row r="62" spans="1:21" ht="15.75" customHeight="1" x14ac:dyDescent="0.15">
      <c r="A62" s="109">
        <f>data!$NA$37</f>
        <v>0</v>
      </c>
      <c r="B62" s="110">
        <f>data!$NB$37</f>
        <v>7</v>
      </c>
      <c r="C62" s="550">
        <f>data!OX37</f>
        <v>1.7704625175700784E-8</v>
      </c>
      <c r="D62" s="5">
        <f>data!OY37</f>
        <v>6328076038</v>
      </c>
      <c r="E62" s="5">
        <f>data!OZ37</f>
        <v>467620580</v>
      </c>
      <c r="F62" s="11">
        <f>data!PA37</f>
        <v>7.3896169576968665E-2</v>
      </c>
      <c r="G62" s="4">
        <f>data!PB37</f>
        <v>3.2472460899817542E-2</v>
      </c>
      <c r="H62" s="452">
        <f>data!PC37</f>
        <v>0.95606036201400713</v>
      </c>
      <c r="I62" s="452">
        <f>data!PD37</f>
        <v>1.1467177086175291E-2</v>
      </c>
      <c r="J62" s="5">
        <f>data!PE37</f>
        <v>462185207</v>
      </c>
      <c r="K62" s="11">
        <f>data!PF37</f>
        <v>7.3037239790512132E-2</v>
      </c>
      <c r="L62" s="4">
        <f>data!PG37</f>
        <v>3.650156654495449E-2</v>
      </c>
      <c r="M62" s="452">
        <f>data!PH37</f>
        <v>0.96556975514760734</v>
      </c>
      <c r="N62" s="452">
        <f>data!PI37</f>
        <v>0</v>
      </c>
      <c r="O62" s="553">
        <f>data!PJ37</f>
        <v>7.1048450950993453E-7</v>
      </c>
      <c r="P62" s="554">
        <f>data!PK37</f>
        <v>3.1605182807381429E-10</v>
      </c>
    </row>
    <row r="63" spans="1:21" ht="15.75" customHeight="1" x14ac:dyDescent="0.15">
      <c r="A63" s="109">
        <f>data!$NA$38</f>
        <v>0</v>
      </c>
      <c r="B63" s="110">
        <f>data!$NB$38</f>
        <v>8</v>
      </c>
      <c r="C63" s="550">
        <f>data!OX38</f>
        <v>1.6127356385460207E-8</v>
      </c>
      <c r="D63" s="5">
        <f>data!OY38</f>
        <v>6328076035</v>
      </c>
      <c r="E63" s="5">
        <f>data!OZ38</f>
        <v>467674559</v>
      </c>
      <c r="F63" s="11">
        <f>data!PA38</f>
        <v>7.3904699692819029E-2</v>
      </c>
      <c r="G63" s="4">
        <f>data!PB38</f>
        <v>3.2541517829281795E-2</v>
      </c>
      <c r="H63" s="452">
        <f>data!PC38</f>
        <v>0.95599283389712886</v>
      </c>
      <c r="I63" s="452">
        <f>data!PD38</f>
        <v>1.1465648273589327E-2</v>
      </c>
      <c r="J63" s="5">
        <f>data!PE38</f>
        <v>462578667</v>
      </c>
      <c r="K63" s="11">
        <f>data!PF38</f>
        <v>7.3099416701303904E-2</v>
      </c>
      <c r="L63" s="4">
        <f>data!PG38</f>
        <v>3.774871107351517E-2</v>
      </c>
      <c r="M63" s="452">
        <f>data!PH38</f>
        <v>0.96406572206034313</v>
      </c>
      <c r="N63" s="452">
        <f>data!PI38</f>
        <v>0</v>
      </c>
      <c r="O63" s="553">
        <f>data!PJ38</f>
        <v>6.9278560746623515E-7</v>
      </c>
      <c r="P63" s="554">
        <f>data!PK38</f>
        <v>1.5802591411182373E-10</v>
      </c>
    </row>
    <row r="64" spans="1:21" ht="15.75" customHeight="1" x14ac:dyDescent="0.15">
      <c r="A64" s="109">
        <f>data!$NA$39</f>
        <v>0</v>
      </c>
      <c r="B64" s="110">
        <f>data!$NB$39</f>
        <v>9</v>
      </c>
      <c r="C64" s="550">
        <f>data!OX39</f>
        <v>1.7231431058460899E-8</v>
      </c>
      <c r="D64" s="5">
        <f>data!OY39</f>
        <v>6328074847</v>
      </c>
      <c r="E64" s="5">
        <f>data!OZ39</f>
        <v>468011559</v>
      </c>
      <c r="F64" s="11">
        <f>data!PA39</f>
        <v>7.3957968310358072E-2</v>
      </c>
      <c r="G64" s="4">
        <f>data!PB39</f>
        <v>3.2230906929373512E-2</v>
      </c>
      <c r="H64" s="452">
        <f>data!PC39</f>
        <v>0.95631368583355869</v>
      </c>
      <c r="I64" s="452">
        <f>data!PD39</f>
        <v>1.1455407237067835E-2</v>
      </c>
      <c r="J64" s="5">
        <f>data!PE39</f>
        <v>462513887</v>
      </c>
      <c r="K64" s="11">
        <f>data!PF39</f>
        <v>7.3089193503971847E-2</v>
      </c>
      <c r="L64" s="4">
        <f>data!PG39</f>
        <v>3.9372578092217642E-2</v>
      </c>
      <c r="M64" s="452">
        <f>data!PH39</f>
        <v>0.96206622805484332</v>
      </c>
      <c r="N64" s="452">
        <f>data!PI39</f>
        <v>0</v>
      </c>
      <c r="O64" s="553">
        <f>data!PJ39</f>
        <v>6.4806439543681966E-7</v>
      </c>
      <c r="P64" s="554">
        <f>data!PK39</f>
        <v>1.5802594377879046E-10</v>
      </c>
    </row>
    <row r="65" spans="1:37" ht="15.75" customHeight="1" x14ac:dyDescent="0.15">
      <c r="A65" s="109">
        <f>data!$NA$40</f>
        <v>0</v>
      </c>
      <c r="B65" s="110">
        <f>data!$NB$40</f>
        <v>10</v>
      </c>
      <c r="C65" s="550">
        <f>data!OX40</f>
        <v>1.636394171722637E-8</v>
      </c>
      <c r="D65" s="5">
        <f>data!OY40</f>
        <v>6328076040</v>
      </c>
      <c r="E65" s="5">
        <f>data!OZ40</f>
        <v>467649166</v>
      </c>
      <c r="F65" s="11">
        <f>data!PA40</f>
        <v>7.3900686882390876E-2</v>
      </c>
      <c r="G65" s="4">
        <f>data!PB40</f>
        <v>3.3177993521750451E-2</v>
      </c>
      <c r="H65" s="452">
        <f>data!PC40</f>
        <v>0.95535720467851748</v>
      </c>
      <c r="I65" s="452">
        <f>data!PD40</f>
        <v>1.1464801799732067E-2</v>
      </c>
      <c r="J65" s="5">
        <f>data!PE40</f>
        <v>462306313</v>
      </c>
      <c r="K65" s="11">
        <f>data!PF40</f>
        <v>7.3056377653767893E-2</v>
      </c>
      <c r="L65" s="4">
        <f>data!PG40</f>
        <v>3.8152648827662859E-2</v>
      </c>
      <c r="M65" s="452">
        <f>data!PH40</f>
        <v>0.9642982240817114</v>
      </c>
      <c r="N65" s="452">
        <f>data!PI40</f>
        <v>0</v>
      </c>
      <c r="O65" s="553">
        <f>data!PJ40</f>
        <v>7.0274123950002351E-7</v>
      </c>
      <c r="P65" s="554">
        <f>data!PK40</f>
        <v>1.5802591398696278E-10</v>
      </c>
    </row>
    <row r="66" spans="1:37" ht="15.75" customHeight="1" thickBot="1" x14ac:dyDescent="0.2">
      <c r="A66" s="114">
        <f>data!$NA$41</f>
        <v>0</v>
      </c>
      <c r="B66" s="463">
        <f>data!$NB$41</f>
        <v>11</v>
      </c>
      <c r="C66" s="551">
        <f>data!OX41</f>
        <v>1.6324507547553378E-8</v>
      </c>
      <c r="D66" s="33">
        <f>data!OY41</f>
        <v>6328074847</v>
      </c>
      <c r="E66" s="33">
        <f>data!OZ41</f>
        <v>467695351</v>
      </c>
      <c r="F66" s="116">
        <f>data!PA41</f>
        <v>7.3907999242727673E-2</v>
      </c>
      <c r="G66" s="32">
        <f>data!PB41</f>
        <v>3.3325186933491673E-2</v>
      </c>
      <c r="H66" s="453">
        <f>data!PC41</f>
        <v>0.95521028388413465</v>
      </c>
      <c r="I66" s="453">
        <f>data!PD41</f>
        <v>1.1464529182373678E-2</v>
      </c>
      <c r="J66" s="33">
        <f>data!PE41</f>
        <v>460784660</v>
      </c>
      <c r="K66" s="116">
        <f>data!PF41</f>
        <v>7.281593077528907E-2</v>
      </c>
      <c r="L66" s="32">
        <f>data!PG41</f>
        <v>4.6181597991015073E-2</v>
      </c>
      <c r="M66" s="453">
        <f>data!PH41</f>
        <v>0.95602765199237594</v>
      </c>
      <c r="N66" s="453">
        <f>data!PI41</f>
        <v>0</v>
      </c>
      <c r="O66" s="555">
        <f>data!PJ41</f>
        <v>6.8709680355018094E-7</v>
      </c>
      <c r="P66" s="556">
        <f>data!PK41</f>
        <v>1.5802594377879046E-10</v>
      </c>
    </row>
    <row r="67" spans="1:37" ht="15.75" customHeight="1" thickTop="1" thickBot="1" x14ac:dyDescent="0.2">
      <c r="A67" s="631" t="str">
        <f>data!$NB$42</f>
        <v>CMG 0 total</v>
      </c>
      <c r="B67" s="632"/>
      <c r="C67" s="552">
        <f>data!OX42</f>
        <v>1.6689257006556254E-8</v>
      </c>
      <c r="D67" s="467">
        <f>data!OY42</f>
        <v>75936907447</v>
      </c>
      <c r="E67" s="467">
        <f>data!OZ42</f>
        <v>5612243984</v>
      </c>
      <c r="F67" s="465">
        <f>data!PA42</f>
        <v>7.3906670322557627E-2</v>
      </c>
      <c r="G67" s="466">
        <f>data!PB42</f>
        <v>3.2522300263558894E-2</v>
      </c>
      <c r="H67" s="476">
        <f>data!PC42</f>
        <v>0.95601167559646139</v>
      </c>
      <c r="I67" s="476">
        <f>data!PD42</f>
        <v>1.1466024139979727E-2</v>
      </c>
      <c r="J67" s="467">
        <f>data!PE42</f>
        <v>5548900487</v>
      </c>
      <c r="K67" s="465">
        <f>data!PF42</f>
        <v>7.3072510766557658E-2</v>
      </c>
      <c r="L67" s="466">
        <f>data!PG42</f>
        <v>3.805323937113593E-2</v>
      </c>
      <c r="M67" s="476">
        <f>data!PH42</f>
        <v>0.96393429872093206</v>
      </c>
      <c r="N67" s="476">
        <f>data!PI42</f>
        <v>0</v>
      </c>
      <c r="O67" s="557">
        <f>data!PJ42</f>
        <v>6.6385373983242927E-7</v>
      </c>
      <c r="P67" s="558">
        <f>data!PK42</f>
        <v>2.8971419484464592E-10</v>
      </c>
    </row>
    <row r="68" spans="1:37" ht="15.75" customHeight="1" thickBot="1" x14ac:dyDescent="0.2">
      <c r="AG68" s="10"/>
    </row>
    <row r="69" spans="1:37" ht="15.75" customHeight="1" x14ac:dyDescent="0.15">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x14ac:dyDescent="0.15">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x14ac:dyDescent="0.15">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x14ac:dyDescent="0.15">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x14ac:dyDescent="0.15">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x14ac:dyDescent="0.15">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x14ac:dyDescent="0.15">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x14ac:dyDescent="0.2">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x14ac:dyDescent="0.15">
      <c r="A77" s="105">
        <f>data!$NA$30</f>
        <v>0</v>
      </c>
      <c r="B77" s="106">
        <f>data!$NB$30</f>
        <v>0</v>
      </c>
      <c r="C77" s="442">
        <f>data!PL30</f>
        <v>157660000</v>
      </c>
      <c r="D77" s="443">
        <f>data!PM30</f>
        <v>0</v>
      </c>
      <c r="E77" s="443">
        <f>data!PN30</f>
        <v>945960000</v>
      </c>
      <c r="F77" s="443">
        <f>data!PO30</f>
        <v>0</v>
      </c>
      <c r="G77" s="443">
        <f>data!PP30</f>
        <v>0</v>
      </c>
      <c r="H77" s="443">
        <f>data!PQ30</f>
        <v>0</v>
      </c>
      <c r="I77" s="443">
        <f>data!PR30</f>
        <v>0</v>
      </c>
      <c r="J77" s="443">
        <f>data!PS30</f>
        <v>3547476074</v>
      </c>
      <c r="K77" s="443">
        <f>data!PT30</f>
        <v>21504000</v>
      </c>
      <c r="L77" s="443">
        <f>data!PU30</f>
        <v>0</v>
      </c>
      <c r="M77" s="443">
        <f>data!PV30</f>
        <v>472980000</v>
      </c>
      <c r="N77" s="443">
        <f>data!PW30</f>
        <v>0</v>
      </c>
      <c r="O77" s="443">
        <f>data!PX30</f>
        <v>0</v>
      </c>
      <c r="P77" s="443">
        <f>data!PY30</f>
        <v>1182496654</v>
      </c>
      <c r="Q77" s="443">
        <f>data!PZ30</f>
        <v>0</v>
      </c>
      <c r="R77" s="443">
        <f>data!QA30</f>
        <v>0</v>
      </c>
      <c r="S77" s="443">
        <f>data!QB30</f>
        <v>5362041</v>
      </c>
      <c r="T77" s="443">
        <f>data!QC30</f>
        <v>8</v>
      </c>
      <c r="U77" s="443">
        <f>data!QD30</f>
        <v>6664786000</v>
      </c>
      <c r="V77" s="443">
        <f>data!QE30</f>
        <v>6650444000</v>
      </c>
      <c r="W77" s="443">
        <f>data!QF30</f>
        <v>508816000</v>
      </c>
      <c r="X77" s="443">
        <f>data!QG30</f>
        <v>0</v>
      </c>
      <c r="Y77" s="443">
        <f>data!QH30</f>
        <v>1282822009</v>
      </c>
      <c r="Z77" s="443">
        <f>data!QI30</f>
        <v>329660032</v>
      </c>
      <c r="AA77" s="443">
        <f>data!QJ30</f>
        <v>604709259</v>
      </c>
      <c r="AB77" s="443">
        <f>data!QK30</f>
        <v>2017</v>
      </c>
      <c r="AC77" s="443">
        <f>data!QL30</f>
        <v>0</v>
      </c>
      <c r="AD77" s="443">
        <f>data!QM30</f>
        <v>2985926334</v>
      </c>
      <c r="AE77" s="444">
        <f>data!QN30</f>
        <v>25360604428</v>
      </c>
      <c r="AG77" s="105">
        <f>data!$NA$30</f>
        <v>0</v>
      </c>
      <c r="AH77" s="106">
        <f>data!$NB$30</f>
        <v>0</v>
      </c>
      <c r="AI77" s="36">
        <f>data!RR30</f>
        <v>1.913612880590307</v>
      </c>
      <c r="AJ77" s="717">
        <f>data!RS42</f>
        <v>2.3714441363485905</v>
      </c>
      <c r="AK77" s="729">
        <f>data!RT42</f>
        <v>7.4585308091566063</v>
      </c>
    </row>
    <row r="78" spans="1:37" ht="15.75" customHeight="1" x14ac:dyDescent="0.15">
      <c r="A78" s="109">
        <f>data!$NA$31</f>
        <v>0</v>
      </c>
      <c r="B78" s="110">
        <f>data!$NB$31</f>
        <v>1</v>
      </c>
      <c r="C78" s="445">
        <f>data!PL31</f>
        <v>157659995</v>
      </c>
      <c r="D78" s="446">
        <f>data!PM31</f>
        <v>0</v>
      </c>
      <c r="E78" s="446">
        <f>data!PN31</f>
        <v>945960000</v>
      </c>
      <c r="F78" s="446">
        <f>data!PO31</f>
        <v>0</v>
      </c>
      <c r="G78" s="446">
        <f>data!PP31</f>
        <v>0</v>
      </c>
      <c r="H78" s="446">
        <f>data!PQ31</f>
        <v>0</v>
      </c>
      <c r="I78" s="446">
        <f>data!PR31</f>
        <v>0</v>
      </c>
      <c r="J78" s="446">
        <f>data!PS31</f>
        <v>3547475156</v>
      </c>
      <c r="K78" s="446">
        <f>data!PT31</f>
        <v>21503995</v>
      </c>
      <c r="L78" s="446">
        <f>data!PU31</f>
        <v>0</v>
      </c>
      <c r="M78" s="446">
        <f>data!PV31</f>
        <v>472980000</v>
      </c>
      <c r="N78" s="446">
        <f>data!PW31</f>
        <v>0</v>
      </c>
      <c r="O78" s="446">
        <f>data!PX31</f>
        <v>0</v>
      </c>
      <c r="P78" s="446">
        <f>data!PY31</f>
        <v>1182496277</v>
      </c>
      <c r="Q78" s="446">
        <f>data!PZ31</f>
        <v>0</v>
      </c>
      <c r="R78" s="446">
        <f>data!QA31</f>
        <v>0</v>
      </c>
      <c r="S78" s="446">
        <f>data!QB31</f>
        <v>5362040</v>
      </c>
      <c r="T78" s="446">
        <f>data!QC31</f>
        <v>8</v>
      </c>
      <c r="U78" s="446">
        <f>data!QD31</f>
        <v>6664786000</v>
      </c>
      <c r="V78" s="446">
        <f>data!QE31</f>
        <v>6650444000</v>
      </c>
      <c r="W78" s="446">
        <f>data!QF31</f>
        <v>508816000</v>
      </c>
      <c r="X78" s="446">
        <f>data!QG31</f>
        <v>0</v>
      </c>
      <c r="Y78" s="446">
        <f>data!QH31</f>
        <v>1282822009</v>
      </c>
      <c r="Z78" s="446">
        <f>data!QI31</f>
        <v>329660032</v>
      </c>
      <c r="AA78" s="446">
        <f>data!QJ31</f>
        <v>604708910</v>
      </c>
      <c r="AB78" s="446">
        <f>data!QK31</f>
        <v>2017</v>
      </c>
      <c r="AC78" s="446">
        <f>data!QL31</f>
        <v>0</v>
      </c>
      <c r="AD78" s="446">
        <f>data!QM31</f>
        <v>2985928266</v>
      </c>
      <c r="AE78" s="447">
        <f>data!QN31</f>
        <v>25360604705</v>
      </c>
      <c r="AG78" s="109">
        <f>data!$NA$31</f>
        <v>0</v>
      </c>
      <c r="AH78" s="110">
        <f>data!$NB$31</f>
        <v>1</v>
      </c>
      <c r="AI78" s="37">
        <f>data!RR31</f>
        <v>1.9133133748178204</v>
      </c>
      <c r="AJ78" s="718"/>
      <c r="AK78" s="730"/>
    </row>
    <row r="79" spans="1:37" ht="15.75" customHeight="1" x14ac:dyDescent="0.15">
      <c r="A79" s="109">
        <f>data!$NA$32</f>
        <v>0</v>
      </c>
      <c r="B79" s="110">
        <f>data!$NB$32</f>
        <v>2</v>
      </c>
      <c r="C79" s="445">
        <f>data!PL32</f>
        <v>157660000</v>
      </c>
      <c r="D79" s="446">
        <f>data!PM32</f>
        <v>0</v>
      </c>
      <c r="E79" s="446">
        <f>data!PN32</f>
        <v>945960000</v>
      </c>
      <c r="F79" s="446">
        <f>data!PO32</f>
        <v>0</v>
      </c>
      <c r="G79" s="446">
        <f>data!PP32</f>
        <v>0</v>
      </c>
      <c r="H79" s="446">
        <f>data!PQ32</f>
        <v>0</v>
      </c>
      <c r="I79" s="446">
        <f>data!PR32</f>
        <v>0</v>
      </c>
      <c r="J79" s="446">
        <f>data!PS32</f>
        <v>3547474712</v>
      </c>
      <c r="K79" s="446">
        <f>data!PT32</f>
        <v>21504000</v>
      </c>
      <c r="L79" s="446">
        <f>data!PU32</f>
        <v>0</v>
      </c>
      <c r="M79" s="446">
        <f>data!PV32</f>
        <v>472980000</v>
      </c>
      <c r="N79" s="446">
        <f>data!PW32</f>
        <v>0</v>
      </c>
      <c r="O79" s="446">
        <f>data!PX32</f>
        <v>0</v>
      </c>
      <c r="P79" s="446">
        <f>data!PY32</f>
        <v>1182496140</v>
      </c>
      <c r="Q79" s="446">
        <f>data!PZ32</f>
        <v>0</v>
      </c>
      <c r="R79" s="446">
        <f>data!QA32</f>
        <v>0</v>
      </c>
      <c r="S79" s="446">
        <f>data!QB32</f>
        <v>5362040</v>
      </c>
      <c r="T79" s="446">
        <f>data!QC32</f>
        <v>8</v>
      </c>
      <c r="U79" s="446">
        <f>data!QD32</f>
        <v>6664786000</v>
      </c>
      <c r="V79" s="446">
        <f>data!QE32</f>
        <v>6650444000</v>
      </c>
      <c r="W79" s="446">
        <f>data!QF32</f>
        <v>508816000</v>
      </c>
      <c r="X79" s="446">
        <f>data!QG32</f>
        <v>0</v>
      </c>
      <c r="Y79" s="446">
        <f>data!QH32</f>
        <v>1282822001</v>
      </c>
      <c r="Z79" s="446">
        <f>data!QI32</f>
        <v>329660032</v>
      </c>
      <c r="AA79" s="446">
        <f>data!QJ32</f>
        <v>604708814</v>
      </c>
      <c r="AB79" s="446">
        <f>data!QK32</f>
        <v>2017</v>
      </c>
      <c r="AC79" s="446">
        <f>data!QL32</f>
        <v>0</v>
      </c>
      <c r="AD79" s="446">
        <f>data!QM32</f>
        <v>2985928867</v>
      </c>
      <c r="AE79" s="447">
        <f>data!QN32</f>
        <v>25360604631</v>
      </c>
      <c r="AG79" s="109">
        <f>data!$NA$32</f>
        <v>0</v>
      </c>
      <c r="AH79" s="110">
        <f>data!$NB$32</f>
        <v>2</v>
      </c>
      <c r="AI79" s="37">
        <f>data!RR32</f>
        <v>1.9129321622497022</v>
      </c>
      <c r="AJ79" s="718"/>
      <c r="AK79" s="730"/>
    </row>
    <row r="80" spans="1:37" ht="15.75" customHeight="1" x14ac:dyDescent="0.15">
      <c r="A80" s="109">
        <f>data!$NA$33</f>
        <v>0</v>
      </c>
      <c r="B80" s="110">
        <f>data!$NB$33</f>
        <v>3</v>
      </c>
      <c r="C80" s="445">
        <f>data!PL33</f>
        <v>157660000</v>
      </c>
      <c r="D80" s="446">
        <f>data!PM33</f>
        <v>0</v>
      </c>
      <c r="E80" s="446">
        <f>data!PN33</f>
        <v>945960000</v>
      </c>
      <c r="F80" s="446">
        <f>data!PO33</f>
        <v>0</v>
      </c>
      <c r="G80" s="446">
        <f>data!PP33</f>
        <v>0</v>
      </c>
      <c r="H80" s="446">
        <f>data!PQ33</f>
        <v>0</v>
      </c>
      <c r="I80" s="446">
        <f>data!PR33</f>
        <v>0</v>
      </c>
      <c r="J80" s="446">
        <f>data!PS33</f>
        <v>3547475627</v>
      </c>
      <c r="K80" s="446">
        <f>data!PT33</f>
        <v>21504000</v>
      </c>
      <c r="L80" s="446">
        <f>data!PU33</f>
        <v>0</v>
      </c>
      <c r="M80" s="446">
        <f>data!PV33</f>
        <v>472980000</v>
      </c>
      <c r="N80" s="446">
        <f>data!PW33</f>
        <v>0</v>
      </c>
      <c r="O80" s="446">
        <f>data!PX33</f>
        <v>0</v>
      </c>
      <c r="P80" s="446">
        <f>data!PY33</f>
        <v>1182496411</v>
      </c>
      <c r="Q80" s="446">
        <f>data!PZ33</f>
        <v>0</v>
      </c>
      <c r="R80" s="446">
        <f>data!QA33</f>
        <v>0</v>
      </c>
      <c r="S80" s="446">
        <f>data!QB33</f>
        <v>5362040</v>
      </c>
      <c r="T80" s="446">
        <f>data!QC33</f>
        <v>8</v>
      </c>
      <c r="U80" s="446">
        <f>data!QD33</f>
        <v>6664786000</v>
      </c>
      <c r="V80" s="446">
        <f>data!QE33</f>
        <v>6650444000</v>
      </c>
      <c r="W80" s="446">
        <f>data!QF33</f>
        <v>508816000</v>
      </c>
      <c r="X80" s="446">
        <f>data!QG33</f>
        <v>0</v>
      </c>
      <c r="Y80" s="446">
        <f>data!QH33</f>
        <v>1282822009</v>
      </c>
      <c r="Z80" s="446">
        <f>data!QI33</f>
        <v>329660032</v>
      </c>
      <c r="AA80" s="446">
        <f>data!QJ33</f>
        <v>604708977</v>
      </c>
      <c r="AB80" s="446">
        <f>data!QK33</f>
        <v>2017</v>
      </c>
      <c r="AC80" s="446">
        <f>data!QL33</f>
        <v>0</v>
      </c>
      <c r="AD80" s="446">
        <f>data!QM33</f>
        <v>2985927661</v>
      </c>
      <c r="AE80" s="447">
        <f>data!QN33</f>
        <v>25360604782</v>
      </c>
      <c r="AG80" s="109">
        <f>data!$NA$33</f>
        <v>0</v>
      </c>
      <c r="AH80" s="110">
        <f>data!$NB$33</f>
        <v>3</v>
      </c>
      <c r="AI80" s="37">
        <f>data!RR33</f>
        <v>1.9130125606021198</v>
      </c>
      <c r="AJ80" s="718"/>
      <c r="AK80" s="730"/>
    </row>
    <row r="81" spans="1:55" ht="15.75" customHeight="1" x14ac:dyDescent="0.15">
      <c r="A81" s="109">
        <f>data!$NA$34</f>
        <v>0</v>
      </c>
      <c r="B81" s="110">
        <f>data!$NB$34</f>
        <v>4</v>
      </c>
      <c r="C81" s="445">
        <f>data!PL34</f>
        <v>157660000</v>
      </c>
      <c r="D81" s="446">
        <f>data!PM34</f>
        <v>0</v>
      </c>
      <c r="E81" s="446">
        <f>data!PN34</f>
        <v>945960000</v>
      </c>
      <c r="F81" s="446">
        <f>data!PO34</f>
        <v>0</v>
      </c>
      <c r="G81" s="446">
        <f>data!PP34</f>
        <v>0</v>
      </c>
      <c r="H81" s="446">
        <f>data!PQ34</f>
        <v>0</v>
      </c>
      <c r="I81" s="446">
        <f>data!PR34</f>
        <v>0</v>
      </c>
      <c r="J81" s="446">
        <f>data!PS34</f>
        <v>3547474712</v>
      </c>
      <c r="K81" s="446">
        <f>data!PT34</f>
        <v>21504000</v>
      </c>
      <c r="L81" s="446">
        <f>data!PU34</f>
        <v>0</v>
      </c>
      <c r="M81" s="446">
        <f>data!PV34</f>
        <v>472980000</v>
      </c>
      <c r="N81" s="446">
        <f>data!PW34</f>
        <v>0</v>
      </c>
      <c r="O81" s="446">
        <f>data!PX34</f>
        <v>0</v>
      </c>
      <c r="P81" s="446">
        <f>data!PY34</f>
        <v>1182496140</v>
      </c>
      <c r="Q81" s="446">
        <f>data!PZ34</f>
        <v>0</v>
      </c>
      <c r="R81" s="446">
        <f>data!QA34</f>
        <v>0</v>
      </c>
      <c r="S81" s="446">
        <f>data!QB34</f>
        <v>5362040</v>
      </c>
      <c r="T81" s="446">
        <f>data!QC34</f>
        <v>8</v>
      </c>
      <c r="U81" s="446">
        <f>data!QD34</f>
        <v>6664786000</v>
      </c>
      <c r="V81" s="446">
        <f>data!QE34</f>
        <v>6650444000</v>
      </c>
      <c r="W81" s="446">
        <f>data!QF34</f>
        <v>508816000</v>
      </c>
      <c r="X81" s="446">
        <f>data!QG34</f>
        <v>0</v>
      </c>
      <c r="Y81" s="446">
        <f>data!QH34</f>
        <v>1282822001</v>
      </c>
      <c r="Z81" s="446">
        <f>data!QI34</f>
        <v>329660032</v>
      </c>
      <c r="AA81" s="446">
        <f>data!QJ34</f>
        <v>604708810</v>
      </c>
      <c r="AB81" s="446">
        <f>data!QK34</f>
        <v>2017</v>
      </c>
      <c r="AC81" s="446">
        <f>data!QL34</f>
        <v>0</v>
      </c>
      <c r="AD81" s="446">
        <f>data!QM34</f>
        <v>2985965736</v>
      </c>
      <c r="AE81" s="447">
        <f>data!QN34</f>
        <v>25360641496</v>
      </c>
      <c r="AG81" s="109">
        <f>data!$NA$34</f>
        <v>0</v>
      </c>
      <c r="AH81" s="110">
        <f>data!$NB$34</f>
        <v>4</v>
      </c>
      <c r="AI81" s="37">
        <f>data!RR34</f>
        <v>1.9140776166896594</v>
      </c>
      <c r="AJ81" s="718"/>
      <c r="AK81" s="730"/>
    </row>
    <row r="82" spans="1:55" ht="15.75" customHeight="1" x14ac:dyDescent="0.15">
      <c r="A82" s="109">
        <f>data!$NA$35</f>
        <v>0</v>
      </c>
      <c r="B82" s="110">
        <f>data!$NB$35</f>
        <v>5</v>
      </c>
      <c r="C82" s="445">
        <f>data!PL35</f>
        <v>157660000</v>
      </c>
      <c r="D82" s="446">
        <f>data!PM35</f>
        <v>0</v>
      </c>
      <c r="E82" s="446">
        <f>data!PN35</f>
        <v>945960000</v>
      </c>
      <c r="F82" s="446">
        <f>data!PO35</f>
        <v>0</v>
      </c>
      <c r="G82" s="446">
        <f>data!PP35</f>
        <v>0</v>
      </c>
      <c r="H82" s="446">
        <f>data!PQ35</f>
        <v>0</v>
      </c>
      <c r="I82" s="446">
        <f>data!PR35</f>
        <v>0</v>
      </c>
      <c r="J82" s="446">
        <f>data!PS35</f>
        <v>3547475631</v>
      </c>
      <c r="K82" s="446">
        <f>data!PT35</f>
        <v>21504000</v>
      </c>
      <c r="L82" s="446">
        <f>data!PU35</f>
        <v>0</v>
      </c>
      <c r="M82" s="446">
        <f>data!PV35</f>
        <v>472980000</v>
      </c>
      <c r="N82" s="446">
        <f>data!PW35</f>
        <v>0</v>
      </c>
      <c r="O82" s="446">
        <f>data!PX35</f>
        <v>0</v>
      </c>
      <c r="P82" s="446">
        <f>data!PY35</f>
        <v>1182496420</v>
      </c>
      <c r="Q82" s="446">
        <f>data!PZ35</f>
        <v>0</v>
      </c>
      <c r="R82" s="446">
        <f>data!QA35</f>
        <v>0</v>
      </c>
      <c r="S82" s="446">
        <f>data!QB35</f>
        <v>5362040</v>
      </c>
      <c r="T82" s="446">
        <f>data!QC35</f>
        <v>8</v>
      </c>
      <c r="U82" s="446">
        <f>data!QD35</f>
        <v>6664786000</v>
      </c>
      <c r="V82" s="446">
        <f>data!QE35</f>
        <v>6650444000</v>
      </c>
      <c r="W82" s="446">
        <f>data!QF35</f>
        <v>508816000</v>
      </c>
      <c r="X82" s="446">
        <f>data!QG35</f>
        <v>0</v>
      </c>
      <c r="Y82" s="446">
        <f>data!QH35</f>
        <v>1282822009</v>
      </c>
      <c r="Z82" s="446">
        <f>data!QI35</f>
        <v>329660032</v>
      </c>
      <c r="AA82" s="446">
        <f>data!QJ35</f>
        <v>604708354</v>
      </c>
      <c r="AB82" s="446">
        <f>data!QK35</f>
        <v>2017</v>
      </c>
      <c r="AC82" s="446">
        <f>data!QL35</f>
        <v>0</v>
      </c>
      <c r="AD82" s="446">
        <f>data!QM35</f>
        <v>2985969938</v>
      </c>
      <c r="AE82" s="447">
        <f>data!QN35</f>
        <v>25360646449</v>
      </c>
      <c r="AG82" s="109">
        <f>data!$NA$35</f>
        <v>0</v>
      </c>
      <c r="AH82" s="110">
        <f>data!$NB$35</f>
        <v>5</v>
      </c>
      <c r="AI82" s="37">
        <f>data!RR35</f>
        <v>1.9136110995366744</v>
      </c>
      <c r="AJ82" s="718"/>
      <c r="AK82" s="730"/>
    </row>
    <row r="83" spans="1:55" ht="15.75" customHeight="1" x14ac:dyDescent="0.15">
      <c r="A83" s="109">
        <f>data!$NA$36</f>
        <v>0</v>
      </c>
      <c r="B83" s="110">
        <f>data!$NB$36</f>
        <v>6</v>
      </c>
      <c r="C83" s="445">
        <f>data!PL36</f>
        <v>157659990</v>
      </c>
      <c r="D83" s="446">
        <f>data!PM36</f>
        <v>0</v>
      </c>
      <c r="E83" s="446">
        <f>data!PN36</f>
        <v>945960000</v>
      </c>
      <c r="F83" s="446">
        <f>data!PO36</f>
        <v>0</v>
      </c>
      <c r="G83" s="446">
        <f>data!PP36</f>
        <v>0</v>
      </c>
      <c r="H83" s="446">
        <f>data!PQ36</f>
        <v>0</v>
      </c>
      <c r="I83" s="446">
        <f>data!PR36</f>
        <v>0</v>
      </c>
      <c r="J83" s="446">
        <f>data!PS36</f>
        <v>3547475343</v>
      </c>
      <c r="K83" s="446">
        <f>data!PT36</f>
        <v>21503990</v>
      </c>
      <c r="L83" s="446">
        <f>data!PU36</f>
        <v>0</v>
      </c>
      <c r="M83" s="446">
        <f>data!PV36</f>
        <v>472980000</v>
      </c>
      <c r="N83" s="446">
        <f>data!PW36</f>
        <v>0</v>
      </c>
      <c r="O83" s="446">
        <f>data!PX36</f>
        <v>0</v>
      </c>
      <c r="P83" s="446">
        <f>data!PY36</f>
        <v>1182496373</v>
      </c>
      <c r="Q83" s="446">
        <f>data!PZ36</f>
        <v>0</v>
      </c>
      <c r="R83" s="446">
        <f>data!QA36</f>
        <v>0</v>
      </c>
      <c r="S83" s="446">
        <f>data!QB36</f>
        <v>5362040</v>
      </c>
      <c r="T83" s="446">
        <f>data!QC36</f>
        <v>8</v>
      </c>
      <c r="U83" s="446">
        <f>data!QD36</f>
        <v>6664786000</v>
      </c>
      <c r="V83" s="446">
        <f>data!QE36</f>
        <v>6650444000</v>
      </c>
      <c r="W83" s="446">
        <f>data!QF36</f>
        <v>508816000</v>
      </c>
      <c r="X83" s="446">
        <f>data!QG36</f>
        <v>0</v>
      </c>
      <c r="Y83" s="446">
        <f>data!QH36</f>
        <v>1282822017</v>
      </c>
      <c r="Z83" s="446">
        <f>data!QI36</f>
        <v>329660032</v>
      </c>
      <c r="AA83" s="446">
        <f>data!QJ36</f>
        <v>604708739</v>
      </c>
      <c r="AB83" s="446">
        <f>data!QK36</f>
        <v>2017</v>
      </c>
      <c r="AC83" s="446">
        <f>data!QL36</f>
        <v>0</v>
      </c>
      <c r="AD83" s="446">
        <f>data!QM36</f>
        <v>2985972075</v>
      </c>
      <c r="AE83" s="447">
        <f>data!QN36</f>
        <v>25360648624</v>
      </c>
      <c r="AG83" s="109">
        <f>data!$NA$36</f>
        <v>0</v>
      </c>
      <c r="AH83" s="110">
        <f>data!$NB$36</f>
        <v>6</v>
      </c>
      <c r="AI83" s="37">
        <f>data!RR36</f>
        <v>1.9143778855817748</v>
      </c>
      <c r="AJ83" s="718"/>
      <c r="AK83" s="730"/>
    </row>
    <row r="84" spans="1:55" ht="15.75" customHeight="1" x14ac:dyDescent="0.15">
      <c r="A84" s="109">
        <f>data!$NA$37</f>
        <v>0</v>
      </c>
      <c r="B84" s="110">
        <f>data!$NB$37</f>
        <v>7</v>
      </c>
      <c r="C84" s="445">
        <f>data!PL37</f>
        <v>157660010</v>
      </c>
      <c r="D84" s="446">
        <f>data!PM37</f>
        <v>0</v>
      </c>
      <c r="E84" s="446">
        <f>data!PN37</f>
        <v>945960000</v>
      </c>
      <c r="F84" s="446">
        <f>data!PO37</f>
        <v>0</v>
      </c>
      <c r="G84" s="446">
        <f>data!PP37</f>
        <v>0</v>
      </c>
      <c r="H84" s="446">
        <f>data!PQ37</f>
        <v>0</v>
      </c>
      <c r="I84" s="446">
        <f>data!PR37</f>
        <v>0</v>
      </c>
      <c r="J84" s="446">
        <f>data!PS37</f>
        <v>3547475617</v>
      </c>
      <c r="K84" s="446">
        <f>data!PT37</f>
        <v>21504010</v>
      </c>
      <c r="L84" s="446">
        <f>data!PU37</f>
        <v>0</v>
      </c>
      <c r="M84" s="446">
        <f>data!PV37</f>
        <v>472980000</v>
      </c>
      <c r="N84" s="446">
        <f>data!PW37</f>
        <v>0</v>
      </c>
      <c r="O84" s="446">
        <f>data!PX37</f>
        <v>0</v>
      </c>
      <c r="P84" s="446">
        <f>data!PY37</f>
        <v>1182496401</v>
      </c>
      <c r="Q84" s="446">
        <f>data!PZ37</f>
        <v>0</v>
      </c>
      <c r="R84" s="446">
        <f>data!QA37</f>
        <v>0</v>
      </c>
      <c r="S84" s="446">
        <f>data!QB37</f>
        <v>5362040</v>
      </c>
      <c r="T84" s="446">
        <f>data!QC37</f>
        <v>8</v>
      </c>
      <c r="U84" s="446">
        <f>data!QD37</f>
        <v>6664786000</v>
      </c>
      <c r="V84" s="446">
        <f>data!QE37</f>
        <v>6650444000</v>
      </c>
      <c r="W84" s="446">
        <f>data!QF37</f>
        <v>508816000</v>
      </c>
      <c r="X84" s="446">
        <f>data!QG37</f>
        <v>0</v>
      </c>
      <c r="Y84" s="446">
        <f>data!QH37</f>
        <v>1282822001</v>
      </c>
      <c r="Z84" s="446">
        <f>data!QI37</f>
        <v>329660032</v>
      </c>
      <c r="AA84" s="446">
        <f>data!QJ37</f>
        <v>604708339</v>
      </c>
      <c r="AB84" s="446">
        <f>data!QK37</f>
        <v>2017</v>
      </c>
      <c r="AC84" s="446">
        <f>data!QL37</f>
        <v>0</v>
      </c>
      <c r="AD84" s="446">
        <f>data!QM37</f>
        <v>2985928200</v>
      </c>
      <c r="AE84" s="447">
        <f>data!QN37</f>
        <v>25360604675</v>
      </c>
      <c r="AG84" s="109">
        <f>data!$NA$37</f>
        <v>0</v>
      </c>
      <c r="AH84" s="110">
        <f>data!$NB$37</f>
        <v>7</v>
      </c>
      <c r="AI84" s="37">
        <f>data!RR37</f>
        <v>1.9140453244772839</v>
      </c>
      <c r="AJ84" s="718"/>
      <c r="AK84" s="730"/>
    </row>
    <row r="85" spans="1:55" ht="15.75" customHeight="1" x14ac:dyDescent="0.15">
      <c r="A85" s="109">
        <f>data!$NA$38</f>
        <v>0</v>
      </c>
      <c r="B85" s="110">
        <f>data!$NB$38</f>
        <v>8</v>
      </c>
      <c r="C85" s="445">
        <f>data!PL38</f>
        <v>157660010</v>
      </c>
      <c r="D85" s="446">
        <f>data!PM38</f>
        <v>0</v>
      </c>
      <c r="E85" s="446">
        <f>data!PN38</f>
        <v>945960000</v>
      </c>
      <c r="F85" s="446">
        <f>data!PO38</f>
        <v>0</v>
      </c>
      <c r="G85" s="446">
        <f>data!PP38</f>
        <v>0</v>
      </c>
      <c r="H85" s="446">
        <f>data!PQ38</f>
        <v>0</v>
      </c>
      <c r="I85" s="446">
        <f>data!PR38</f>
        <v>0</v>
      </c>
      <c r="J85" s="446">
        <f>data!PS38</f>
        <v>3547475614</v>
      </c>
      <c r="K85" s="446">
        <f>data!PT38</f>
        <v>21504010</v>
      </c>
      <c r="L85" s="446">
        <f>data!PU38</f>
        <v>0</v>
      </c>
      <c r="M85" s="446">
        <f>data!PV38</f>
        <v>472980000</v>
      </c>
      <c r="N85" s="446">
        <f>data!PW38</f>
        <v>0</v>
      </c>
      <c r="O85" s="446">
        <f>data!PX38</f>
        <v>0</v>
      </c>
      <c r="P85" s="446">
        <f>data!PY38</f>
        <v>1182496401</v>
      </c>
      <c r="Q85" s="446">
        <f>data!PZ38</f>
        <v>0</v>
      </c>
      <c r="R85" s="446">
        <f>data!QA38</f>
        <v>0</v>
      </c>
      <c r="S85" s="446">
        <f>data!QB38</f>
        <v>5362040</v>
      </c>
      <c r="T85" s="446">
        <f>data!QC38</f>
        <v>8</v>
      </c>
      <c r="U85" s="446">
        <f>data!QD38</f>
        <v>6664786000</v>
      </c>
      <c r="V85" s="446">
        <f>data!QE38</f>
        <v>6650444000</v>
      </c>
      <c r="W85" s="446">
        <f>data!QF38</f>
        <v>508816000</v>
      </c>
      <c r="X85" s="446">
        <f>data!QG38</f>
        <v>0</v>
      </c>
      <c r="Y85" s="446">
        <f>data!QH38</f>
        <v>1282822001</v>
      </c>
      <c r="Z85" s="446">
        <f>data!QI38</f>
        <v>329660032</v>
      </c>
      <c r="AA85" s="446">
        <f>data!QJ38</f>
        <v>604708802</v>
      </c>
      <c r="AB85" s="446">
        <f>data!QK38</f>
        <v>2017</v>
      </c>
      <c r="AC85" s="446">
        <f>data!QL38</f>
        <v>0</v>
      </c>
      <c r="AD85" s="446">
        <f>data!QM38</f>
        <v>2985958139</v>
      </c>
      <c r="AE85" s="447">
        <f>data!QN38</f>
        <v>25360635074</v>
      </c>
      <c r="AG85" s="109">
        <f>data!$NA$38</f>
        <v>0</v>
      </c>
      <c r="AH85" s="110">
        <f>data!$NB$38</f>
        <v>8</v>
      </c>
      <c r="AI85" s="37">
        <f>data!RR38</f>
        <v>1.914029439006409</v>
      </c>
      <c r="AJ85" s="718"/>
      <c r="AK85" s="730"/>
    </row>
    <row r="86" spans="1:55" ht="15.75" customHeight="1" x14ac:dyDescent="0.15">
      <c r="A86" s="109">
        <f>data!$NA$39</f>
        <v>0</v>
      </c>
      <c r="B86" s="110">
        <f>data!$NB$39</f>
        <v>9</v>
      </c>
      <c r="C86" s="445">
        <f>data!PL39</f>
        <v>157660000</v>
      </c>
      <c r="D86" s="446">
        <f>data!PM39</f>
        <v>0</v>
      </c>
      <c r="E86" s="446">
        <f>data!PN39</f>
        <v>945960000</v>
      </c>
      <c r="F86" s="446">
        <f>data!PO39</f>
        <v>0</v>
      </c>
      <c r="G86" s="446">
        <f>data!PP39</f>
        <v>0</v>
      </c>
      <c r="H86" s="446">
        <f>data!PQ39</f>
        <v>0</v>
      </c>
      <c r="I86" s="446">
        <f>data!PR39</f>
        <v>0</v>
      </c>
      <c r="J86" s="446">
        <f>data!PS39</f>
        <v>3547474707</v>
      </c>
      <c r="K86" s="446">
        <f>data!PT39</f>
        <v>21504000</v>
      </c>
      <c r="L86" s="446">
        <f>data!PU39</f>
        <v>0</v>
      </c>
      <c r="M86" s="446">
        <f>data!PV39</f>
        <v>472980000</v>
      </c>
      <c r="N86" s="446">
        <f>data!PW39</f>
        <v>0</v>
      </c>
      <c r="O86" s="446">
        <f>data!PX39</f>
        <v>0</v>
      </c>
      <c r="P86" s="446">
        <f>data!PY39</f>
        <v>1182496140</v>
      </c>
      <c r="Q86" s="446">
        <f>data!PZ39</f>
        <v>0</v>
      </c>
      <c r="R86" s="446">
        <f>data!QA39</f>
        <v>0</v>
      </c>
      <c r="S86" s="446">
        <f>data!QB39</f>
        <v>5362040</v>
      </c>
      <c r="T86" s="446">
        <f>data!QC39</f>
        <v>8</v>
      </c>
      <c r="U86" s="446">
        <f>data!QD39</f>
        <v>6664786000</v>
      </c>
      <c r="V86" s="446">
        <f>data!QE39</f>
        <v>6650444000</v>
      </c>
      <c r="W86" s="446">
        <f>data!QF39</f>
        <v>508816000</v>
      </c>
      <c r="X86" s="446">
        <f>data!QG39</f>
        <v>0</v>
      </c>
      <c r="Y86" s="446">
        <f>data!QH39</f>
        <v>1282822001</v>
      </c>
      <c r="Z86" s="446">
        <f>data!QI39</f>
        <v>329660032</v>
      </c>
      <c r="AA86" s="446">
        <f>data!QJ39</f>
        <v>604708788</v>
      </c>
      <c r="AB86" s="446">
        <f>data!QK39</f>
        <v>2017</v>
      </c>
      <c r="AC86" s="446">
        <f>data!QL39</f>
        <v>0</v>
      </c>
      <c r="AD86" s="446">
        <f>data!QM39</f>
        <v>2985957317</v>
      </c>
      <c r="AE86" s="447">
        <f>data!QN39</f>
        <v>25360633050</v>
      </c>
      <c r="AG86" s="109">
        <f>data!$NA$39</f>
        <v>0</v>
      </c>
      <c r="AH86" s="110">
        <f>data!$NB$39</f>
        <v>9</v>
      </c>
      <c r="AI86" s="37">
        <f>data!RR39</f>
        <v>1.9142333790813966</v>
      </c>
      <c r="AJ86" s="718"/>
      <c r="AK86" s="730"/>
    </row>
    <row r="87" spans="1:55" ht="15.75" customHeight="1" x14ac:dyDescent="0.15">
      <c r="A87" s="109">
        <f>data!$NA$40</f>
        <v>0</v>
      </c>
      <c r="B87" s="110">
        <f>data!$NB$40</f>
        <v>10</v>
      </c>
      <c r="C87" s="445">
        <f>data!PL40</f>
        <v>157660010</v>
      </c>
      <c r="D87" s="446">
        <f>data!PM40</f>
        <v>0</v>
      </c>
      <c r="E87" s="446">
        <f>data!PN40</f>
        <v>945960000</v>
      </c>
      <c r="F87" s="446">
        <f>data!PO40</f>
        <v>0</v>
      </c>
      <c r="G87" s="446">
        <f>data!PP40</f>
        <v>0</v>
      </c>
      <c r="H87" s="446">
        <f>data!PQ40</f>
        <v>0</v>
      </c>
      <c r="I87" s="446">
        <f>data!PR40</f>
        <v>0</v>
      </c>
      <c r="J87" s="446">
        <f>data!PS40</f>
        <v>3547475619</v>
      </c>
      <c r="K87" s="446">
        <f>data!PT40</f>
        <v>21504010</v>
      </c>
      <c r="L87" s="446">
        <f>data!PU40</f>
        <v>0</v>
      </c>
      <c r="M87" s="446">
        <f>data!PV40</f>
        <v>472980000</v>
      </c>
      <c r="N87" s="446">
        <f>data!PW40</f>
        <v>0</v>
      </c>
      <c r="O87" s="446">
        <f>data!PX40</f>
        <v>0</v>
      </c>
      <c r="P87" s="446">
        <f>data!PY40</f>
        <v>1182496401</v>
      </c>
      <c r="Q87" s="446">
        <f>data!PZ40</f>
        <v>0</v>
      </c>
      <c r="R87" s="446">
        <f>data!QA40</f>
        <v>0</v>
      </c>
      <c r="S87" s="446">
        <f>data!QB40</f>
        <v>5362040</v>
      </c>
      <c r="T87" s="446">
        <f>data!QC40</f>
        <v>8</v>
      </c>
      <c r="U87" s="446">
        <f>data!QD40</f>
        <v>6664786000</v>
      </c>
      <c r="V87" s="446">
        <f>data!QE40</f>
        <v>6650444000</v>
      </c>
      <c r="W87" s="446">
        <f>data!QF40</f>
        <v>508816000</v>
      </c>
      <c r="X87" s="446">
        <f>data!QG40</f>
        <v>0</v>
      </c>
      <c r="Y87" s="446">
        <f>data!QH40</f>
        <v>1282822001</v>
      </c>
      <c r="Z87" s="446">
        <f>data!QI40</f>
        <v>329660032</v>
      </c>
      <c r="AA87" s="446">
        <f>data!QJ40</f>
        <v>604708947</v>
      </c>
      <c r="AB87" s="446">
        <f>data!QK40</f>
        <v>2017</v>
      </c>
      <c r="AC87" s="446">
        <f>data!QL40</f>
        <v>0</v>
      </c>
      <c r="AD87" s="446">
        <f>data!QM40</f>
        <v>2985960784</v>
      </c>
      <c r="AE87" s="447">
        <f>data!QN40</f>
        <v>25360637869</v>
      </c>
      <c r="AG87" s="109">
        <f>data!$NA$40</f>
        <v>0</v>
      </c>
      <c r="AH87" s="110">
        <f>data!$NB$40</f>
        <v>10</v>
      </c>
      <c r="AI87" s="37">
        <f>data!RR40</f>
        <v>1.9137486210920711</v>
      </c>
      <c r="AJ87" s="718"/>
      <c r="AK87" s="730"/>
    </row>
    <row r="88" spans="1:55" ht="15.75" customHeight="1" thickBot="1" x14ac:dyDescent="0.2">
      <c r="A88" s="114">
        <f>data!$NA$41</f>
        <v>0</v>
      </c>
      <c r="B88" s="463">
        <f>data!$NB$41</f>
        <v>11</v>
      </c>
      <c r="C88" s="448">
        <f>data!PL41</f>
        <v>157660000</v>
      </c>
      <c r="D88" s="449">
        <f>data!PM41</f>
        <v>0</v>
      </c>
      <c r="E88" s="449">
        <f>data!PN41</f>
        <v>945960000</v>
      </c>
      <c r="F88" s="449">
        <f>data!PO41</f>
        <v>0</v>
      </c>
      <c r="G88" s="449">
        <f>data!PP41</f>
        <v>0</v>
      </c>
      <c r="H88" s="449">
        <f>data!PQ41</f>
        <v>0</v>
      </c>
      <c r="I88" s="449">
        <f>data!PR41</f>
        <v>0</v>
      </c>
      <c r="J88" s="449">
        <f>data!PS41</f>
        <v>3547474707</v>
      </c>
      <c r="K88" s="449">
        <f>data!PT41</f>
        <v>21504000</v>
      </c>
      <c r="L88" s="449">
        <f>data!PU41</f>
        <v>0</v>
      </c>
      <c r="M88" s="449">
        <f>data!PV41</f>
        <v>472980000</v>
      </c>
      <c r="N88" s="449">
        <f>data!PW41</f>
        <v>0</v>
      </c>
      <c r="O88" s="449">
        <f>data!PX41</f>
        <v>0</v>
      </c>
      <c r="P88" s="449">
        <f>data!PY41</f>
        <v>1182496140</v>
      </c>
      <c r="Q88" s="449">
        <f>data!PZ41</f>
        <v>0</v>
      </c>
      <c r="R88" s="449">
        <f>data!QA41</f>
        <v>0</v>
      </c>
      <c r="S88" s="449">
        <f>data!QB41</f>
        <v>5362040</v>
      </c>
      <c r="T88" s="449">
        <f>data!QC41</f>
        <v>8</v>
      </c>
      <c r="U88" s="449">
        <f>data!QD41</f>
        <v>6664786000</v>
      </c>
      <c r="V88" s="449">
        <f>data!QE41</f>
        <v>6650444000</v>
      </c>
      <c r="W88" s="449">
        <f>data!QF41</f>
        <v>508816000</v>
      </c>
      <c r="X88" s="449">
        <f>data!QG41</f>
        <v>0</v>
      </c>
      <c r="Y88" s="449">
        <f>data!QH41</f>
        <v>1282822001</v>
      </c>
      <c r="Z88" s="449">
        <f>data!QI41</f>
        <v>329660032</v>
      </c>
      <c r="AA88" s="449">
        <f>data!QJ41</f>
        <v>604708386</v>
      </c>
      <c r="AB88" s="449">
        <f>data!QK41</f>
        <v>2017</v>
      </c>
      <c r="AC88" s="449">
        <f>data!QL41</f>
        <v>0</v>
      </c>
      <c r="AD88" s="449">
        <f>data!QM41</f>
        <v>2985967175</v>
      </c>
      <c r="AE88" s="450">
        <f>data!QN41</f>
        <v>25360642506</v>
      </c>
      <c r="AG88" s="114">
        <f>data!$NA$41</f>
        <v>0</v>
      </c>
      <c r="AH88" s="463">
        <f>data!$NB$41</f>
        <v>11</v>
      </c>
      <c r="AI88" s="491">
        <f>data!RR41</f>
        <v>1.9138092390987738</v>
      </c>
      <c r="AJ88" s="718"/>
      <c r="AK88" s="730"/>
    </row>
    <row r="89" spans="1:55" ht="15.75" customHeight="1" thickTop="1" thickBot="1" x14ac:dyDescent="0.2">
      <c r="A89" s="666" t="str">
        <f>data!$NB$42</f>
        <v>CMG 0 total</v>
      </c>
      <c r="B89" s="667"/>
      <c r="C89" s="479">
        <f>data!PL42</f>
        <v>1891920015</v>
      </c>
      <c r="D89" s="480">
        <f>data!PM42</f>
        <v>0</v>
      </c>
      <c r="E89" s="480">
        <f>data!PN42</f>
        <v>11351520000</v>
      </c>
      <c r="F89" s="480">
        <f>data!PO42</f>
        <v>0</v>
      </c>
      <c r="G89" s="480">
        <f>data!PP42</f>
        <v>0</v>
      </c>
      <c r="H89" s="480">
        <f>data!PQ42</f>
        <v>0</v>
      </c>
      <c r="I89" s="480">
        <f>data!PR42</f>
        <v>0</v>
      </c>
      <c r="J89" s="480">
        <f>data!PS42</f>
        <v>42569703519</v>
      </c>
      <c r="K89" s="480">
        <f>data!PT42</f>
        <v>258048015</v>
      </c>
      <c r="L89" s="480">
        <f>data!PU42</f>
        <v>0</v>
      </c>
      <c r="M89" s="480">
        <f>data!PV42</f>
        <v>5675760000</v>
      </c>
      <c r="N89" s="480">
        <f>data!PW42</f>
        <v>0</v>
      </c>
      <c r="O89" s="480">
        <f>data!PX42</f>
        <v>0</v>
      </c>
      <c r="P89" s="480">
        <f>data!PY42</f>
        <v>14189955898</v>
      </c>
      <c r="Q89" s="480">
        <f>data!PZ42</f>
        <v>0</v>
      </c>
      <c r="R89" s="480">
        <f>data!QA42</f>
        <v>0</v>
      </c>
      <c r="S89" s="480">
        <f>data!QB42</f>
        <v>64344481</v>
      </c>
      <c r="T89" s="480">
        <f>data!QC42</f>
        <v>96</v>
      </c>
      <c r="U89" s="480">
        <f>data!QD42</f>
        <v>79977432000</v>
      </c>
      <c r="V89" s="480">
        <f>data!QE42</f>
        <v>79805328000</v>
      </c>
      <c r="W89" s="480">
        <f>data!QF42</f>
        <v>6105792000</v>
      </c>
      <c r="X89" s="480">
        <f>data!QG42</f>
        <v>0</v>
      </c>
      <c r="Y89" s="480">
        <f>data!QH42</f>
        <v>15393864060</v>
      </c>
      <c r="Z89" s="480">
        <f>data!QI42</f>
        <v>3955920384</v>
      </c>
      <c r="AA89" s="480">
        <f>data!QJ42</f>
        <v>7256505125</v>
      </c>
      <c r="AB89" s="480">
        <f>data!QK42</f>
        <v>24204</v>
      </c>
      <c r="AC89" s="480">
        <f>data!QL42</f>
        <v>0</v>
      </c>
      <c r="AD89" s="480">
        <f>data!QM42</f>
        <v>35831390492</v>
      </c>
      <c r="AE89" s="481">
        <f>data!QN42</f>
        <v>304327508289</v>
      </c>
      <c r="AG89" s="745" t="str">
        <f>data!$NB$42</f>
        <v>CMG 0 total</v>
      </c>
      <c r="AH89" s="746"/>
      <c r="AI89" s="492">
        <f>data!RR42</f>
        <v>22.964803582823993</v>
      </c>
      <c r="AJ89" s="493">
        <f>data!RS42</f>
        <v>2.3714441363485905</v>
      </c>
      <c r="AK89" s="494">
        <f>data!RT42</f>
        <v>7.4585308091566063</v>
      </c>
    </row>
    <row r="90" spans="1:55" ht="15.75" customHeight="1" thickBot="1" x14ac:dyDescent="0.2">
      <c r="A90" s="668"/>
      <c r="B90" s="669"/>
      <c r="C90" s="757">
        <f>data!PL43</f>
        <v>75936907447</v>
      </c>
      <c r="D90" s="758"/>
      <c r="E90" s="758"/>
      <c r="F90" s="758"/>
      <c r="G90" s="758"/>
      <c r="H90" s="758"/>
      <c r="I90" s="758"/>
      <c r="J90" s="758"/>
      <c r="K90" s="758"/>
      <c r="L90" s="758"/>
      <c r="M90" s="758"/>
      <c r="N90" s="758"/>
      <c r="O90" s="758"/>
      <c r="P90" s="759"/>
      <c r="Q90" s="770">
        <f>data!PZ43</f>
        <v>64344481</v>
      </c>
      <c r="R90" s="758"/>
      <c r="S90" s="759"/>
      <c r="T90" s="43">
        <f>data!QC43</f>
        <v>96</v>
      </c>
      <c r="U90" s="770">
        <f>data!QD43</f>
        <v>165888552000</v>
      </c>
      <c r="V90" s="758"/>
      <c r="W90" s="759"/>
      <c r="X90" s="769">
        <f>data!QG43</f>
        <v>15393864060</v>
      </c>
      <c r="Y90" s="769"/>
      <c r="Z90" s="43">
        <f>data!QI43</f>
        <v>3955920384</v>
      </c>
      <c r="AA90" s="43">
        <f>data!QJ43</f>
        <v>7256505125</v>
      </c>
      <c r="AB90" s="43">
        <f>data!QK43</f>
        <v>24204</v>
      </c>
      <c r="AC90" s="43">
        <f>data!QL43</f>
        <v>0</v>
      </c>
      <c r="AD90" s="43">
        <f>data!QM43</f>
        <v>35831390492</v>
      </c>
      <c r="AE90" s="451">
        <f>data!QN43</f>
        <v>304327508289</v>
      </c>
    </row>
    <row r="91" spans="1:55" ht="15.75" customHeight="1" thickBot="1" x14ac:dyDescent="0.2">
      <c r="AG91" s="500"/>
      <c r="AX91"/>
      <c r="AY91"/>
      <c r="AZ91"/>
      <c r="BA91"/>
      <c r="BB91"/>
      <c r="BC91"/>
    </row>
    <row r="92" spans="1:55" ht="15.75" customHeight="1" x14ac:dyDescent="0.15">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x14ac:dyDescent="0.15">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x14ac:dyDescent="0.15">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x14ac:dyDescent="0.15">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x14ac:dyDescent="0.15">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x14ac:dyDescent="0.2">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x14ac:dyDescent="0.15">
      <c r="A98" s="111">
        <f>data!$NA$30</f>
        <v>0</v>
      </c>
      <c r="B98" s="112">
        <f>data!$NB$30</f>
        <v>0</v>
      </c>
      <c r="C98" s="125">
        <f>data!RC30</f>
        <v>0.4976905928622361</v>
      </c>
      <c r="D98" s="48">
        <f>data!RD30</f>
        <v>0</v>
      </c>
      <c r="E98" s="48">
        <f>data!RE30</f>
        <v>0</v>
      </c>
      <c r="F98" s="48">
        <f>data!RF30</f>
        <v>0.45804410416704916</v>
      </c>
      <c r="G98" s="48">
        <f>data!RG30</f>
        <v>0</v>
      </c>
      <c r="H98" s="48">
        <f>data!RH30</f>
        <v>0</v>
      </c>
      <c r="I98" s="126">
        <f>data!RI30</f>
        <v>4.4265302970714737E-2</v>
      </c>
      <c r="K98" s="111">
        <f>data!$NA$30</f>
        <v>0</v>
      </c>
      <c r="L98" s="112">
        <f>data!$NB$30</f>
        <v>0</v>
      </c>
      <c r="M98" s="572">
        <f>data!QO30</f>
        <v>61344368000</v>
      </c>
      <c r="N98" s="572">
        <f>data!QP30</f>
        <v>0</v>
      </c>
      <c r="O98" s="572">
        <f>data!QQ30</f>
        <v>0</v>
      </c>
      <c r="P98" s="129">
        <f>data!QR30</f>
        <v>2.7915467866857693</v>
      </c>
      <c r="R98" s="105">
        <f>data!$NA$30</f>
        <v>0</v>
      </c>
      <c r="S98" s="106">
        <f>data!$NB$30</f>
        <v>0</v>
      </c>
      <c r="T98" s="6">
        <f>data!QS30</f>
        <v>0</v>
      </c>
      <c r="U98" s="6">
        <f>data!QT30</f>
        <v>0.75043606374011074</v>
      </c>
      <c r="V98" s="38">
        <f>data!QU30</f>
        <v>0.24956393625988926</v>
      </c>
      <c r="W98" s="96">
        <f>data!QV30</f>
        <v>27797246380</v>
      </c>
      <c r="X98" s="97">
        <f>data!QW30</f>
        <v>516005000</v>
      </c>
      <c r="Y98" s="97">
        <f>data!QX30</f>
        <v>157662001</v>
      </c>
      <c r="Z98" s="97">
        <f>data!QY30</f>
        <v>1017640000</v>
      </c>
      <c r="AA98" s="97">
        <f>data!QZ30</f>
        <v>0</v>
      </c>
      <c r="AB98" s="81">
        <f>data!RA30</f>
        <v>0.99999928503709579</v>
      </c>
      <c r="AC98" s="456">
        <f>data!RB30</f>
        <v>7.451266427524636E-2</v>
      </c>
      <c r="AN98" s="432"/>
    </row>
    <row r="99" spans="1:40" ht="15.75" customHeight="1" x14ac:dyDescent="0.15">
      <c r="A99" s="109">
        <f>data!$NA$31</f>
        <v>0</v>
      </c>
      <c r="B99" s="110">
        <f>data!$NB$31</f>
        <v>1</v>
      </c>
      <c r="C99" s="7">
        <f>data!RC31</f>
        <v>0.49742132780742698</v>
      </c>
      <c r="D99" s="6">
        <f>data!RD31</f>
        <v>0</v>
      </c>
      <c r="E99" s="6">
        <f>data!RE31</f>
        <v>0</v>
      </c>
      <c r="F99" s="6">
        <f>data!RF31</f>
        <v>0.45853745974327553</v>
      </c>
      <c r="G99" s="6">
        <f>data!RG31</f>
        <v>0</v>
      </c>
      <c r="H99" s="6">
        <f>data!RH31</f>
        <v>0</v>
      </c>
      <c r="I99" s="8">
        <f>data!RI31</f>
        <v>4.4041212449297505E-2</v>
      </c>
      <c r="K99" s="109">
        <f>data!$NA$31</f>
        <v>0</v>
      </c>
      <c r="L99" s="110">
        <f>data!$NB$31</f>
        <v>1</v>
      </c>
      <c r="M99" s="573">
        <f>data!QO31</f>
        <v>61344368000</v>
      </c>
      <c r="N99" s="573">
        <f>data!QP31</f>
        <v>0</v>
      </c>
      <c r="O99" s="573">
        <f>data!QQ31</f>
        <v>0</v>
      </c>
      <c r="P99" s="26">
        <f>data!QR31</f>
        <v>2.7954393437347109</v>
      </c>
      <c r="R99" s="109">
        <f>data!$NA$31</f>
        <v>0</v>
      </c>
      <c r="S99" s="110">
        <f>data!$NB$31</f>
        <v>1</v>
      </c>
      <c r="T99" s="6">
        <f>data!QS31</f>
        <v>0</v>
      </c>
      <c r="U99" s="6">
        <f>data!QT31</f>
        <v>0.75043606493467996</v>
      </c>
      <c r="V99" s="38">
        <f>data!QU31</f>
        <v>0.24956393506532004</v>
      </c>
      <c r="W99" s="96">
        <f>data!QV31</f>
        <v>27797236443</v>
      </c>
      <c r="X99" s="97">
        <f>data!QW31</f>
        <v>516005000</v>
      </c>
      <c r="Y99" s="97">
        <f>data!QX31</f>
        <v>157662001</v>
      </c>
      <c r="Z99" s="97">
        <f>data!QY31</f>
        <v>1017640000</v>
      </c>
      <c r="AA99" s="97">
        <f>data!QZ31</f>
        <v>0</v>
      </c>
      <c r="AB99" s="459">
        <f>data!RA31</f>
        <v>0.99999932741515374</v>
      </c>
      <c r="AC99" s="457">
        <f>data!RB31</f>
        <v>7.4523165203568775E-2</v>
      </c>
      <c r="AN99" s="432"/>
    </row>
    <row r="100" spans="1:40" ht="15.75" customHeight="1" x14ac:dyDescent="0.15">
      <c r="A100" s="109">
        <f>data!$NA$32</f>
        <v>0</v>
      </c>
      <c r="B100" s="110">
        <f>data!$NB$32</f>
        <v>2</v>
      </c>
      <c r="C100" s="7">
        <f>data!RC32</f>
        <v>0.49736170502907795</v>
      </c>
      <c r="D100" s="6">
        <f>data!RD32</f>
        <v>0</v>
      </c>
      <c r="E100" s="6">
        <f>data!RE32</f>
        <v>0</v>
      </c>
      <c r="F100" s="6">
        <f>data!RF32</f>
        <v>0.45776764282606697</v>
      </c>
      <c r="G100" s="6">
        <f>data!RG32</f>
        <v>0</v>
      </c>
      <c r="H100" s="6">
        <f>data!RH32</f>
        <v>0</v>
      </c>
      <c r="I100" s="8">
        <f>data!RI32</f>
        <v>4.4870652144855097E-2</v>
      </c>
      <c r="K100" s="109">
        <f>data!$NA$32</f>
        <v>0</v>
      </c>
      <c r="L100" s="110">
        <f>data!$NB$32</f>
        <v>2</v>
      </c>
      <c r="M100" s="573">
        <f>data!QO32</f>
        <v>61344368000</v>
      </c>
      <c r="N100" s="573">
        <f>data!QP32</f>
        <v>0</v>
      </c>
      <c r="O100" s="573">
        <f>data!QQ32</f>
        <v>0</v>
      </c>
      <c r="P100" s="26">
        <f>data!QR32</f>
        <v>2.7897822039561775</v>
      </c>
      <c r="R100" s="109">
        <f>data!$NA$32</f>
        <v>0</v>
      </c>
      <c r="S100" s="110">
        <f>data!$NB$32</f>
        <v>2</v>
      </c>
      <c r="T100" s="6">
        <f>data!QS32</f>
        <v>0</v>
      </c>
      <c r="U100" s="6">
        <f>data!QT32</f>
        <v>0.75043606599042412</v>
      </c>
      <c r="V100" s="38">
        <f>data!QU32</f>
        <v>0.24956393400957586</v>
      </c>
      <c r="W100" s="96">
        <f>data!QV32</f>
        <v>27797236313</v>
      </c>
      <c r="X100" s="97">
        <f>data!QW32</f>
        <v>516005000</v>
      </c>
      <c r="Y100" s="97">
        <f>data!QX32</f>
        <v>157662009</v>
      </c>
      <c r="Z100" s="97">
        <f>data!QY32</f>
        <v>1017640000</v>
      </c>
      <c r="AA100" s="97">
        <f>data!QZ32</f>
        <v>0</v>
      </c>
      <c r="AB100" s="459">
        <f>data!RA32</f>
        <v>0.99999932799074731</v>
      </c>
      <c r="AC100" s="457">
        <f>data!RB32</f>
        <v>7.4525407860187062E-2</v>
      </c>
      <c r="AN100" s="432"/>
    </row>
    <row r="101" spans="1:40" ht="15.75" customHeight="1" x14ac:dyDescent="0.15">
      <c r="A101" s="109">
        <f>data!$NA$33</f>
        <v>0</v>
      </c>
      <c r="B101" s="110">
        <f>data!$NB$33</f>
        <v>3</v>
      </c>
      <c r="C101" s="7">
        <f>data!RC33</f>
        <v>0.49722328794213638</v>
      </c>
      <c r="D101" s="6">
        <f>data!RD33</f>
        <v>0</v>
      </c>
      <c r="E101" s="6">
        <f>data!RE33</f>
        <v>0</v>
      </c>
      <c r="F101" s="6">
        <f>data!RF33</f>
        <v>0.45827741898291885</v>
      </c>
      <c r="G101" s="6">
        <f>data!RG33</f>
        <v>0</v>
      </c>
      <c r="H101" s="6">
        <f>data!RH33</f>
        <v>0</v>
      </c>
      <c r="I101" s="8">
        <f>data!RI33</f>
        <v>4.4499293074944782E-2</v>
      </c>
      <c r="K101" s="109">
        <f>data!$NA$33</f>
        <v>0</v>
      </c>
      <c r="L101" s="110">
        <f>data!$NB$33</f>
        <v>3</v>
      </c>
      <c r="M101" s="573">
        <f>data!QO33</f>
        <v>61344368000</v>
      </c>
      <c r="N101" s="573">
        <f>data!QP33</f>
        <v>0</v>
      </c>
      <c r="O101" s="573">
        <f>data!QQ33</f>
        <v>0</v>
      </c>
      <c r="P101" s="26">
        <f>data!QR33</f>
        <v>2.7896201844101616</v>
      </c>
      <c r="R101" s="109">
        <f>data!$NA$33</f>
        <v>0</v>
      </c>
      <c r="S101" s="110">
        <f>data!$NB$33</f>
        <v>3</v>
      </c>
      <c r="T101" s="6">
        <f>data!QS33</f>
        <v>0</v>
      </c>
      <c r="U101" s="6">
        <f>data!QT33</f>
        <v>0.75043606525846329</v>
      </c>
      <c r="V101" s="38">
        <f>data!QU33</f>
        <v>0.24956393474153674</v>
      </c>
      <c r="W101" s="96">
        <f>data!QV33</f>
        <v>27797236600</v>
      </c>
      <c r="X101" s="97">
        <f>data!QW33</f>
        <v>516005000</v>
      </c>
      <c r="Y101" s="97">
        <f>data!QX33</f>
        <v>157662009</v>
      </c>
      <c r="Z101" s="97">
        <f>data!QY33</f>
        <v>1017640000</v>
      </c>
      <c r="AA101" s="97">
        <f>data!QZ33</f>
        <v>0</v>
      </c>
      <c r="AB101" s="459">
        <f>data!RA33</f>
        <v>0.99999932799075431</v>
      </c>
      <c r="AC101" s="457">
        <f>data!RB33</f>
        <v>7.4537777202536876E-2</v>
      </c>
      <c r="AN101" s="432"/>
    </row>
    <row r="102" spans="1:40" ht="15.75" customHeight="1" x14ac:dyDescent="0.15">
      <c r="A102" s="109">
        <f>data!$NA$34</f>
        <v>0</v>
      </c>
      <c r="B102" s="110">
        <f>data!$NB$34</f>
        <v>4</v>
      </c>
      <c r="C102" s="7">
        <f>data!RC34</f>
        <v>0.49776398390702198</v>
      </c>
      <c r="D102" s="6">
        <f>data!RD34</f>
        <v>0</v>
      </c>
      <c r="E102" s="6">
        <f>data!RE34</f>
        <v>0</v>
      </c>
      <c r="F102" s="6">
        <f>data!RF34</f>
        <v>0.45794927480966308</v>
      </c>
      <c r="G102" s="6">
        <f>data!RG34</f>
        <v>0</v>
      </c>
      <c r="H102" s="6">
        <f>data!RH34</f>
        <v>0</v>
      </c>
      <c r="I102" s="8">
        <f>data!RI34</f>
        <v>4.4286741283314966E-2</v>
      </c>
      <c r="K102" s="109">
        <f>data!$NA$34</f>
        <v>0</v>
      </c>
      <c r="L102" s="110">
        <f>data!$NB$34</f>
        <v>4</v>
      </c>
      <c r="M102" s="573">
        <f>data!QO34</f>
        <v>61344368000</v>
      </c>
      <c r="N102" s="573">
        <f>data!QP34</f>
        <v>0</v>
      </c>
      <c r="O102" s="573">
        <f>data!QQ34</f>
        <v>0</v>
      </c>
      <c r="P102" s="26">
        <f>data!QR34</f>
        <v>2.7956028293212594</v>
      </c>
      <c r="R102" s="109">
        <f>data!$NA$34</f>
        <v>0</v>
      </c>
      <c r="S102" s="110">
        <f>data!$NB$34</f>
        <v>4</v>
      </c>
      <c r="T102" s="6">
        <f>data!QS34</f>
        <v>0</v>
      </c>
      <c r="U102" s="6">
        <f>data!QT34</f>
        <v>0.75043605976758665</v>
      </c>
      <c r="V102" s="38">
        <f>data!QU34</f>
        <v>0.24956394023241335</v>
      </c>
      <c r="W102" s="96">
        <f>data!QV34</f>
        <v>27797234066</v>
      </c>
      <c r="X102" s="97">
        <f>data!QW34</f>
        <v>516005000</v>
      </c>
      <c r="Y102" s="97">
        <f>data!QX34</f>
        <v>157662001</v>
      </c>
      <c r="Z102" s="97">
        <f>data!QY34</f>
        <v>1017640000</v>
      </c>
      <c r="AA102" s="97">
        <f>data!QZ34</f>
        <v>0</v>
      </c>
      <c r="AB102" s="459">
        <f>data!RA34</f>
        <v>0.99999932752302056</v>
      </c>
      <c r="AC102" s="457">
        <f>data!RB34</f>
        <v>7.4526749494521177E-2</v>
      </c>
      <c r="AN102" s="432"/>
    </row>
    <row r="103" spans="1:40" ht="15.75" customHeight="1" x14ac:dyDescent="0.15">
      <c r="A103" s="109">
        <f>data!$NA$35</f>
        <v>0</v>
      </c>
      <c r="B103" s="110">
        <f>data!$NB$35</f>
        <v>5</v>
      </c>
      <c r="C103" s="7">
        <f>data!RC35</f>
        <v>0.49754402691420857</v>
      </c>
      <c r="D103" s="6">
        <f>data!RD35</f>
        <v>0</v>
      </c>
      <c r="E103" s="6">
        <f>data!RE35</f>
        <v>0</v>
      </c>
      <c r="F103" s="6">
        <f>data!RF35</f>
        <v>0.45837129747261934</v>
      </c>
      <c r="G103" s="6">
        <f>data!RG35</f>
        <v>0</v>
      </c>
      <c r="H103" s="6">
        <f>data!RH35</f>
        <v>0</v>
      </c>
      <c r="I103" s="8">
        <f>data!RI35</f>
        <v>4.4084675613172065E-2</v>
      </c>
      <c r="K103" s="109">
        <f>data!$NA$35</f>
        <v>0</v>
      </c>
      <c r="L103" s="110">
        <f>data!$NB$35</f>
        <v>5</v>
      </c>
      <c r="M103" s="573">
        <f>data!QO35</f>
        <v>61344368000</v>
      </c>
      <c r="N103" s="573">
        <f>data!QP35</f>
        <v>0</v>
      </c>
      <c r="O103" s="573">
        <f>data!QQ35</f>
        <v>0</v>
      </c>
      <c r="P103" s="26">
        <f>data!QR35</f>
        <v>2.7907878689806536</v>
      </c>
      <c r="R103" s="109">
        <f>data!$NA$35</f>
        <v>0</v>
      </c>
      <c r="S103" s="110">
        <f>data!$NB$35</f>
        <v>5</v>
      </c>
      <c r="T103" s="6">
        <f>data!QS35</f>
        <v>0</v>
      </c>
      <c r="U103" s="6">
        <f>data!QT35</f>
        <v>0.75043606380007333</v>
      </c>
      <c r="V103" s="38">
        <f>data!QU35</f>
        <v>0.24956393619992673</v>
      </c>
      <c r="W103" s="96">
        <f>data!QV35</f>
        <v>27797236858</v>
      </c>
      <c r="X103" s="97">
        <f>data!QW35</f>
        <v>516005000</v>
      </c>
      <c r="Y103" s="97">
        <f>data!QX35</f>
        <v>157662009</v>
      </c>
      <c r="Z103" s="97">
        <f>data!QY35</f>
        <v>1017640000</v>
      </c>
      <c r="AA103" s="97">
        <f>data!QZ35</f>
        <v>0</v>
      </c>
      <c r="AB103" s="459">
        <f>data!RA35</f>
        <v>0.99999932741516373</v>
      </c>
      <c r="AC103" s="457">
        <f>data!RB35</f>
        <v>7.4529831946062386E-2</v>
      </c>
      <c r="AN103" s="432"/>
    </row>
    <row r="104" spans="1:40" ht="15.75" customHeight="1" x14ac:dyDescent="0.15">
      <c r="A104" s="109">
        <f>data!$NA$36</f>
        <v>0</v>
      </c>
      <c r="B104" s="110">
        <f>data!$NB$36</f>
        <v>6</v>
      </c>
      <c r="C104" s="7">
        <f>data!RC36</f>
        <v>0.49790734724640073</v>
      </c>
      <c r="D104" s="6">
        <f>data!RD36</f>
        <v>0</v>
      </c>
      <c r="E104" s="6">
        <f>data!RE36</f>
        <v>0</v>
      </c>
      <c r="F104" s="6">
        <f>data!RF36</f>
        <v>0.45810640941048558</v>
      </c>
      <c r="G104" s="6">
        <f>data!RG36</f>
        <v>0</v>
      </c>
      <c r="H104" s="6">
        <f>data!RH36</f>
        <v>0</v>
      </c>
      <c r="I104" s="8">
        <f>data!RI36</f>
        <v>4.3986243343113698E-2</v>
      </c>
      <c r="K104" s="109">
        <f>data!$NA$36</f>
        <v>0</v>
      </c>
      <c r="L104" s="110">
        <f>data!$NB$36</f>
        <v>6</v>
      </c>
      <c r="M104" s="573">
        <f>data!QO36</f>
        <v>61344368000</v>
      </c>
      <c r="N104" s="573">
        <f>data!QP36</f>
        <v>0</v>
      </c>
      <c r="O104" s="573">
        <f>data!QQ36</f>
        <v>0</v>
      </c>
      <c r="P104" s="26">
        <f>data!QR36</f>
        <v>2.7998768647421874</v>
      </c>
      <c r="R104" s="109">
        <f>data!$NA$36</f>
        <v>0</v>
      </c>
      <c r="S104" s="110">
        <f>data!$NB$36</f>
        <v>6</v>
      </c>
      <c r="T104" s="6">
        <f>data!QS36</f>
        <v>0</v>
      </c>
      <c r="U104" s="6">
        <f>data!QT36</f>
        <v>0.75043606373964977</v>
      </c>
      <c r="V104" s="38">
        <f>data!QU36</f>
        <v>0.24956393626035023</v>
      </c>
      <c r="W104" s="96">
        <f>data!QV36</f>
        <v>27797235718</v>
      </c>
      <c r="X104" s="97">
        <f>data!QW36</f>
        <v>516005000</v>
      </c>
      <c r="Y104" s="97">
        <f>data!QX36</f>
        <v>157662009</v>
      </c>
      <c r="Z104" s="97">
        <f>data!QY36</f>
        <v>1017640000</v>
      </c>
      <c r="AA104" s="97">
        <f>data!QZ36</f>
        <v>0</v>
      </c>
      <c r="AB104" s="459">
        <f>data!RA36</f>
        <v>0.99999932723526219</v>
      </c>
      <c r="AC104" s="457">
        <f>data!RB36</f>
        <v>7.4517896127180003E-2</v>
      </c>
      <c r="AN104" s="432"/>
    </row>
    <row r="105" spans="1:40" ht="15.75" customHeight="1" x14ac:dyDescent="0.15">
      <c r="A105" s="109">
        <f>data!$NA$37</f>
        <v>0</v>
      </c>
      <c r="B105" s="110">
        <f>data!$NB$37</f>
        <v>7</v>
      </c>
      <c r="C105" s="7">
        <f>data!RC37</f>
        <v>0.49782725728126809</v>
      </c>
      <c r="D105" s="6">
        <f>data!RD37</f>
        <v>0</v>
      </c>
      <c r="E105" s="6">
        <f>data!RE37</f>
        <v>0</v>
      </c>
      <c r="F105" s="6">
        <f>data!RF37</f>
        <v>0.45765101473298131</v>
      </c>
      <c r="G105" s="6">
        <f>data!RG37</f>
        <v>0</v>
      </c>
      <c r="H105" s="6">
        <f>data!RH37</f>
        <v>0</v>
      </c>
      <c r="I105" s="8">
        <f>data!RI37</f>
        <v>4.4521727985750575E-2</v>
      </c>
      <c r="K105" s="109">
        <f>data!$NA$37</f>
        <v>0</v>
      </c>
      <c r="L105" s="110">
        <f>data!$NB$37</f>
        <v>7</v>
      </c>
      <c r="M105" s="573">
        <f>data!QO37</f>
        <v>61344368000</v>
      </c>
      <c r="N105" s="573">
        <f>data!QP37</f>
        <v>0</v>
      </c>
      <c r="O105" s="573">
        <f>data!QQ37</f>
        <v>0</v>
      </c>
      <c r="P105" s="26">
        <f>data!QR37</f>
        <v>2.7936498083636572</v>
      </c>
      <c r="R105" s="109">
        <f>data!$NA$37</f>
        <v>0</v>
      </c>
      <c r="S105" s="110">
        <f>data!$NB$37</f>
        <v>7</v>
      </c>
      <c r="T105" s="6">
        <f>data!QS37</f>
        <v>0</v>
      </c>
      <c r="U105" s="6">
        <f>data!QT37</f>
        <v>0.75043606150362652</v>
      </c>
      <c r="V105" s="38">
        <f>data!QU37</f>
        <v>0.24956393849637343</v>
      </c>
      <c r="W105" s="96">
        <f>data!QV37</f>
        <v>27797236906</v>
      </c>
      <c r="X105" s="97">
        <f>data!QW37</f>
        <v>516005000</v>
      </c>
      <c r="Y105" s="97">
        <f>data!QX37</f>
        <v>157662001</v>
      </c>
      <c r="Z105" s="97">
        <f>data!QY37</f>
        <v>1017640000</v>
      </c>
      <c r="AA105" s="97">
        <f>data!QZ37</f>
        <v>0</v>
      </c>
      <c r="AB105" s="459">
        <f>data!RA37</f>
        <v>0.99999932741516495</v>
      </c>
      <c r="AC105" s="457">
        <f>data!RB37</f>
        <v>7.4502771161553308E-2</v>
      </c>
      <c r="AN105" s="432"/>
    </row>
    <row r="106" spans="1:40" ht="15.75" customHeight="1" x14ac:dyDescent="0.15">
      <c r="A106" s="109">
        <f>data!$NA$38</f>
        <v>0</v>
      </c>
      <c r="B106" s="110">
        <f>data!$NB$38</f>
        <v>8</v>
      </c>
      <c r="C106" s="7">
        <f>data!RC38</f>
        <v>0.49797115607934284</v>
      </c>
      <c r="D106" s="6">
        <f>data!RD38</f>
        <v>0</v>
      </c>
      <c r="E106" s="6">
        <f>data!RE38</f>
        <v>0</v>
      </c>
      <c r="F106" s="6">
        <f>data!RF38</f>
        <v>0.45786169636254753</v>
      </c>
      <c r="G106" s="6">
        <f>data!RG38</f>
        <v>0</v>
      </c>
      <c r="H106" s="6">
        <f>data!RH38</f>
        <v>0</v>
      </c>
      <c r="I106" s="8">
        <f>data!RI38</f>
        <v>4.4167147558109632E-2</v>
      </c>
      <c r="K106" s="109">
        <f>data!$NA$38</f>
        <v>0</v>
      </c>
      <c r="L106" s="110">
        <f>data!$NB$38</f>
        <v>8</v>
      </c>
      <c r="M106" s="573">
        <f>data!QO38</f>
        <v>61344368000</v>
      </c>
      <c r="N106" s="573">
        <f>data!QP38</f>
        <v>0</v>
      </c>
      <c r="O106" s="573">
        <f>data!QQ38</f>
        <v>0</v>
      </c>
      <c r="P106" s="26">
        <f>data!QR38</f>
        <v>2.793745639582824</v>
      </c>
      <c r="R106" s="109">
        <f>data!$NA$38</f>
        <v>0</v>
      </c>
      <c r="S106" s="110">
        <f>data!$NB$38</f>
        <v>8</v>
      </c>
      <c r="T106" s="6">
        <f>data!QS38</f>
        <v>0</v>
      </c>
      <c r="U106" s="6">
        <f>data!QT38</f>
        <v>0.75043606313959932</v>
      </c>
      <c r="V106" s="38">
        <f>data!QU38</f>
        <v>0.24956393686040065</v>
      </c>
      <c r="W106" s="96">
        <f>data!QV38</f>
        <v>27797233489</v>
      </c>
      <c r="X106" s="97">
        <f>data!QW38</f>
        <v>516005000</v>
      </c>
      <c r="Y106" s="97">
        <f>data!QX38</f>
        <v>157662001</v>
      </c>
      <c r="Z106" s="97">
        <f>data!QY38</f>
        <v>1017640000</v>
      </c>
      <c r="AA106" s="97">
        <f>data!QZ38</f>
        <v>0</v>
      </c>
      <c r="AB106" s="459">
        <f>data!RA38</f>
        <v>0.99999932809860348</v>
      </c>
      <c r="AC106" s="457">
        <f>data!RB38</f>
        <v>7.4503102734727517E-2</v>
      </c>
      <c r="AN106" s="432"/>
    </row>
    <row r="107" spans="1:40" ht="15.75" customHeight="1" x14ac:dyDescent="0.15">
      <c r="A107" s="109">
        <f>data!$NA$39</f>
        <v>0</v>
      </c>
      <c r="B107" s="110">
        <f>data!$NB$39</f>
        <v>9</v>
      </c>
      <c r="C107" s="7">
        <f>data!RC39</f>
        <v>0.49790341039970504</v>
      </c>
      <c r="D107" s="6">
        <f>data!RD39</f>
        <v>0</v>
      </c>
      <c r="E107" s="6">
        <f>data!RE39</f>
        <v>0</v>
      </c>
      <c r="F107" s="6">
        <f>data!RF39</f>
        <v>0.45760078177726715</v>
      </c>
      <c r="G107" s="6">
        <f>data!RG39</f>
        <v>0</v>
      </c>
      <c r="H107" s="6">
        <f>data!RH39</f>
        <v>0</v>
      </c>
      <c r="I107" s="8">
        <f>data!RI39</f>
        <v>4.4495807823027818E-2</v>
      </c>
      <c r="K107" s="109">
        <f>data!$NA$39</f>
        <v>0</v>
      </c>
      <c r="L107" s="110">
        <f>data!$NB$39</f>
        <v>9</v>
      </c>
      <c r="M107" s="573">
        <f>data!QO39</f>
        <v>61344368000</v>
      </c>
      <c r="N107" s="573">
        <f>data!QP39</f>
        <v>0</v>
      </c>
      <c r="O107" s="573">
        <f>data!QQ39</f>
        <v>0</v>
      </c>
      <c r="P107" s="26">
        <f>data!QR39</f>
        <v>2.7976622292614621</v>
      </c>
      <c r="R107" s="109">
        <f>data!$NA$39</f>
        <v>0</v>
      </c>
      <c r="S107" s="110">
        <f>data!$NB$39</f>
        <v>9</v>
      </c>
      <c r="T107" s="6">
        <f>data!QS39</f>
        <v>0</v>
      </c>
      <c r="U107" s="6">
        <f>data!QT39</f>
        <v>0.75043606129469764</v>
      </c>
      <c r="V107" s="38">
        <f>data!QU39</f>
        <v>0.24956393870530238</v>
      </c>
      <c r="W107" s="96">
        <f>data!QV39</f>
        <v>27797236607</v>
      </c>
      <c r="X107" s="97">
        <f>data!QW39</f>
        <v>516005000</v>
      </c>
      <c r="Y107" s="97">
        <f>data!QX39</f>
        <v>157662009</v>
      </c>
      <c r="Z107" s="97">
        <f>data!QY39</f>
        <v>1017640000</v>
      </c>
      <c r="AA107" s="97">
        <f>data!QZ39</f>
        <v>0</v>
      </c>
      <c r="AB107" s="459">
        <f>data!RA39</f>
        <v>0.99999932683956094</v>
      </c>
      <c r="AC107" s="457">
        <f>data!RB39</f>
        <v>7.4502406603027566E-2</v>
      </c>
    </row>
    <row r="108" spans="1:40" ht="15.75" customHeight="1" x14ac:dyDescent="0.15">
      <c r="A108" s="109">
        <f>data!$NA$40</f>
        <v>0</v>
      </c>
      <c r="B108" s="110">
        <f>data!$NB$40</f>
        <v>10</v>
      </c>
      <c r="C108" s="7">
        <f>data!RC40</f>
        <v>0.49726765152334068</v>
      </c>
      <c r="D108" s="6">
        <f>data!RD40</f>
        <v>0</v>
      </c>
      <c r="E108" s="6">
        <f>data!RE40</f>
        <v>0</v>
      </c>
      <c r="F108" s="6">
        <f>data!RF40</f>
        <v>0.45769447599335961</v>
      </c>
      <c r="G108" s="6">
        <f>data!RG40</f>
        <v>0</v>
      </c>
      <c r="H108" s="6">
        <f>data!RH40</f>
        <v>0</v>
      </c>
      <c r="I108" s="8">
        <f>data!RI40</f>
        <v>4.5037872483299712E-2</v>
      </c>
      <c r="K108" s="109">
        <f>data!$NA$40</f>
        <v>0</v>
      </c>
      <c r="L108" s="110">
        <f>data!$NB$40</f>
        <v>10</v>
      </c>
      <c r="M108" s="573">
        <f>data!QO40</f>
        <v>61344368000</v>
      </c>
      <c r="N108" s="573">
        <f>data!QP40</f>
        <v>0</v>
      </c>
      <c r="O108" s="573">
        <f>data!QQ40</f>
        <v>0</v>
      </c>
      <c r="P108" s="26">
        <f>data!QR40</f>
        <v>2.7916028631191394</v>
      </c>
      <c r="R108" s="109">
        <f>data!$NA$40</f>
        <v>0</v>
      </c>
      <c r="S108" s="110">
        <f>data!$NB$40</f>
        <v>10</v>
      </c>
      <c r="T108" s="6">
        <f>data!QS40</f>
        <v>0</v>
      </c>
      <c r="U108" s="6">
        <f>data!QT40</f>
        <v>0.75043606043912392</v>
      </c>
      <c r="V108" s="38">
        <f>data!QU40</f>
        <v>0.24956393956087611</v>
      </c>
      <c r="W108" s="96">
        <f>data!QV40</f>
        <v>27797236490</v>
      </c>
      <c r="X108" s="97">
        <f>data!QW40</f>
        <v>516005000</v>
      </c>
      <c r="Y108" s="97">
        <f>data!QX40</f>
        <v>157662009</v>
      </c>
      <c r="Z108" s="97">
        <f>data!QY40</f>
        <v>1017640000</v>
      </c>
      <c r="AA108" s="97">
        <f>data!QZ40</f>
        <v>0</v>
      </c>
      <c r="AB108" s="459">
        <f>data!RA40</f>
        <v>0.99999932856634843</v>
      </c>
      <c r="AC108" s="457">
        <f>data!RB40</f>
        <v>7.4513035111418657E-2</v>
      </c>
    </row>
    <row r="109" spans="1:40" ht="15.75" customHeight="1" thickBot="1" x14ac:dyDescent="0.2">
      <c r="A109" s="114">
        <f>data!$NA$41</f>
        <v>0</v>
      </c>
      <c r="B109" s="463">
        <f>data!$NB$41</f>
        <v>11</v>
      </c>
      <c r="C109" s="35">
        <f>data!RC41</f>
        <v>0.49880364262069471</v>
      </c>
      <c r="D109" s="12">
        <f>data!RD41</f>
        <v>0</v>
      </c>
      <c r="E109" s="12">
        <f>data!RE41</f>
        <v>0</v>
      </c>
      <c r="F109" s="12">
        <f>data!RF41</f>
        <v>0.45622062232773847</v>
      </c>
      <c r="G109" s="12">
        <f>data!RG41</f>
        <v>0</v>
      </c>
      <c r="H109" s="12">
        <f>data!RH41</f>
        <v>0</v>
      </c>
      <c r="I109" s="27">
        <f>data!RI41</f>
        <v>4.497573505156683E-2</v>
      </c>
      <c r="K109" s="114">
        <f>data!$NA$41</f>
        <v>0</v>
      </c>
      <c r="L109" s="463">
        <f>data!$NB$41</f>
        <v>11</v>
      </c>
      <c r="M109" s="574">
        <f>data!QO41</f>
        <v>61344368000</v>
      </c>
      <c r="N109" s="574">
        <f>data!QP41</f>
        <v>0</v>
      </c>
      <c r="O109" s="574">
        <f>data!QQ41</f>
        <v>0</v>
      </c>
      <c r="P109" s="34">
        <f>data!QR41</f>
        <v>2.7916378869031875</v>
      </c>
      <c r="R109" s="114">
        <f>data!$NA$41</f>
        <v>0</v>
      </c>
      <c r="S109" s="463">
        <f>data!$NB$41</f>
        <v>11</v>
      </c>
      <c r="T109" s="12">
        <f>data!QS41</f>
        <v>0</v>
      </c>
      <c r="U109" s="12">
        <f>data!QT41</f>
        <v>0.75043606565557741</v>
      </c>
      <c r="V109" s="79">
        <f>data!QU41</f>
        <v>0.24956393434442259</v>
      </c>
      <c r="W109" s="99">
        <f>data!QV41</f>
        <v>27797233967</v>
      </c>
      <c r="X109" s="100">
        <f>data!QW41</f>
        <v>516005000</v>
      </c>
      <c r="Y109" s="100">
        <f>data!QX41</f>
        <v>157662001</v>
      </c>
      <c r="Z109" s="100">
        <f>data!QY41</f>
        <v>1017640000</v>
      </c>
      <c r="AA109" s="100">
        <f>data!QZ41</f>
        <v>0</v>
      </c>
      <c r="AB109" s="477">
        <f>data!RA41</f>
        <v>0.99999932651572376</v>
      </c>
      <c r="AC109" s="478">
        <f>data!RB41</f>
        <v>7.4488495682942288E-2</v>
      </c>
    </row>
    <row r="110" spans="1:40" ht="15.75" customHeight="1" thickTop="1" thickBot="1" x14ac:dyDescent="0.2">
      <c r="A110" s="631" t="str">
        <f>data!$NB$42</f>
        <v>CMG 0 total</v>
      </c>
      <c r="B110" s="632"/>
      <c r="C110" s="488">
        <f>data!RC42</f>
        <v>0.49772378246773835</v>
      </c>
      <c r="D110" s="489">
        <f>data!RD42</f>
        <v>0</v>
      </c>
      <c r="E110" s="489">
        <f>data!RE42</f>
        <v>0</v>
      </c>
      <c r="F110" s="489">
        <f>data!RF42</f>
        <v>0.45784018321716441</v>
      </c>
      <c r="G110" s="489">
        <f>data!RG42</f>
        <v>0</v>
      </c>
      <c r="H110" s="489">
        <f>data!RH42</f>
        <v>0</v>
      </c>
      <c r="I110" s="490">
        <f>data!RI42</f>
        <v>4.4436034315097288E-2</v>
      </c>
      <c r="K110" s="631" t="str">
        <f>data!$NB$42</f>
        <v>CMG 0 total</v>
      </c>
      <c r="L110" s="632"/>
      <c r="M110" s="575">
        <f>data!QO42</f>
        <v>736132416000</v>
      </c>
      <c r="N110" s="575">
        <f>data!QP42</f>
        <v>0</v>
      </c>
      <c r="O110" s="575">
        <f>data!QQ42</f>
        <v>0</v>
      </c>
      <c r="P110" s="487">
        <f>data!QR42</f>
        <v>33.520913430411383</v>
      </c>
      <c r="R110" s="666" t="str">
        <f>data!$NB$42</f>
        <v>CMG 0 total</v>
      </c>
      <c r="S110" s="667"/>
      <c r="T110" s="482">
        <f>data!QS42</f>
        <v>0</v>
      </c>
      <c r="U110" s="482">
        <f>data!QT42</f>
        <v>0.75043606327196777</v>
      </c>
      <c r="V110" s="483">
        <f>data!QU42</f>
        <v>0.24956393672803232</v>
      </c>
      <c r="W110" s="484">
        <f>data!QV42</f>
        <v>333566839837</v>
      </c>
      <c r="X110" s="485">
        <f>data!QW42</f>
        <v>6192060000</v>
      </c>
      <c r="Y110" s="485">
        <f>data!QX42</f>
        <v>1891944060</v>
      </c>
      <c r="Z110" s="485">
        <f>data!QY42</f>
        <v>12211680000</v>
      </c>
      <c r="AA110" s="485">
        <f>data!QZ42</f>
        <v>0</v>
      </c>
      <c r="AB110" s="486">
        <f>data!RA42</f>
        <v>0.99999932400354996</v>
      </c>
      <c r="AC110" s="483">
        <f>data!RB42</f>
        <v>7.4515275283580998E-2</v>
      </c>
    </row>
    <row r="111" spans="1:40" ht="15.75" customHeight="1" thickBot="1" x14ac:dyDescent="0.3">
      <c r="R111" s="668"/>
      <c r="S111" s="669"/>
      <c r="T111" s="803">
        <f>data!QS43</f>
        <v>0.75043606327196777</v>
      </c>
      <c r="U111" s="804"/>
      <c r="V111" s="805"/>
      <c r="W111" s="460">
        <f>data!QV43</f>
        <v>333566839837</v>
      </c>
      <c r="X111" s="763">
        <f>data!QW43</f>
        <v>8084004060</v>
      </c>
      <c r="Y111" s="763"/>
      <c r="Z111" s="461">
        <f>data!QY43</f>
        <v>12211680000</v>
      </c>
      <c r="AA111" s="461">
        <f>data!QZ43</f>
        <v>0</v>
      </c>
      <c r="AB111" s="462">
        <f>data!RA43</f>
        <v>0.99999932400354996</v>
      </c>
      <c r="AC111" s="458">
        <f>data!RB43</f>
        <v>7.4515275283580998E-2</v>
      </c>
      <c r="AL111" s="102"/>
    </row>
    <row r="112" spans="1:40" ht="15.75" customHeight="1" x14ac:dyDescent="0.25">
      <c r="A112" s="679" t="str">
        <f>data!RJ25</f>
        <v>Data Transfer CMGs</v>
      </c>
      <c r="B112" s="680"/>
      <c r="C112" s="676" t="str">
        <f>data!RK26</f>
        <v>Destination (GB/s)</v>
      </c>
      <c r="D112" s="677"/>
      <c r="E112" s="677"/>
      <c r="F112" s="678"/>
      <c r="AH112" s="103"/>
      <c r="AI112" s="103"/>
      <c r="AJ112" s="104"/>
    </row>
    <row r="113" spans="1:16" ht="15.75" customHeight="1" x14ac:dyDescent="0.25">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x14ac:dyDescent="0.3">
      <c r="A114" s="683"/>
      <c r="B114" s="684"/>
      <c r="C114" s="686"/>
      <c r="D114" s="688"/>
      <c r="E114" s="690"/>
      <c r="F114" s="800"/>
      <c r="J114" s="565"/>
      <c r="K114" s="565"/>
      <c r="L114" s="565"/>
      <c r="M114" s="565"/>
      <c r="N114" s="565"/>
      <c r="O114" s="565"/>
      <c r="P114" s="565"/>
    </row>
    <row r="115" spans="1:16" ht="15.75" customHeight="1" x14ac:dyDescent="0.25">
      <c r="A115" s="654" t="str">
        <f>data!$NB$42</f>
        <v>CMG 0 total</v>
      </c>
      <c r="B115" s="589" t="s">
        <v>854</v>
      </c>
      <c r="C115" s="583">
        <f>data!RK30</f>
        <v>67.455841047676287</v>
      </c>
      <c r="D115" s="584">
        <f>data!RL30</f>
        <v>0</v>
      </c>
      <c r="E115" s="584">
        <f>data!RP30</f>
        <v>7.517218911000002E-6</v>
      </c>
      <c r="F115" s="585">
        <f>data!RQ30</f>
        <v>0</v>
      </c>
      <c r="J115" s="565"/>
      <c r="K115" s="565"/>
      <c r="L115" s="565"/>
      <c r="M115" s="565"/>
      <c r="N115" s="565"/>
      <c r="O115" s="565"/>
      <c r="P115" s="565"/>
    </row>
    <row r="116" spans="1:16" ht="15.75" customHeight="1" thickBot="1" x14ac:dyDescent="0.3">
      <c r="A116" s="655"/>
      <c r="B116" s="590" t="s">
        <v>72</v>
      </c>
      <c r="C116" s="586">
        <f>data!RK31</f>
        <v>30.495177431523786</v>
      </c>
      <c r="D116" s="587">
        <f>data!RL31</f>
        <v>3.0765647637963373E-3</v>
      </c>
      <c r="E116" s="587">
        <f>data!RP31</f>
        <v>8.2713735590291295E-7</v>
      </c>
      <c r="F116" s="588">
        <f>data!RQ31</f>
        <v>0</v>
      </c>
    </row>
    <row r="117" spans="1:16" ht="15.75" customHeight="1" x14ac:dyDescent="0.15"/>
    <row r="118" spans="1:16" ht="15.75" customHeight="1" x14ac:dyDescent="0.15"/>
    <row r="119" spans="1:16" ht="15.75" customHeight="1" x14ac:dyDescent="0.15"/>
    <row r="120" spans="1:16" ht="15.75" customHeight="1" x14ac:dyDescent="0.15"/>
    <row r="121" spans="1:16" ht="15.75" customHeight="1" x14ac:dyDescent="0.15"/>
    <row r="122" spans="1:16" ht="15.75" customHeight="1" x14ac:dyDescent="0.15"/>
    <row r="123" spans="1:16" ht="15.75" customHeight="1" x14ac:dyDescent="0.15"/>
    <row r="124" spans="1:16" ht="15.75" customHeight="1" x14ac:dyDescent="0.15"/>
    <row r="125" spans="1:16" ht="15.75" customHeight="1" x14ac:dyDescent="0.15"/>
    <row r="126" spans="1:16" ht="15.75" customHeight="1" x14ac:dyDescent="0.15"/>
    <row r="127" spans="1:16" ht="15.75" customHeight="1" x14ac:dyDescent="0.15"/>
    <row r="128" spans="1:16"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defaultColWidth="8.75" defaultRowHeight="15.75" x14ac:dyDescent="0.15"/>
  <cols>
    <col min="1" max="1" width="2.875" style="252" customWidth="1"/>
    <col min="2" max="2" width="32.75" style="252" customWidth="1"/>
    <col min="3" max="3" width="14.625" style="252" bestFit="1" customWidth="1"/>
    <col min="4" max="4" width="40.375" style="252" bestFit="1" customWidth="1"/>
    <col min="5" max="5" width="2.875" style="252" customWidth="1"/>
    <col min="6" max="6" width="23.375" style="252" bestFit="1" customWidth="1"/>
    <col min="7" max="7" width="18" style="252" bestFit="1" customWidth="1"/>
    <col min="8" max="8" width="3" style="252" customWidth="1"/>
    <col min="9" max="9" width="2.75" style="252" customWidth="1"/>
    <col min="10" max="10" width="11.75" style="252" customWidth="1"/>
    <col min="11" max="11" width="15.25" style="252" bestFit="1" customWidth="1"/>
    <col min="12" max="12" width="16" style="252" customWidth="1"/>
    <col min="13" max="13" width="2.625" style="252" customWidth="1"/>
    <col min="14" max="14" width="20.875" style="252" customWidth="1"/>
    <col min="15" max="15" width="8.75" style="252" customWidth="1"/>
    <col min="16" max="16" width="2.5" style="252" customWidth="1"/>
    <col min="17" max="17" width="13.625" style="252" bestFit="1" customWidth="1"/>
    <col min="18" max="18" width="14.625" style="252" bestFit="1" customWidth="1"/>
    <col min="19" max="19" width="10.625" style="252" bestFit="1" customWidth="1"/>
    <col min="20" max="20" width="2.875" style="252" customWidth="1"/>
    <col min="21" max="22" width="10.375" style="252" customWidth="1"/>
    <col min="23" max="23" width="3.25" style="252" customWidth="1"/>
    <col min="24" max="24" width="23.25" style="252" customWidth="1"/>
    <col min="25" max="25" width="10.25" style="252" bestFit="1" customWidth="1"/>
    <col min="26" max="26" width="23.75" style="252" customWidth="1"/>
    <col min="27" max="27" width="2.5" style="252" customWidth="1"/>
    <col min="28" max="28" width="13.5" style="252" customWidth="1"/>
    <col min="29" max="29" width="17.5" style="252" customWidth="1"/>
    <col min="30" max="30" width="8.25" style="252" bestFit="1" customWidth="1"/>
    <col min="31" max="31" width="8" style="252" bestFit="1" customWidth="1"/>
    <col min="32" max="32" width="10.125" style="252" bestFit="1" customWidth="1"/>
    <col min="33" max="33" width="11.625" style="252" bestFit="1" customWidth="1"/>
    <col min="34" max="34" width="17" style="252" bestFit="1" customWidth="1"/>
    <col min="35" max="35" width="17.25" style="252" bestFit="1" customWidth="1"/>
    <col min="36" max="36" width="9" style="252" bestFit="1" customWidth="1"/>
    <col min="37" max="37" width="14" style="252" bestFit="1" customWidth="1"/>
    <col min="38" max="38" width="17" style="252" bestFit="1" customWidth="1"/>
    <col min="39" max="39" width="23.25" style="252" bestFit="1" customWidth="1"/>
    <col min="40" max="40" width="22.875" style="252" bestFit="1" customWidth="1"/>
    <col min="41" max="41" width="21.875" style="252" bestFit="1" customWidth="1"/>
    <col min="42" max="42" width="18.125" style="252" bestFit="1" customWidth="1"/>
    <col min="43" max="43" width="17.75" style="252" bestFit="1" customWidth="1"/>
    <col min="44" max="44" width="28.125" style="252" customWidth="1"/>
    <col min="45" max="45" width="25.125" style="252" bestFit="1" customWidth="1"/>
    <col min="46" max="46" width="23" style="252" bestFit="1" customWidth="1"/>
    <col min="47" max="47" width="18.375" style="252" bestFit="1" customWidth="1"/>
    <col min="48" max="48" width="8.25" style="252" bestFit="1" customWidth="1"/>
    <col min="49" max="49" width="10.5" style="252" bestFit="1" customWidth="1"/>
    <col min="50" max="50" width="8.875" style="252" bestFit="1" customWidth="1"/>
    <col min="51" max="51" width="11.625" style="252" bestFit="1" customWidth="1"/>
    <col min="52" max="52" width="16.25" style="252" bestFit="1" customWidth="1"/>
    <col min="53" max="53" width="17.25" style="252" bestFit="1" customWidth="1"/>
    <col min="54" max="54" width="9" style="252" bestFit="1" customWidth="1"/>
    <col min="55" max="55" width="12" style="252" bestFit="1" customWidth="1"/>
    <col min="56" max="56" width="14.5" style="252" bestFit="1" customWidth="1"/>
    <col min="57" max="58" width="17" style="252" bestFit="1" customWidth="1"/>
    <col min="59" max="59" width="17.875" style="252" bestFit="1" customWidth="1"/>
    <col min="60" max="60" width="29.375" style="252" bestFit="1" customWidth="1"/>
    <col min="61" max="61" width="17.75" style="252" bestFit="1" customWidth="1"/>
    <col min="62" max="62" width="13.375" style="252" bestFit="1" customWidth="1"/>
    <col min="63" max="63" width="25.5" style="252" bestFit="1" customWidth="1"/>
    <col min="64" max="64" width="18.875" style="252" bestFit="1" customWidth="1"/>
    <col min="65" max="65" width="20.5" style="252" bestFit="1" customWidth="1"/>
    <col min="66" max="66" width="8.25" style="252" bestFit="1" customWidth="1"/>
    <col min="67" max="67" width="7.875" style="252" bestFit="1" customWidth="1"/>
    <col min="68" max="68" width="8.75" style="252" bestFit="1" customWidth="1"/>
    <col min="69" max="69" width="8.25" style="252" bestFit="1" customWidth="1"/>
    <col min="70" max="70" width="15" style="252" bestFit="1" customWidth="1"/>
    <col min="71" max="71" width="17.125" style="252" bestFit="1" customWidth="1"/>
    <col min="72" max="72" width="9" style="252" bestFit="1" customWidth="1"/>
    <col min="73" max="73" width="12" style="252" bestFit="1" customWidth="1"/>
    <col min="74" max="74" width="14.5" style="252" bestFit="1" customWidth="1"/>
    <col min="75" max="75" width="16" style="252" bestFit="1" customWidth="1"/>
    <col min="76" max="76" width="15.875" style="252" bestFit="1" customWidth="1"/>
    <col min="77" max="77" width="14.625" style="252" bestFit="1" customWidth="1"/>
    <col min="78" max="78" width="31.75" style="252" bestFit="1" customWidth="1"/>
    <col min="79" max="79" width="14.625" style="252" bestFit="1" customWidth="1"/>
    <col min="80" max="80" width="21" style="252" bestFit="1" customWidth="1"/>
    <col min="81" max="81" width="14.625" style="252" bestFit="1" customWidth="1"/>
    <col min="82" max="82" width="21" style="252" bestFit="1" customWidth="1"/>
    <col min="83" max="83" width="20.5" style="252" bestFit="1" customWidth="1"/>
    <col min="84" max="84" width="8.25" style="252" bestFit="1" customWidth="1"/>
    <col min="85" max="85" width="7.875" style="252" bestFit="1" customWidth="1"/>
    <col min="86" max="86" width="8.75" style="252" bestFit="1" customWidth="1"/>
    <col min="87" max="87" width="8.25" style="252" bestFit="1" customWidth="1"/>
    <col min="88" max="88" width="15" style="252" bestFit="1" customWidth="1"/>
    <col min="89" max="89" width="17.125" style="252" bestFit="1" customWidth="1"/>
    <col min="90" max="90" width="8.125" style="252" bestFit="1" customWidth="1"/>
    <col min="91" max="91" width="12.125" style="252" bestFit="1" customWidth="1"/>
    <col min="92" max="92" width="14.625" style="252" bestFit="1" customWidth="1"/>
    <col min="93" max="93" width="16.5" style="252" bestFit="1" customWidth="1"/>
    <col min="94" max="94" width="21.75" style="252" bestFit="1" customWidth="1"/>
    <col min="95" max="95" width="26.25" style="252" bestFit="1" customWidth="1"/>
    <col min="96" max="96" width="21.75" style="252" bestFit="1" customWidth="1"/>
    <col min="97" max="97" width="26.25" style="252" bestFit="1" customWidth="1"/>
    <col min="98" max="98" width="25" style="252" bestFit="1" customWidth="1"/>
    <col min="99" max="99" width="26.25" style="252" bestFit="1" customWidth="1"/>
    <col min="100" max="100" width="28.125" style="252" bestFit="1" customWidth="1"/>
    <col min="101" max="101" width="20.5" style="252" bestFit="1" customWidth="1"/>
    <col min="102" max="102" width="8.25" style="252" bestFit="1" customWidth="1"/>
    <col min="103" max="103" width="7.875" style="252" bestFit="1" customWidth="1"/>
    <col min="104" max="104" width="8.75" style="252" bestFit="1" customWidth="1"/>
    <col min="105" max="105" width="8.25" style="252" bestFit="1" customWidth="1"/>
    <col min="106" max="106" width="15" style="252" bestFit="1" customWidth="1"/>
    <col min="107" max="107" width="17.125" style="252" bestFit="1" customWidth="1"/>
    <col min="108" max="108" width="8.125" style="252" bestFit="1" customWidth="1"/>
    <col min="109" max="109" width="12.125" style="252" bestFit="1" customWidth="1"/>
    <col min="110" max="111" width="14.625" style="252" bestFit="1" customWidth="1"/>
    <col min="112" max="112" width="15.5" style="252" bestFit="1" customWidth="1"/>
    <col min="113" max="113" width="17.75" style="252" bestFit="1" customWidth="1"/>
    <col min="114" max="114" width="14.625" style="252" bestFit="1" customWidth="1"/>
    <col min="115" max="115" width="10.875" style="252" bestFit="1" customWidth="1"/>
    <col min="116" max="116" width="20.5" style="252" bestFit="1" customWidth="1"/>
    <col min="117" max="117" width="20.625" style="252" bestFit="1" customWidth="1"/>
    <col min="118" max="118" width="13.375" style="252" bestFit="1" customWidth="1"/>
    <col min="119" max="119" width="20.5" style="252" bestFit="1" customWidth="1"/>
    <col min="120" max="120" width="7.25" style="252" bestFit="1" customWidth="1"/>
    <col min="121" max="121" width="7.875" style="252" bestFit="1" customWidth="1"/>
    <col min="122" max="122" width="8.75" style="252" bestFit="1" customWidth="1"/>
    <col min="123" max="123" width="8.25" style="252" bestFit="1" customWidth="1"/>
    <col min="124" max="124" width="15" style="252" bestFit="1" customWidth="1"/>
    <col min="125" max="125" width="17.125" style="252" bestFit="1" customWidth="1"/>
    <col min="126" max="126" width="8.125" style="252" bestFit="1" customWidth="1"/>
    <col min="127" max="127" width="10.5" style="252" bestFit="1" customWidth="1"/>
    <col min="128" max="128" width="12.75" style="252" bestFit="1" customWidth="1"/>
    <col min="129" max="129" width="21.75" style="252" bestFit="1" customWidth="1"/>
    <col min="130" max="130" width="27.75" style="252" bestFit="1" customWidth="1"/>
    <col min="131" max="131" width="31.75" style="252" bestFit="1" customWidth="1"/>
    <col min="132" max="132" width="27.75" style="252" bestFit="1" customWidth="1"/>
    <col min="133" max="133" width="31.75" style="252" bestFit="1" customWidth="1"/>
    <col min="134" max="134" width="33.5" style="252" bestFit="1" customWidth="1"/>
    <col min="135" max="135" width="36.5" style="252" bestFit="1" customWidth="1"/>
    <col min="136" max="136" width="17.625" style="252" bestFit="1" customWidth="1"/>
    <col min="137" max="137" width="20.5" style="252" bestFit="1" customWidth="1"/>
    <col min="138" max="138" width="7.25" style="252" bestFit="1" customWidth="1"/>
    <col min="139" max="139" width="7.875" style="252" bestFit="1" customWidth="1"/>
    <col min="140" max="140" width="8.75" style="252" bestFit="1" customWidth="1"/>
    <col min="141" max="141" width="8.25" style="252" bestFit="1" customWidth="1"/>
    <col min="142" max="142" width="15" style="252" bestFit="1" customWidth="1"/>
    <col min="143" max="143" width="17.125" style="252" bestFit="1" customWidth="1"/>
    <col min="144" max="144" width="8.125" style="252" bestFit="1" customWidth="1"/>
    <col min="145" max="145" width="10.5" style="252" bestFit="1" customWidth="1"/>
    <col min="146" max="146" width="12.75" style="252" bestFit="1" customWidth="1"/>
    <col min="147" max="149" width="16.875" style="252" bestFit="1" customWidth="1"/>
    <col min="150" max="150" width="18" style="252" bestFit="1" customWidth="1"/>
    <col min="151" max="151" width="27.25" style="252" bestFit="1" customWidth="1"/>
    <col min="152" max="154" width="25" style="252" customWidth="1"/>
    <col min="155" max="155" width="20.5" style="252" bestFit="1" customWidth="1"/>
    <col min="156" max="156" width="7.25" style="252" bestFit="1" customWidth="1"/>
    <col min="157" max="157" width="7.875" style="252" bestFit="1" customWidth="1"/>
    <col min="158" max="158" width="8.75" style="252" bestFit="1" customWidth="1"/>
    <col min="159" max="159" width="8.25" style="252" bestFit="1" customWidth="1"/>
    <col min="160" max="160" width="15" style="252" bestFit="1" customWidth="1"/>
    <col min="161" max="161" width="17.125" style="252" bestFit="1" customWidth="1"/>
    <col min="162" max="162" width="8.125" style="252" bestFit="1" customWidth="1"/>
    <col min="163" max="163" width="10.5" style="252" bestFit="1" customWidth="1"/>
    <col min="164" max="164" width="12.75" style="252" bestFit="1" customWidth="1"/>
    <col min="165" max="165" width="10.5" style="252" bestFit="1" customWidth="1"/>
    <col min="166" max="167" width="11.625" style="252" bestFit="1" customWidth="1"/>
    <col min="168" max="168" width="13.75" style="252" bestFit="1" customWidth="1"/>
    <col min="169" max="170" width="12.75" style="252" bestFit="1" customWidth="1"/>
    <col min="171" max="171" width="13.375" style="252" bestFit="1" customWidth="1"/>
    <col min="172" max="172" width="12.125" style="252" bestFit="1" customWidth="1"/>
    <col min="173" max="173" width="20.5" style="252" bestFit="1" customWidth="1"/>
    <col min="174" max="174" width="7.25" style="252" bestFit="1" customWidth="1"/>
    <col min="175" max="175" width="7.875" style="252" bestFit="1" customWidth="1"/>
    <col min="176" max="176" width="8.75" style="252" bestFit="1" customWidth="1"/>
    <col min="177" max="177" width="8.25" style="252" bestFit="1" customWidth="1"/>
    <col min="178" max="178" width="15" style="252" bestFit="1" customWidth="1"/>
    <col min="179" max="179" width="17.125" style="252" bestFit="1" customWidth="1"/>
    <col min="180" max="180" width="8.125" style="252" bestFit="1" customWidth="1"/>
    <col min="181" max="181" width="10.5" style="252" bestFit="1" customWidth="1"/>
    <col min="182" max="182" width="12.75" style="252" bestFit="1" customWidth="1"/>
    <col min="183" max="183" width="26.875" style="252" bestFit="1" customWidth="1"/>
    <col min="184" max="184" width="30.5" style="252" bestFit="1" customWidth="1"/>
    <col min="185" max="185" width="26.875" style="252" bestFit="1" customWidth="1"/>
    <col min="186" max="186" width="30.5" style="252" bestFit="1" customWidth="1"/>
    <col min="187" max="188" width="18.5" style="252" bestFit="1" customWidth="1"/>
    <col min="189" max="189" width="21" style="252" bestFit="1" customWidth="1"/>
    <col min="190" max="190" width="28.125" style="252" bestFit="1" customWidth="1"/>
    <col min="191" max="191" width="20.5" style="252" bestFit="1" customWidth="1"/>
    <col min="192" max="192" width="7.25" style="252" bestFit="1" customWidth="1"/>
    <col min="193" max="193" width="7.875" style="252" bestFit="1" customWidth="1"/>
    <col min="194" max="194" width="8.75" style="252" bestFit="1" customWidth="1"/>
    <col min="195" max="195" width="8.25" style="252" bestFit="1" customWidth="1"/>
    <col min="196" max="196" width="15" style="252" bestFit="1" customWidth="1"/>
    <col min="197" max="197" width="17.125" style="252" bestFit="1" customWidth="1"/>
    <col min="198" max="198" width="8.125" style="252" bestFit="1" customWidth="1"/>
    <col min="199" max="199" width="10.5" style="252" bestFit="1" customWidth="1"/>
    <col min="200" max="200" width="12.75" style="252" bestFit="1" customWidth="1"/>
    <col min="201" max="202" width="22.125" style="252" bestFit="1" customWidth="1"/>
    <col min="203" max="203" width="17.75" style="252" bestFit="1" customWidth="1"/>
    <col min="204" max="204" width="26.25" style="252" bestFit="1" customWidth="1"/>
    <col min="205" max="205" width="26" style="252" bestFit="1" customWidth="1"/>
    <col min="206" max="206" width="14.625" style="252" bestFit="1" customWidth="1"/>
    <col min="207" max="207" width="21.625" style="252" bestFit="1" customWidth="1"/>
    <col min="208" max="208" width="10.5" style="252" bestFit="1" customWidth="1"/>
    <col min="209" max="209" width="20.5" style="252" bestFit="1" customWidth="1"/>
    <col min="210" max="210" width="7.25" style="252" bestFit="1" customWidth="1"/>
    <col min="211" max="211" width="7.875" style="252" bestFit="1" customWidth="1"/>
    <col min="212" max="212" width="8.75" style="252" bestFit="1" customWidth="1"/>
    <col min="213" max="213" width="8.25" style="252" bestFit="1" customWidth="1"/>
    <col min="214" max="214" width="15" style="252" bestFit="1" customWidth="1"/>
    <col min="215" max="215" width="17.125" style="252" bestFit="1" customWidth="1"/>
    <col min="216" max="216" width="8.125" style="252" bestFit="1" customWidth="1"/>
    <col min="217" max="217" width="10.5" style="252" bestFit="1" customWidth="1"/>
    <col min="218" max="218" width="12.75" style="252" bestFit="1" customWidth="1"/>
    <col min="219" max="219" width="28.25" style="252" bestFit="1" customWidth="1"/>
    <col min="220" max="220" width="28.375" style="252" bestFit="1" customWidth="1"/>
    <col min="221" max="221" width="15.25" style="252" bestFit="1" customWidth="1"/>
    <col min="222" max="222" width="14.25" style="252" bestFit="1" customWidth="1"/>
    <col min="223" max="223" width="13.875" style="252" bestFit="1" customWidth="1"/>
    <col min="224" max="224" width="11.5" style="252" bestFit="1" customWidth="1"/>
    <col min="225" max="225" width="13.75" style="252" bestFit="1" customWidth="1"/>
    <col min="226" max="226" width="14.25" style="252" bestFit="1" customWidth="1"/>
    <col min="227" max="227" width="20.5" style="252" bestFit="1" customWidth="1"/>
    <col min="228" max="228" width="7.25" style="252" bestFit="1" customWidth="1"/>
    <col min="229" max="229" width="7.875" style="252" bestFit="1" customWidth="1"/>
    <col min="230" max="230" width="8.75" style="252" bestFit="1" customWidth="1"/>
    <col min="231" max="231" width="8.25" style="252" bestFit="1" customWidth="1"/>
    <col min="232" max="232" width="15" style="252" bestFit="1" customWidth="1"/>
    <col min="233" max="233" width="17.125" style="252" bestFit="1" customWidth="1"/>
    <col min="234" max="234" width="8.125" style="252" bestFit="1" customWidth="1"/>
    <col min="235" max="235" width="10.5" style="252" bestFit="1" customWidth="1"/>
    <col min="236" max="237" width="12.75" style="252" bestFit="1" customWidth="1"/>
    <col min="238" max="238" width="21.875" style="252" bestFit="1" customWidth="1"/>
    <col min="239" max="239" width="29.75" style="252" bestFit="1" customWidth="1"/>
    <col min="240" max="240" width="12.7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25" style="252" bestFit="1" customWidth="1"/>
    <col min="247" max="247" width="7.875" style="252" bestFit="1" customWidth="1"/>
    <col min="248" max="248" width="8.75" style="252" bestFit="1" customWidth="1"/>
    <col min="249" max="249" width="8.25" style="252" bestFit="1" customWidth="1"/>
    <col min="250" max="250" width="15" style="252" bestFit="1" customWidth="1"/>
    <col min="251" max="251" width="17.125" style="252" bestFit="1" customWidth="1"/>
    <col min="252" max="252" width="8.125" style="252" bestFit="1" customWidth="1"/>
    <col min="253" max="253" width="10.5" style="252" bestFit="1" customWidth="1"/>
    <col min="254" max="254" width="12.75" style="252" bestFit="1" customWidth="1"/>
    <col min="255" max="256" width="23.375" style="252" bestFit="1" customWidth="1"/>
    <col min="257" max="257" width="22.75" style="252" bestFit="1" customWidth="1"/>
    <col min="258" max="258" width="18.625" style="252" bestFit="1" customWidth="1"/>
    <col min="259" max="259" width="10.625" style="252" bestFit="1" customWidth="1"/>
    <col min="260" max="260" width="12.375" style="252" bestFit="1" customWidth="1"/>
    <col min="261" max="261" width="15.625" style="252" bestFit="1" customWidth="1"/>
    <col min="262" max="262" width="8" style="252" bestFit="1" customWidth="1"/>
    <col min="263" max="263" width="20.5" style="252" bestFit="1" customWidth="1"/>
    <col min="264" max="264" width="7.25" style="252" bestFit="1" customWidth="1"/>
    <col min="265" max="265" width="7.875" style="252" bestFit="1" customWidth="1"/>
    <col min="266" max="266" width="8.75" style="252" bestFit="1" customWidth="1"/>
    <col min="267" max="267" width="8.25" style="252" bestFit="1" customWidth="1"/>
    <col min="268" max="268" width="15" style="252" bestFit="1" customWidth="1"/>
    <col min="269" max="269" width="17.125" style="252" bestFit="1" customWidth="1"/>
    <col min="270" max="270" width="8.125" style="252" bestFit="1" customWidth="1"/>
    <col min="271" max="271" width="10.5" style="252" bestFit="1" customWidth="1"/>
    <col min="272" max="272" width="12.75" style="252" bestFit="1" customWidth="1"/>
    <col min="273" max="273" width="22.75" style="252" bestFit="1" customWidth="1"/>
    <col min="274" max="274" width="26" style="252" bestFit="1" customWidth="1"/>
    <col min="275" max="275" width="29" style="252" bestFit="1" customWidth="1"/>
    <col min="276" max="276" width="22.75" style="252" bestFit="1" customWidth="1"/>
    <col min="277" max="277" width="26" style="252" bestFit="1" customWidth="1"/>
    <col min="278" max="278" width="29" style="252" bestFit="1" customWidth="1"/>
    <col min="279" max="279" width="17.75" style="252" bestFit="1" customWidth="1"/>
    <col min="280" max="280" width="8" style="252" bestFit="1" customWidth="1"/>
    <col min="281" max="281" width="20.5" style="252" bestFit="1" customWidth="1"/>
    <col min="282" max="282" width="7.25" style="252" bestFit="1" customWidth="1"/>
    <col min="283" max="283" width="7.875" style="252" bestFit="1" customWidth="1"/>
    <col min="284" max="284" width="8.75" style="252" bestFit="1" customWidth="1"/>
    <col min="285" max="285" width="8.25" style="252" bestFit="1" customWidth="1"/>
    <col min="286" max="286" width="15" style="252" bestFit="1" customWidth="1"/>
    <col min="287" max="287" width="17.125" style="252" bestFit="1" customWidth="1"/>
    <col min="288" max="288" width="8.125" style="252" bestFit="1" customWidth="1"/>
    <col min="289" max="289" width="10.5" style="252" bestFit="1" customWidth="1"/>
    <col min="290" max="290" width="12.75" style="252" bestFit="1" customWidth="1"/>
    <col min="291" max="293" width="35" style="252" bestFit="1" customWidth="1"/>
    <col min="294" max="295" width="28.75" style="252" bestFit="1" customWidth="1"/>
    <col min="296" max="297" width="17.75" style="252" bestFit="1" customWidth="1"/>
    <col min="298" max="298" width="8" style="252" bestFit="1" customWidth="1"/>
    <col min="299" max="299" width="20.5" style="252" bestFit="1" customWidth="1"/>
    <col min="300" max="300" width="7.25" style="252" bestFit="1" customWidth="1"/>
    <col min="301" max="301" width="7.875" style="252" bestFit="1" customWidth="1"/>
    <col min="302" max="302" width="8.75" style="252" bestFit="1" customWidth="1"/>
    <col min="303" max="303" width="8.25" style="252" bestFit="1" customWidth="1"/>
    <col min="304" max="304" width="15" style="252" bestFit="1" customWidth="1"/>
    <col min="305" max="305" width="17.125" style="252" bestFit="1" customWidth="1"/>
    <col min="306" max="306" width="8.125" style="252" bestFit="1" customWidth="1"/>
    <col min="307" max="307" width="10.5" style="252" bestFit="1" customWidth="1"/>
    <col min="308" max="308" width="12.75" style="252" bestFit="1" customWidth="1"/>
    <col min="309" max="310" width="27.25" style="252" bestFit="1" customWidth="1"/>
    <col min="311" max="311" width="33.125" style="252" bestFit="1" customWidth="1"/>
    <col min="312" max="312" width="27.25" style="252" bestFit="1" customWidth="1"/>
    <col min="313" max="316" width="28.5" style="252" bestFit="1" customWidth="1"/>
    <col min="317" max="317" width="20.5" style="252" bestFit="1" customWidth="1"/>
    <col min="318" max="318" width="7.25" style="252" bestFit="1" customWidth="1"/>
    <col min="319" max="319" width="7.875" style="252" bestFit="1" customWidth="1"/>
    <col min="320" max="320" width="8.75" style="252" bestFit="1" customWidth="1"/>
    <col min="321" max="321" width="8.25" style="252" bestFit="1" customWidth="1"/>
    <col min="322" max="322" width="15" style="252" bestFit="1" customWidth="1"/>
    <col min="323" max="323" width="17.125" style="252" bestFit="1" customWidth="1"/>
    <col min="324" max="324" width="8.75" style="252" bestFit="1" customWidth="1"/>
    <col min="325" max="325" width="10.5" style="252" bestFit="1" customWidth="1"/>
    <col min="326" max="326" width="12.75" style="252" bestFit="1" customWidth="1"/>
    <col min="327" max="327" width="26" style="252" bestFit="1" customWidth="1"/>
    <col min="328" max="328" width="26.875" style="252" bestFit="1" customWidth="1"/>
    <col min="329" max="329" width="25" style="252" bestFit="1" customWidth="1"/>
    <col min="330" max="330" width="27.25" style="252" bestFit="1" customWidth="1"/>
    <col min="331" max="331" width="28.25" style="252" bestFit="1" customWidth="1"/>
    <col min="332" max="332" width="26.25" style="252" bestFit="1" customWidth="1"/>
    <col min="333" max="334" width="27.25" style="252" customWidth="1"/>
    <col min="335" max="339" width="4.125" style="252" customWidth="1"/>
    <col min="340" max="340" width="4.375" style="252" customWidth="1"/>
    <col min="341" max="341" width="18.625" style="252" bestFit="1" customWidth="1"/>
    <col min="342" max="342" width="22.625" style="252" bestFit="1" customWidth="1"/>
    <col min="343" max="343" width="9.875" style="252" bestFit="1" customWidth="1"/>
    <col min="344" max="344" width="14.625" style="252" bestFit="1" customWidth="1"/>
    <col min="345" max="345" width="14.75" style="252" bestFit="1" customWidth="1"/>
    <col min="346" max="348" width="16.375" style="252" bestFit="1" customWidth="1"/>
    <col min="349" max="349" width="10.875" style="252" bestFit="1" customWidth="1"/>
    <col min="350" max="358" width="8.75" style="252"/>
    <col min="359" max="359" width="3.875" style="252" customWidth="1"/>
    <col min="360" max="363" width="3.75" style="252" customWidth="1"/>
    <col min="364" max="364" width="3.125" style="252" customWidth="1"/>
    <col min="365" max="365" width="13.75" style="252" customWidth="1"/>
    <col min="366" max="366" width="19.5" style="252" customWidth="1"/>
    <col min="367" max="378" width="14.125" style="252" customWidth="1"/>
    <col min="379" max="399" width="13.125" style="252" customWidth="1"/>
    <col min="400" max="413" width="13.5" style="252" customWidth="1"/>
    <col min="414" max="427" width="14.25" style="252" customWidth="1"/>
    <col min="428" max="428" width="15.875" style="252" customWidth="1"/>
    <col min="429" max="435" width="14" style="252" customWidth="1"/>
    <col min="436" max="436" width="13.375" style="252" customWidth="1"/>
    <col min="437" max="441" width="14" style="252" customWidth="1"/>
    <col min="442" max="445" width="12.75" style="252" customWidth="1"/>
    <col min="446" max="446" width="14.5" style="252" customWidth="1"/>
    <col min="447" max="447" width="16.25" style="252" customWidth="1"/>
    <col min="448" max="448" width="15.875" style="252" customWidth="1"/>
    <col min="449" max="449" width="20.375" style="252" customWidth="1"/>
    <col min="450" max="450" width="21.75" style="252" bestFit="1" customWidth="1"/>
    <col min="451" max="454" width="13.125" style="252" customWidth="1"/>
    <col min="455" max="456" width="15" style="252" bestFit="1" customWidth="1"/>
    <col min="457" max="457" width="18.875" style="252" customWidth="1"/>
    <col min="458" max="458" width="17" style="252" customWidth="1"/>
    <col min="459" max="459" width="23.125" style="252" bestFit="1" customWidth="1"/>
    <col min="460" max="460" width="16" style="252" customWidth="1"/>
    <col min="461" max="461" width="13.125" style="252" customWidth="1"/>
    <col min="462" max="462" width="15.125" style="252" customWidth="1"/>
    <col min="463" max="463" width="14.125" style="252" customWidth="1"/>
    <col min="464" max="464" width="17.125" style="252" customWidth="1"/>
    <col min="465" max="465" width="11.75" style="252" bestFit="1" customWidth="1"/>
    <col min="466" max="466" width="19.125" style="252" customWidth="1"/>
    <col min="467" max="467" width="12.5" style="252" customWidth="1"/>
    <col min="468" max="468" width="11.75" style="252" bestFit="1" customWidth="1"/>
    <col min="469" max="469" width="14.875" style="252" customWidth="1"/>
    <col min="470" max="470" width="17.5" style="252" customWidth="1"/>
    <col min="471" max="471" width="25.25" style="252" customWidth="1"/>
    <col min="472" max="472" width="17.25" style="252" customWidth="1"/>
    <col min="473" max="473" width="17.5" style="252" customWidth="1"/>
    <col min="474" max="474" width="16.125" style="252" customWidth="1"/>
    <col min="475" max="476" width="20.25" style="252" customWidth="1"/>
    <col min="477" max="477" width="19.75" style="252" customWidth="1"/>
    <col min="478" max="478" width="22" style="252" customWidth="1"/>
    <col min="479" max="485" width="9.75" style="252" customWidth="1"/>
    <col min="486" max="486" width="19.5" style="252" customWidth="1"/>
    <col min="487" max="487" width="12.625" style="252" customWidth="1"/>
    <col min="488" max="488" width="11.5" style="252" customWidth="1"/>
    <col min="489" max="494" width="12.875" style="252" customWidth="1"/>
    <col min="495" max="500" width="11.5" style="252" customWidth="1"/>
    <col min="501" max="506" width="11.625" style="252" customWidth="1"/>
    <col min="507" max="507" width="14.625" style="252" customWidth="1"/>
    <col min="508" max="508" width="17.125" style="252" bestFit="1" customWidth="1"/>
    <col min="509" max="509" width="11.625" style="252" customWidth="1"/>
    <col min="510" max="510" width="12.125" style="252" customWidth="1"/>
    <col min="511" max="515" width="11.875" style="252" bestFit="1" customWidth="1"/>
    <col min="516" max="527" width="11.75" style="252" bestFit="1" customWidth="1"/>
    <col min="528" max="530" width="3.75" style="252" customWidth="1"/>
    <col min="531" max="534" width="15.875" style="252" customWidth="1"/>
    <col min="535" max="536" width="6.5" style="252" customWidth="1"/>
    <col min="537" max="537" width="23.5" style="252" customWidth="1"/>
    <col min="538" max="543" width="18.625" style="252" customWidth="1"/>
    <col min="544" max="544" width="17.5" style="252" customWidth="1"/>
    <col min="545" max="545" width="21.125" style="252" customWidth="1"/>
    <col min="546" max="552" width="18.625" style="252" customWidth="1"/>
    <col min="553" max="553" width="19.75" style="252" customWidth="1"/>
    <col min="554" max="554" width="20.375" style="252" customWidth="1"/>
    <col min="555" max="556" width="18.625" style="252" customWidth="1"/>
    <col min="557" max="558" width="22.875" style="252" customWidth="1"/>
    <col min="559" max="564" width="18.625" style="252" customWidth="1"/>
    <col min="565" max="565" width="24.375" style="252" customWidth="1"/>
    <col min="566" max="571" width="18.625" style="252" customWidth="1"/>
    <col min="572" max="572" width="10" style="252" customWidth="1"/>
    <col min="573" max="573" width="11.625" style="252" customWidth="1"/>
    <col min="574" max="578" width="16.625" style="252" customWidth="1"/>
    <col min="579" max="579" width="4.625" style="252" customWidth="1"/>
    <col min="580" max="580" width="4.5" style="252" customWidth="1"/>
    <col min="581" max="583" width="18.625" style="252" customWidth="1"/>
    <col min="584" max="584" width="6.125" style="252" customWidth="1"/>
    <col min="585" max="593" width="11.625" style="252" customWidth="1"/>
    <col min="594" max="597" width="18.625" style="252" customWidth="1"/>
    <col min="598" max="600" width="5" style="252" customWidth="1"/>
    <col min="601" max="617" width="11.625" style="252" customWidth="1"/>
    <col min="618" max="16384" width="8.75" style="252"/>
  </cols>
  <sheetData>
    <row r="1" spans="1:600" ht="24" x14ac:dyDescent="0.15">
      <c r="A1" s="251" t="s">
        <v>1702</v>
      </c>
      <c r="D1" s="252" t="s">
        <v>1957</v>
      </c>
      <c r="AB1" s="253" t="s">
        <v>1082</v>
      </c>
      <c r="MC1" s="253" t="s">
        <v>1326</v>
      </c>
      <c r="MZ1" s="253" t="s">
        <v>1454</v>
      </c>
      <c r="TK1" s="253" t="s">
        <v>1083</v>
      </c>
      <c r="UK1" s="253"/>
      <c r="WB1" s="253" t="s">
        <v>1093</v>
      </c>
    </row>
    <row r="2" spans="1:600" ht="24" x14ac:dyDescent="0.35">
      <c r="B2" s="251" t="s">
        <v>1446</v>
      </c>
      <c r="F2" s="251" t="s">
        <v>716</v>
      </c>
      <c r="G2" s="254"/>
      <c r="J2" s="255" t="s">
        <v>717</v>
      </c>
      <c r="K2" s="254"/>
      <c r="N2" s="255" t="s">
        <v>517</v>
      </c>
      <c r="Q2" s="256" t="s">
        <v>1081</v>
      </c>
      <c r="U2" s="256" t="s">
        <v>1287</v>
      </c>
      <c r="X2" s="256" t="s">
        <v>1701</v>
      </c>
      <c r="AB2" s="255" t="s">
        <v>718</v>
      </c>
    </row>
    <row r="3" spans="1:600" ht="21.75" thickBot="1" x14ac:dyDescent="0.35">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x14ac:dyDescent="0.35">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x14ac:dyDescent="0.25">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x14ac:dyDescent="0.25">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6.5" thickBot="1" x14ac:dyDescent="0.3">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1.75" thickBot="1" x14ac:dyDescent="0.35">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47.25" x14ac:dyDescent="0.25">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x14ac:dyDescent="0.25">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x14ac:dyDescent="0.25">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x14ac:dyDescent="0.25">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1" x14ac:dyDescent="0.3">
      <c r="B13" s="284" t="s">
        <v>732</v>
      </c>
      <c r="C13" s="247">
        <f>IF(OR(COUNT(AL30:AL41)=0,COUNT(AK30:AK41)=0),"",AL30/AK30*$C$4)</f>
        <v>2199987667.4986625</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x14ac:dyDescent="0.25">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x14ac:dyDescent="0.25">
      <c r="B15" s="270" t="s">
        <v>734</v>
      </c>
      <c r="C15" s="239">
        <v>12</v>
      </c>
      <c r="D15" s="239" t="s">
        <v>1085</v>
      </c>
      <c r="F15" s="270" t="str">
        <f>label!C13</f>
        <v>CPU frequency (GHz)</v>
      </c>
      <c r="G15" s="239">
        <f>IF(C13="","",C13/10^9)</f>
        <v>2.1999876674986623</v>
      </c>
      <c r="H15" s="254"/>
      <c r="J15" s="289" t="s">
        <v>1055</v>
      </c>
      <c r="K15" s="290"/>
      <c r="L15" s="239" t="str">
        <f>IF(COUNT(HS30:JT41)=0,"","True")</f>
        <v>True</v>
      </c>
      <c r="N15" s="291"/>
      <c r="Q15" s="812"/>
      <c r="R15" s="265" t="s">
        <v>1464</v>
      </c>
      <c r="S15" s="437">
        <v>8.0000000000000002E-3</v>
      </c>
      <c r="TV15" s="454"/>
    </row>
    <row r="16" spans="1:600" x14ac:dyDescent="0.25">
      <c r="B16" s="270" t="s">
        <v>593</v>
      </c>
      <c r="C16" s="239">
        <v>32</v>
      </c>
      <c r="D16" s="239" t="s">
        <v>735</v>
      </c>
      <c r="F16" s="526"/>
      <c r="G16" s="527"/>
      <c r="J16" s="289" t="s">
        <v>898</v>
      </c>
      <c r="K16" s="290"/>
      <c r="L16" s="239" t="str">
        <f>IF(COUNT(JC30:JS41)=0,"","True")</f>
        <v>True</v>
      </c>
      <c r="Q16" s="266" t="s">
        <v>1572</v>
      </c>
      <c r="R16" s="265" t="s">
        <v>1572</v>
      </c>
      <c r="S16" s="437">
        <v>0.01</v>
      </c>
    </row>
    <row r="17" spans="2:617" x14ac:dyDescent="0.25">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x14ac:dyDescent="0.25">
      <c r="B18" s="292" t="s">
        <v>1439</v>
      </c>
      <c r="C18" s="248" t="s">
        <v>1956</v>
      </c>
      <c r="D18" s="265" t="s">
        <v>1183</v>
      </c>
      <c r="J18" s="289" t="s">
        <v>900</v>
      </c>
      <c r="K18" s="290"/>
      <c r="L18" s="239" t="str">
        <f>IF(COUNT(JU30:KL41)=0,"","True")</f>
        <v>True</v>
      </c>
      <c r="Q18" s="811" t="s">
        <v>1467</v>
      </c>
      <c r="R18" s="265" t="s">
        <v>1468</v>
      </c>
      <c r="S18" s="437">
        <v>0.95</v>
      </c>
      <c r="TV18" s="454"/>
    </row>
    <row r="19" spans="2:617" x14ac:dyDescent="0.25">
      <c r="B19" s="270" t="s">
        <v>1443</v>
      </c>
      <c r="C19" s="431">
        <v>2</v>
      </c>
      <c r="D19" s="265" t="s">
        <v>1444</v>
      </c>
      <c r="J19" s="289" t="s">
        <v>901</v>
      </c>
      <c r="K19" s="290"/>
      <c r="L19" s="239" t="str">
        <f>IF(COUNT(KM30:LD41)=0,"","True")</f>
        <v>True</v>
      </c>
      <c r="Q19" s="812"/>
      <c r="R19" s="265" t="s">
        <v>1469</v>
      </c>
      <c r="S19" s="437">
        <v>1.05</v>
      </c>
    </row>
    <row r="20" spans="2:617" x14ac:dyDescent="0.25">
      <c r="B20" s="270" t="s">
        <v>1442</v>
      </c>
      <c r="C20" s="431">
        <v>1</v>
      </c>
      <c r="D20" s="265" t="s">
        <v>1445</v>
      </c>
      <c r="J20" s="289" t="s">
        <v>902</v>
      </c>
      <c r="K20" s="290"/>
      <c r="L20" s="239" t="str">
        <f>IF(COUNT(LE30:LT41)=0,"","True")</f>
        <v>True</v>
      </c>
      <c r="Q20" s="266" t="s">
        <v>1951</v>
      </c>
      <c r="R20" s="267" t="s">
        <v>1472</v>
      </c>
      <c r="S20" s="437">
        <v>1.4999999999999999E-4</v>
      </c>
    </row>
    <row r="21" spans="2:617" x14ac:dyDescent="0.25">
      <c r="B21" s="270" t="s">
        <v>1441</v>
      </c>
      <c r="C21" s="430">
        <v>2</v>
      </c>
      <c r="D21" s="265" t="s">
        <v>1361</v>
      </c>
    </row>
    <row r="24" spans="2:617" x14ac:dyDescent="0.15">
      <c r="D24" s="252" t="s">
        <v>883</v>
      </c>
      <c r="Q24" s="439"/>
    </row>
    <row r="25" spans="2:617" ht="47.25" x14ac:dyDescent="0.15">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x14ac:dyDescent="0.25">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1.5" x14ac:dyDescent="0.25">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11" thickBot="1" x14ac:dyDescent="0.4">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2.25" thickBot="1" x14ac:dyDescent="0.3">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1.5" x14ac:dyDescent="0.25">
      <c r="AB30" s="254">
        <v>0</v>
      </c>
      <c r="AC30" s="430" t="s">
        <v>1974</v>
      </c>
      <c r="AD30" s="430" t="s">
        <v>1964</v>
      </c>
      <c r="AE30" s="430">
        <v>0</v>
      </c>
      <c r="AF30" s="430">
        <v>0</v>
      </c>
      <c r="AG30" s="430">
        <v>0</v>
      </c>
      <c r="AH30" s="430" t="s">
        <v>1975</v>
      </c>
      <c r="AI30" s="430">
        <v>1</v>
      </c>
      <c r="AJ30" s="430">
        <v>1</v>
      </c>
      <c r="AK30" s="594">
        <v>2106060992</v>
      </c>
      <c r="AL30" s="594">
        <v>46333082094</v>
      </c>
      <c r="AM30" s="430">
        <v>11967860000</v>
      </c>
      <c r="AN30" s="430">
        <v>13472928000</v>
      </c>
      <c r="AO30" s="430">
        <v>467719417</v>
      </c>
      <c r="AP30" s="430">
        <v>208162717</v>
      </c>
      <c r="AQ30" s="595">
        <v>3912433</v>
      </c>
      <c r="AR30" s="595">
        <v>933028</v>
      </c>
      <c r="AS30" s="594">
        <v>25360604428</v>
      </c>
      <c r="AT30" s="594">
        <v>7209421049</v>
      </c>
      <c r="AU30" s="430" t="s">
        <v>1974</v>
      </c>
      <c r="AV30" s="430" t="s">
        <v>1964</v>
      </c>
      <c r="AW30" s="430">
        <v>0</v>
      </c>
      <c r="AX30" s="430">
        <v>0</v>
      </c>
      <c r="AY30" s="430">
        <v>0</v>
      </c>
      <c r="AZ30" s="430" t="s">
        <v>1975</v>
      </c>
      <c r="BA30" s="430">
        <v>1</v>
      </c>
      <c r="BB30" s="430">
        <v>1</v>
      </c>
      <c r="BC30" s="430">
        <v>2105827680</v>
      </c>
      <c r="BD30" s="430">
        <v>46327922613</v>
      </c>
      <c r="BE30" s="430">
        <v>34402906341</v>
      </c>
      <c r="BF30" s="595">
        <v>5869351938</v>
      </c>
      <c r="BG30" s="430">
        <v>9060272508</v>
      </c>
      <c r="BH30" s="595">
        <v>347270</v>
      </c>
      <c r="BI30" s="430">
        <v>23105276074</v>
      </c>
      <c r="BJ30" s="430">
        <v>239610040</v>
      </c>
      <c r="BK30" s="430">
        <v>0</v>
      </c>
      <c r="BL30" s="430">
        <v>0</v>
      </c>
      <c r="BM30" s="430" t="s">
        <v>1974</v>
      </c>
      <c r="BN30" s="430" t="s">
        <v>1964</v>
      </c>
      <c r="BO30" s="430">
        <v>0</v>
      </c>
      <c r="BP30" s="430">
        <v>0</v>
      </c>
      <c r="BQ30" s="430">
        <v>0</v>
      </c>
      <c r="BR30" s="430" t="s">
        <v>1975</v>
      </c>
      <c r="BS30" s="430">
        <v>1</v>
      </c>
      <c r="BT30" s="430">
        <v>1</v>
      </c>
      <c r="BU30" s="430">
        <v>2106163232</v>
      </c>
      <c r="BV30" s="430">
        <v>46334960575</v>
      </c>
      <c r="BW30" s="594">
        <v>9056860698</v>
      </c>
      <c r="BX30" s="594">
        <v>11619294193</v>
      </c>
      <c r="BY30" s="430">
        <v>21715597778</v>
      </c>
      <c r="BZ30" s="430">
        <v>424897805</v>
      </c>
      <c r="CA30" s="430">
        <v>10420750288</v>
      </c>
      <c r="CB30" s="430">
        <v>153892038782</v>
      </c>
      <c r="CC30" s="430">
        <v>9253776756</v>
      </c>
      <c r="CD30" s="430">
        <v>147801106446</v>
      </c>
      <c r="CE30" s="430" t="s">
        <v>1974</v>
      </c>
      <c r="CF30" s="430" t="s">
        <v>1964</v>
      </c>
      <c r="CG30" s="430">
        <v>0</v>
      </c>
      <c r="CH30" s="430">
        <v>0</v>
      </c>
      <c r="CI30" s="430">
        <v>0</v>
      </c>
      <c r="CJ30" s="430" t="s">
        <v>1975</v>
      </c>
      <c r="CK30" s="430">
        <v>1</v>
      </c>
      <c r="CL30" s="430">
        <v>1</v>
      </c>
      <c r="CM30" s="430">
        <v>2105881984</v>
      </c>
      <c r="CN30" s="430">
        <v>46329199366</v>
      </c>
      <c r="CO30" s="430">
        <v>3914813</v>
      </c>
      <c r="CP30" s="430">
        <v>467648962</v>
      </c>
      <c r="CQ30" s="430">
        <v>452424104</v>
      </c>
      <c r="CR30" s="430">
        <v>467394528</v>
      </c>
      <c r="CS30" s="430">
        <v>20921672</v>
      </c>
      <c r="CT30" s="430">
        <v>945960000</v>
      </c>
      <c r="CU30" s="430">
        <v>472980000</v>
      </c>
      <c r="CV30" s="430">
        <v>911904</v>
      </c>
      <c r="CW30" s="430" t="s">
        <v>1974</v>
      </c>
      <c r="CX30" s="430" t="s">
        <v>1964</v>
      </c>
      <c r="CY30" s="430">
        <v>0</v>
      </c>
      <c r="CZ30" s="430">
        <v>0</v>
      </c>
      <c r="DA30" s="430">
        <v>0</v>
      </c>
      <c r="DB30" s="430" t="s">
        <v>1975</v>
      </c>
      <c r="DC30" s="430">
        <v>1</v>
      </c>
      <c r="DD30" s="430">
        <v>1</v>
      </c>
      <c r="DE30" s="430">
        <v>2106055744</v>
      </c>
      <c r="DF30" s="430">
        <v>46332980468</v>
      </c>
      <c r="DG30" s="430">
        <v>13824046000</v>
      </c>
      <c r="DH30" s="430">
        <v>6650444000</v>
      </c>
      <c r="DI30" s="430">
        <v>508816000</v>
      </c>
      <c r="DJ30" s="430">
        <v>4651096074</v>
      </c>
      <c r="DK30" s="430">
        <v>1676980654</v>
      </c>
      <c r="DL30" s="430">
        <v>4170875019</v>
      </c>
      <c r="DM30" s="430">
        <v>1676958019</v>
      </c>
      <c r="DN30" s="430">
        <v>5362041</v>
      </c>
      <c r="DO30" s="595" t="s">
        <v>1974</v>
      </c>
      <c r="DP30" s="595" t="s">
        <v>1964</v>
      </c>
      <c r="DQ30" s="595">
        <v>0</v>
      </c>
      <c r="DR30" s="595">
        <v>0</v>
      </c>
      <c r="DS30" s="595">
        <v>0</v>
      </c>
      <c r="DT30" s="595" t="s">
        <v>1975</v>
      </c>
      <c r="DU30" s="595">
        <v>1</v>
      </c>
      <c r="DV30" s="595">
        <v>1</v>
      </c>
      <c r="DW30" s="595">
        <v>2106171392</v>
      </c>
      <c r="DX30" s="595">
        <v>46335535572</v>
      </c>
      <c r="DY30" s="595">
        <v>538379909</v>
      </c>
      <c r="DZ30" s="595">
        <v>445052396</v>
      </c>
      <c r="EA30" s="595">
        <v>38664677</v>
      </c>
      <c r="EB30" s="430">
        <v>632534437</v>
      </c>
      <c r="EC30" s="595">
        <v>483075921</v>
      </c>
      <c r="ED30" s="595">
        <v>0</v>
      </c>
      <c r="EE30" s="595">
        <v>0</v>
      </c>
      <c r="EF30" s="595">
        <v>19174416648</v>
      </c>
      <c r="EG30" s="595" t="s">
        <v>1974</v>
      </c>
      <c r="EH30" s="595" t="s">
        <v>1964</v>
      </c>
      <c r="EI30" s="595">
        <v>0</v>
      </c>
      <c r="EJ30" s="595">
        <v>0</v>
      </c>
      <c r="EK30" s="595">
        <v>0</v>
      </c>
      <c r="EL30" s="595" t="s">
        <v>1975</v>
      </c>
      <c r="EM30" s="595">
        <v>1</v>
      </c>
      <c r="EN30" s="595">
        <v>1</v>
      </c>
      <c r="EO30" s="595">
        <v>2105533504</v>
      </c>
      <c r="EP30" s="595">
        <v>46321494485</v>
      </c>
      <c r="EQ30" s="595">
        <v>1798854436</v>
      </c>
      <c r="ER30" s="595">
        <v>1133492313</v>
      </c>
      <c r="ES30" s="430">
        <v>3123358609</v>
      </c>
      <c r="ET30" s="595">
        <v>2079447</v>
      </c>
      <c r="EU30" s="595">
        <v>11967860000</v>
      </c>
      <c r="EV30" s="595">
        <v>0</v>
      </c>
      <c r="EW30" s="595">
        <v>13472928000</v>
      </c>
      <c r="EX30" s="595">
        <v>0</v>
      </c>
      <c r="EY30" s="595" t="s">
        <v>1974</v>
      </c>
      <c r="EZ30" s="595" t="s">
        <v>1964</v>
      </c>
      <c r="FA30" s="595">
        <v>0</v>
      </c>
      <c r="FB30" s="595">
        <v>0</v>
      </c>
      <c r="FC30" s="595">
        <v>0</v>
      </c>
      <c r="FD30" s="595" t="s">
        <v>1975</v>
      </c>
      <c r="FE30" s="595">
        <v>1</v>
      </c>
      <c r="FF30" s="595">
        <v>1</v>
      </c>
      <c r="FG30" s="595">
        <v>2106115104</v>
      </c>
      <c r="FH30" s="595">
        <v>46334304208</v>
      </c>
      <c r="FI30" s="595">
        <v>2023</v>
      </c>
      <c r="FJ30" s="595">
        <v>5037731802</v>
      </c>
      <c r="FK30" s="595">
        <v>1560749923</v>
      </c>
      <c r="FL30" s="595">
        <v>613532525</v>
      </c>
      <c r="FM30" s="595">
        <v>6975823090</v>
      </c>
      <c r="FN30" s="595">
        <v>6881331575</v>
      </c>
      <c r="FO30" s="430">
        <v>707451950</v>
      </c>
      <c r="FP30" s="430">
        <v>1125048238</v>
      </c>
      <c r="FQ30" s="595" t="s">
        <v>1974</v>
      </c>
      <c r="FR30" s="595" t="s">
        <v>1964</v>
      </c>
      <c r="FS30" s="595">
        <v>0</v>
      </c>
      <c r="FT30" s="595">
        <v>0</v>
      </c>
      <c r="FU30" s="595">
        <v>0</v>
      </c>
      <c r="FV30" s="595" t="s">
        <v>1975</v>
      </c>
      <c r="FW30" s="595">
        <v>1</v>
      </c>
      <c r="FX30" s="595">
        <v>1</v>
      </c>
      <c r="FY30" s="595">
        <v>2105829728</v>
      </c>
      <c r="FZ30" s="595">
        <v>46328046473</v>
      </c>
      <c r="GA30" s="595">
        <v>452424900</v>
      </c>
      <c r="GB30" s="595">
        <v>447062182</v>
      </c>
      <c r="GC30" s="595">
        <v>446663200</v>
      </c>
      <c r="GD30" s="595">
        <v>446663200</v>
      </c>
      <c r="GE30" s="595">
        <v>4312</v>
      </c>
      <c r="GF30" s="595">
        <v>4</v>
      </c>
      <c r="GG30" s="595">
        <v>436</v>
      </c>
      <c r="GH30" s="595">
        <v>934296</v>
      </c>
      <c r="GI30" s="595" t="s">
        <v>1974</v>
      </c>
      <c r="GJ30" s="595" t="s">
        <v>1964</v>
      </c>
      <c r="GK30" s="595">
        <v>0</v>
      </c>
      <c r="GL30" s="595">
        <v>0</v>
      </c>
      <c r="GM30" s="595">
        <v>0</v>
      </c>
      <c r="GN30" s="595" t="s">
        <v>1975</v>
      </c>
      <c r="GO30" s="595">
        <v>1</v>
      </c>
      <c r="GP30" s="595">
        <v>1</v>
      </c>
      <c r="GQ30" s="595">
        <v>2106017888</v>
      </c>
      <c r="GR30" s="595">
        <v>46332188058</v>
      </c>
      <c r="GS30" s="595">
        <v>0</v>
      </c>
      <c r="GT30" s="595">
        <v>0</v>
      </c>
      <c r="GU30" s="595">
        <v>0</v>
      </c>
      <c r="GV30" s="595">
        <v>0</v>
      </c>
      <c r="GW30" s="595">
        <v>0</v>
      </c>
      <c r="GX30" s="595">
        <v>8</v>
      </c>
      <c r="GY30" s="595">
        <v>329660032</v>
      </c>
      <c r="GZ30" s="595">
        <v>604709259</v>
      </c>
      <c r="HA30" s="595" t="s">
        <v>1974</v>
      </c>
      <c r="HB30" s="595" t="s">
        <v>1964</v>
      </c>
      <c r="HC30" s="595">
        <v>0</v>
      </c>
      <c r="HD30" s="595">
        <v>0</v>
      </c>
      <c r="HE30" s="595">
        <v>0</v>
      </c>
      <c r="HF30" s="595" t="s">
        <v>1975</v>
      </c>
      <c r="HG30" s="595">
        <v>1</v>
      </c>
      <c r="HH30" s="595">
        <v>1</v>
      </c>
      <c r="HI30" s="595">
        <v>2105933824</v>
      </c>
      <c r="HJ30" s="595">
        <v>46330333567</v>
      </c>
      <c r="HK30" s="595">
        <v>0</v>
      </c>
      <c r="HL30" s="595">
        <v>0</v>
      </c>
      <c r="HM30" s="595">
        <v>0</v>
      </c>
      <c r="HN30" s="595">
        <v>1282822009</v>
      </c>
      <c r="HO30" s="595">
        <v>1182474019</v>
      </c>
      <c r="HP30" s="595">
        <v>2017</v>
      </c>
      <c r="HQ30" s="595">
        <v>3067255019</v>
      </c>
      <c r="HR30" s="595">
        <v>0</v>
      </c>
      <c r="HS30" s="595" t="s">
        <v>1974</v>
      </c>
      <c r="HT30" s="595" t="s">
        <v>1964</v>
      </c>
      <c r="HU30" s="595">
        <v>0</v>
      </c>
      <c r="HV30" s="595">
        <v>0</v>
      </c>
      <c r="HW30" s="595">
        <v>0</v>
      </c>
      <c r="HX30" s="595" t="s">
        <v>1975</v>
      </c>
      <c r="HY30" s="595">
        <v>1</v>
      </c>
      <c r="HZ30" s="595">
        <v>1</v>
      </c>
      <c r="IA30" s="595">
        <v>2106982336</v>
      </c>
      <c r="IB30" s="595">
        <v>46353306268</v>
      </c>
      <c r="IC30" s="595">
        <v>27797246380</v>
      </c>
      <c r="ID30" s="595">
        <v>679620870</v>
      </c>
      <c r="IE30" s="595">
        <v>0</v>
      </c>
      <c r="IF30" s="595">
        <v>27797226506</v>
      </c>
      <c r="IG30" s="595">
        <v>45058498</v>
      </c>
      <c r="IH30" s="595">
        <v>604721415</v>
      </c>
      <c r="II30" s="595">
        <v>0</v>
      </c>
      <c r="IJ30" s="595">
        <v>0</v>
      </c>
      <c r="IK30" s="595" t="s">
        <v>1974</v>
      </c>
      <c r="IL30" s="595" t="s">
        <v>1964</v>
      </c>
      <c r="IM30" s="595">
        <v>0</v>
      </c>
      <c r="IN30" s="595">
        <v>0</v>
      </c>
      <c r="IO30" s="595">
        <v>0</v>
      </c>
      <c r="IP30" s="595" t="s">
        <v>1975</v>
      </c>
      <c r="IQ30" s="595">
        <v>1</v>
      </c>
      <c r="IR30" s="595">
        <v>1</v>
      </c>
      <c r="IS30" s="595">
        <v>2106896544</v>
      </c>
      <c r="IT30" s="595">
        <v>46351523510</v>
      </c>
      <c r="IU30" s="595">
        <v>0</v>
      </c>
      <c r="IV30" s="595">
        <v>0</v>
      </c>
      <c r="IW30" s="595">
        <v>1017640000</v>
      </c>
      <c r="IX30" s="595">
        <v>0</v>
      </c>
      <c r="IY30" s="595">
        <v>516005000</v>
      </c>
      <c r="IZ30" s="595">
        <v>157662001</v>
      </c>
      <c r="JA30" s="595">
        <v>0</v>
      </c>
      <c r="JB30" s="595">
        <v>0</v>
      </c>
      <c r="JC30" s="595" t="s">
        <v>1974</v>
      </c>
      <c r="JD30" s="595" t="s">
        <v>1964</v>
      </c>
      <c r="JE30" s="595">
        <v>0</v>
      </c>
      <c r="JF30" s="595">
        <v>0</v>
      </c>
      <c r="JG30" s="595">
        <v>0</v>
      </c>
      <c r="JH30" s="595" t="s">
        <v>1975</v>
      </c>
      <c r="JI30" s="595">
        <v>1</v>
      </c>
      <c r="JJ30" s="595">
        <v>1</v>
      </c>
      <c r="JK30" s="595">
        <v>2106297344</v>
      </c>
      <c r="JL30" s="595">
        <v>46338327190</v>
      </c>
      <c r="JM30" s="595">
        <v>448006998</v>
      </c>
      <c r="JN30" s="595">
        <v>0</v>
      </c>
      <c r="JO30" s="595">
        <v>0</v>
      </c>
      <c r="JP30" s="595">
        <v>412318350</v>
      </c>
      <c r="JQ30" s="595">
        <v>0</v>
      </c>
      <c r="JR30" s="595">
        <v>0</v>
      </c>
      <c r="JS30" s="595">
        <v>39846374</v>
      </c>
      <c r="JT30" s="595">
        <v>0</v>
      </c>
      <c r="JU30" s="595" t="s">
        <v>1974</v>
      </c>
      <c r="JV30" s="595" t="s">
        <v>1964</v>
      </c>
      <c r="JW30" s="595">
        <v>0</v>
      </c>
      <c r="JX30" s="595">
        <v>0</v>
      </c>
      <c r="JY30" s="595">
        <v>0</v>
      </c>
      <c r="JZ30" s="595" t="s">
        <v>1975</v>
      </c>
      <c r="KA30" s="595">
        <v>1</v>
      </c>
      <c r="KB30" s="595">
        <v>1</v>
      </c>
      <c r="KC30" s="595">
        <v>2106826496</v>
      </c>
      <c r="KD30" s="595">
        <v>46349839795</v>
      </c>
      <c r="KE30" s="595">
        <v>0</v>
      </c>
      <c r="KF30" s="595">
        <v>2839530129</v>
      </c>
      <c r="KG30" s="595">
        <v>944310049</v>
      </c>
      <c r="KH30" s="595">
        <v>64937833488</v>
      </c>
      <c r="KI30" s="595">
        <v>47404740368</v>
      </c>
      <c r="KJ30" s="595">
        <v>4058614589</v>
      </c>
      <c r="KK30" s="595">
        <v>2962796275</v>
      </c>
      <c r="KL30" s="595">
        <v>0</v>
      </c>
      <c r="KM30" s="595" t="s">
        <v>1974</v>
      </c>
      <c r="KN30" s="595" t="s">
        <v>1964</v>
      </c>
      <c r="KO30" s="595">
        <v>0</v>
      </c>
      <c r="KP30" s="595">
        <v>0</v>
      </c>
      <c r="KQ30" s="595">
        <v>0</v>
      </c>
      <c r="KR30" s="595" t="s">
        <v>1975</v>
      </c>
      <c r="KS30" s="595">
        <v>1</v>
      </c>
      <c r="KT30" s="595">
        <v>1</v>
      </c>
      <c r="KU30" s="595">
        <v>2105594592</v>
      </c>
      <c r="KV30" s="595">
        <v>46322845782</v>
      </c>
      <c r="KW30" s="595">
        <v>5602590357</v>
      </c>
      <c r="KX30" s="595">
        <v>44844223</v>
      </c>
      <c r="KY30" s="595">
        <v>10945588</v>
      </c>
      <c r="KZ30" s="595">
        <v>25360577321</v>
      </c>
      <c r="LA30" s="595">
        <v>2508009246</v>
      </c>
      <c r="LB30" s="595">
        <v>225785</v>
      </c>
      <c r="LC30" s="595">
        <v>13306</v>
      </c>
      <c r="LD30" s="595">
        <v>14780</v>
      </c>
      <c r="LE30" s="595" t="s">
        <v>1974</v>
      </c>
      <c r="LF30" s="595" t="s">
        <v>1964</v>
      </c>
      <c r="LG30" s="595">
        <v>0</v>
      </c>
      <c r="LH30" s="595">
        <v>0</v>
      </c>
      <c r="LI30" s="595">
        <v>0</v>
      </c>
      <c r="LJ30" s="595" t="s">
        <v>1975</v>
      </c>
      <c r="LK30" s="595">
        <v>1</v>
      </c>
      <c r="LL30" s="595">
        <v>1</v>
      </c>
      <c r="LM30" s="595">
        <v>2106036928</v>
      </c>
      <c r="LN30" s="595">
        <v>46332597514</v>
      </c>
      <c r="LO30" s="595">
        <v>5548404892</v>
      </c>
      <c r="LP30" s="595">
        <v>618</v>
      </c>
      <c r="LQ30" s="595">
        <v>0</v>
      </c>
      <c r="LR30" s="595">
        <v>2508310595</v>
      </c>
      <c r="LS30" s="595">
        <v>68</v>
      </c>
      <c r="LT30" s="595">
        <v>0</v>
      </c>
      <c r="LU30" s="595">
        <v>5548275928</v>
      </c>
      <c r="LV30" s="595">
        <v>25140</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21.060609920000001</v>
      </c>
      <c r="ND30" s="208">
        <f>IF(OR($NI30="",$NC30=""),"",IF($NC30=0,0,$NI30/10^9/$NC30))</f>
        <v>2.9127536302614354</v>
      </c>
      <c r="NE30" s="209">
        <f t="shared" ref="NE30:NE41" si="15">IF(OR($ND30="",$C$13="",$C$16=""),"",IF($C$13=0,0,$ND30/($C$13*$C$16/10^9)))</f>
        <v>4.1374573271659124E-2</v>
      </c>
      <c r="NF30" s="208">
        <f t="shared" ref="NF30:NF41" si="16">IF(OR($AO30="",$AQ30="",$AR30="",$AP30="",$C$7="",$NC30=""),"",IF($NC30=0,0,(($AO30-$AQ30-$AR30+$AP30)*$C$7/10^9)/$NC30))</f>
        <v>8.1567147836903668</v>
      </c>
      <c r="NG30" s="210"/>
      <c r="NH30" s="211">
        <f>IF($AS30="","",$AS30)</f>
        <v>25360604428</v>
      </c>
      <c r="NI30" s="208">
        <f t="shared" ref="NI30:NI41" si="17">IF(OR($AM30="",$C$11="",$AN30=""),"",$AM30*$C$11+$AN30)</f>
        <v>61344368000</v>
      </c>
      <c r="NJ30" s="212">
        <f>IF(OR($AT30="",$AS30=""),"",IF($AS30=0,0,$AT30/$AS30))</f>
        <v>0.28427638897439927</v>
      </c>
      <c r="NK30" s="213">
        <f>IF(OR($AM30="",$C$11="",$AN30=""),"",IF($AM30*$C$11+$AN30=0,0,$AM30*$C$11/($AM30*$C$11+$AN30)))</f>
        <v>0.78037220955638498</v>
      </c>
      <c r="NL30" s="214">
        <f t="shared" ref="NL30:NL41" si="18">IF(OR($CB30="",$CD30="",$CA30="",$CC30=""),"",IF(($CA30+$CC30)=0,0,
GuardLimitUpper(
  ($CB30+$CD30) / ( ($CA30+$CC30)*16),
  data_GuardLimitFlag,
  1)
 ))</f>
        <v>0.95838754012134308</v>
      </c>
      <c r="NM30" s="208">
        <f>IF(OR($AS30="",$AL30=""),"",IF($AL30=0,0,$AS30/$AL30))</f>
        <v>0.54735414269546567</v>
      </c>
      <c r="NN30" s="208">
        <f t="shared" ref="NN30:NN41" si="19">IF(OR($AS30="",$NC30=""),"",IF($NC30=0,0,$AS30/10^9/$NC30))</f>
        <v>1.2041723636843276</v>
      </c>
      <c r="NO30" s="215">
        <f t="shared" ref="NO30:NO41" si="20">IF($O$5="Lv2",IF(OR($BH30="",$BD30="",$NC30=""),"",IF($BD30=0,0,$BH30/$BD30*$NC30)),
                             IF(OR($BH30="",$EE30="",$BD30="",$NC30=""),"",IF($BD30=0,0,
GuardLimitLower(
  ($BH30-$EE30)/$BD30*$NC30,
  data_GuardLimitFlag,
  0)
)))</f>
        <v>1.5786846451142425E-4</v>
      </c>
      <c r="NP30" s="216">
        <f>IF($O$5="Lv2","",IF(OR($EE30="",$BD30="",$NC30=""),"",IF($BD30=0,0,($EE30)/$BD30*$NC30)))</f>
        <v>0</v>
      </c>
      <c r="NQ30" s="215">
        <f>IF($O$5="Lv2","",IF(OR($EC30="",$BD30="",$NC30=""),"",IF($BD30=0,0,$EC30/$BD30*$NC30)))</f>
        <v>0.21960564946788405</v>
      </c>
      <c r="NR30" s="215">
        <f>IF($O$5="Lv2","",IF(OR($EB30="",$EC30="",$BD30="",$NC30=""),"",IF($BD30=0,0,($EB30-$EC30)/$BD30*$NC30)))</f>
        <v>6.7943635871443364E-2</v>
      </c>
      <c r="NS30" s="215">
        <f t="shared" ref="NS30:NS41" si="21">IF($O$5="Lv2","",IF(OR($EA30="",$BD30="",$NC30=""),"",IF($BD30=0,0,$EA30/$BD30*$NC30)))</f>
        <v>1.7576909001123572E-2</v>
      </c>
      <c r="NT30" s="215">
        <f t="shared" ref="NT30:NT41" si="22">IF($O$5="Lv2","",IF(OR($DY30="",$EC30="",$EA30="",$ED30="",$BD30="",$NC30=""),"",IF($BD30=0,0,($DY30-($EC30+$EA30+$ED30))/$BD30*$NC30)))</f>
        <v>7.5642079019150842E-3</v>
      </c>
      <c r="NU30" s="215">
        <f t="shared" ref="NU30:NU41" si="23">IF($O$5="Lv2",  IF(OR($BG30="",$BH30="",$BD30="",$NC30=""),"",IF($BD30=0,0,($BG30-$BH30)/$BD30*$NC30)),
                               IF(OR($DZ30="",$EA30="",$BD30="",$NC30=""),"",IF($BD30=0,0,($DZ30-$EA30)/$BD30*$NC30)))</f>
        <v>0.18474329828326705</v>
      </c>
      <c r="NV30" s="215">
        <f>IF($O$5="Lv2","",IF(OR($BG30="",$EB30="",$DZ30="",$BH30="",$NT30="",$BD30="",$NC30=""),"",IF(OR($BD30=0,$NC30=0),0,
GuardLimitLower(
  ($BG30-($EB30+$DZ30+$BH30+$NT30*$BD30/$NC30))/$BD30*$NC30,
  data_GuardLimitFlag,
  0)
)))</f>
        <v>3.621195855472179</v>
      </c>
      <c r="NW30" s="215">
        <f t="shared" ref="NW30:NW41" si="24">IF($O$5="Lv2","",IF(OR($BI30="",$EF30="",$BD30="",$NC30=""),"",IF($BD30=0,0,
GuardLimitLower(
  ($BI30-$EF30)/$BD30*$NC30,
  data_GuardLimitFlag,
  0)
)))</f>
        <v>1.7869632902147567</v>
      </c>
      <c r="NX30" s="215">
        <f t="shared" ref="NX30:NX41" si="25">IF($O$5="Lv2",  IF(OR($BI30="",$BD30="",$NC30=""),"",IF($BD30=0,0,($BI30)/$BD30*$NC30)),
                               IF(OR($EF30="",$BD30="",$NC30=""),"",IF($BD30=0,0,($EF30)/$BD30*$NC30)))</f>
        <v>8.7166634437816413</v>
      </c>
      <c r="NY30" s="215">
        <f t="shared" ref="NY30:NY41" si="26">IF($O$5="Lv2","",IF(OR($ET30="",$BD30="",$NC30=""),"",IF($BD30=0,0,($ET30/$BD30*$NC30))))</f>
        <v>9.4531374700632846E-4</v>
      </c>
      <c r="NZ30" s="215">
        <f t="shared" ref="NZ30:NZ41" si="27">IF($O$5="Lv2",  IF(OR($BE30="",$BG30="",$BI30="",$BJ30="",$BD30="",$NC30=""),"",                 IF($BD30=0,0,($BE30-($BG30+$BI30+$BJ30))/$BD30*$NC30)),
                               IF(OR($BE30="",$BG30="",$BI30="",$BJ30="",$ET30="",$BD30="",$NC30=""),"",IF($BD30=0,0,
GuardLimitLower(
  ($BE30-($BG30+$BI30+$BJ30+$ET30))/$BD30*$NC30,
  data_GuardLimitFlag,
  0)
)))</f>
        <v>0.90722805245142801</v>
      </c>
      <c r="OA30" s="215">
        <f t="shared" ref="OA30:OA41" si="28">IF(OR($BK30="",$BD30="",$NC30=""),"",IF($BD30=0,0,$BK30/$BD30*$NC30))</f>
        <v>0</v>
      </c>
      <c r="OB30" s="215">
        <f t="shared" ref="OB30:OB41" si="29">IF(OR($BJ30="",$BK30="",$BL30="",$BD30="",$NC30=""),"",IF($BD30=0,0,($BJ30-($BK30+$BL30))/$BD30*$NC30))</f>
        <v>0.10892639472549011</v>
      </c>
      <c r="OC30" s="215">
        <f t="shared" ref="OC30:OC41" si="30">IF(OR($BL30="",$BD30="",$NC30=""),"",IF($BD30=0,0,$BL30/$BD30*$NC30))</f>
        <v>0</v>
      </c>
      <c r="OD30" s="215">
        <f t="shared" ref="OD30:OD41" si="31">IF(OR($BF30="",$BD30="",$NC30=""),"",IF($BD30=0,0,$BF30/$BD30*$NC30))</f>
        <v>2.6681993207855914</v>
      </c>
      <c r="OE30" s="215">
        <f t="shared" ref="OE30:OE41" si="32">IF($O$5="Lv2","",IF(OR($EQ30="",$BD30="",$NC30=""),"",IF($BD30=0,0,$EQ30/$BD30*$NC30)))</f>
        <v>0.81775675322050312</v>
      </c>
      <c r="OF30" s="215">
        <f t="shared" ref="OF30:OF41" si="33">IF($O$5="Lv2","",IF(OR($ER30="",$BD30="",$NC30=""),"",IF($BD30=0,0,$ER30/$BD30*$NC30)))</f>
        <v>0.51528404696291852</v>
      </c>
      <c r="OG30" s="215">
        <f t="shared" ref="OG30:OG41" si="34">IF($O$5="Lv2","",IF(OR($ES30="",$BD30="",$NC30=""),"",IF($BD30=0,0,$ES30/$BD30*$NC30)))</f>
        <v>1.4198745291023354</v>
      </c>
      <c r="OH30" s="215">
        <f t="shared" ref="OH30:OH41" si="35">IF($O$5="Lv2",  IF(OR($BD30="",$BE30="",$BF30="",$BD30="",$NC30=""),"",                                                     IF($BD30=0,0,($BD30-($BE30+$BF30))/$BD30*$NC30)),
                               IF(OR($BD30="",$BE30="",$BF30="",$EQ30="",$ER30="",$ES30="",$BD30="",$NC30=""),"",IF($BD30=0,0,
GuardLimitLower(
  ($BD30-($BE30+$BF30+$EQ30+$ER30+$ES30))/$BD30*$NC30,
  data_GuardLimitFlag,
  0)
)))</f>
        <v>0</v>
      </c>
      <c r="OI30" s="215">
        <f>IF($NQ$25="","",IF($NC30=0,"",$NC30))</f>
        <v>21.060609920000001</v>
      </c>
      <c r="OJ30" s="218">
        <f>IF(OR($CA30="",$BV30=""),"",IF($BV30=0,0,$CA30/$BV30))</f>
        <v>0.22490038102293131</v>
      </c>
      <c r="OK30" s="218">
        <f>IF(OR($CC30="",$BV30=""),"",IF($BV30=0,0,$CC30/$BV30))</f>
        <v>0.19971478644125296</v>
      </c>
      <c r="OL30" s="218">
        <f>IF(OR($FO30="",$FH30=""),"",IF($FH30=0,0,$FO30/$FH30))</f>
        <v>1.5268427185701703E-2</v>
      </c>
      <c r="OM30" s="218">
        <f>IF(OR($FP30="",$FH30=""),"",IF($FH30=0,0,$FP30/$FH30))</f>
        <v>2.428110785800364E-2</v>
      </c>
      <c r="ON30" s="217">
        <f t="shared" ref="ON30:ON41" si="36">IF(OR($BW30="",$BX30="",$BV30=""),"",IF($BV30=0,0,AVERAGE($BW30,$BX30)/$BV30))</f>
        <v>0.22311613773289588</v>
      </c>
      <c r="OO30" s="210"/>
      <c r="OP30" s="210"/>
      <c r="OQ30" s="218">
        <f>IF(OR($FM30="",$FH30=""),"",IF($FH30=0,0,$FM30/$FH30))</f>
        <v>0.15055417814595276</v>
      </c>
      <c r="OR30" s="218">
        <f>IF(OR($FN30="",$FH30=""),"",IF($FH30=0,0,$FN30/$FH30))</f>
        <v>0.14851483566277188</v>
      </c>
      <c r="OS30" s="218">
        <f t="shared" ref="OS30:OS41" si="37">IF(OR($CB30="",$CA30=""),"",IF($CA30=0,0,
GuardLimitUpper(
  $CB30/($CA30*16),
  data_GuardLimitFlag,
  1)
))</f>
        <v>0.92299039493834578</v>
      </c>
      <c r="OT30" s="218">
        <f t="shared" ref="OT30:OT41" si="38">IF(OR($CD30="",$CC30=""),"",IF($CC30=0,0,
GuardLimitUpper(
  $CD30/($CC30*16),
  data_GuardLimitFlag,
  1)
))</f>
        <v>0.99824854180597222</v>
      </c>
      <c r="OU30" s="209">
        <f t="shared" ref="OU30:OU41" si="39">IF(OR($KH30="",$KJ30=""),"",IF($KJ30=0,0,$KH30/($KJ30*16)))</f>
        <v>1.0000000009855581</v>
      </c>
      <c r="OV30" s="209">
        <f t="shared" ref="OV30:OV41" si="40">IF(OR($KI30="",$KK30=""),"",IF($KK30=0,0,$KI30/($KK30*16)))</f>
        <v>0.99999999932496197</v>
      </c>
      <c r="OW30" s="209">
        <f>IF(OR($BZ30="",$BV30=""),"",IF($BV30=0,0,$BZ30/$BV30))</f>
        <v>9.1701341649409619E-3</v>
      </c>
      <c r="OX30" s="219">
        <f t="shared" ref="OX30:OX41" si="41">IF(OR($GG30="",$AS30=""),"",IF($AS30=0,0,$GG30/$AS30))</f>
        <v>1.7192019269013299E-8</v>
      </c>
      <c r="OY30" s="208">
        <f>IF(OR($DJ30="",$DK30=""),"",$DJ30+$DK30)</f>
        <v>6328076728</v>
      </c>
      <c r="OZ30" s="208">
        <f t="shared" ref="OZ30:OZ41" si="42">IF($CP30="","",$CP30)</f>
        <v>467648962</v>
      </c>
      <c r="PA30" s="209">
        <f>IF(OR($OZ30="",$OY30=""),"",IF($OY30=0,0,$OZ30/$OY30))</f>
        <v>7.3900646610490978E-2</v>
      </c>
      <c r="PB30" s="209">
        <f>IF(OR($CQ30="",$OZ30=""),"",IF($OZ30=0,0,
GuardLimitUpper(
  ($OZ30-$CQ30)/$OZ30,
  data_GuardLimitFlag,
  1)
))</f>
        <v>3.2556167632421688E-2</v>
      </c>
      <c r="PC30" s="209">
        <f t="shared" ref="PC30:PC41" si="43">IF(OR($GB30="",$OZ30=""),"",IF($OZ30=0,0,
GuardLimitUpper(
  $GB30/($OZ30),
  data_GuardLimitFlag,
  1)
))</f>
        <v>0.95597813387213293</v>
      </c>
      <c r="PD30" s="209">
        <f t="shared" ref="PD30:PD41" si="44">IF(OR($CQ30="",$GB30="",$OZ30=""),"",IF($OZ30=0,0,
GuardLimitUpper(
  ($CQ30-$GB30)/$OZ30,
  data_GuardLimitFlag,
  1)
))</f>
        <v>1.1465698495445393E-2</v>
      </c>
      <c r="PE30" s="208">
        <f>IF($OY$25="","",IF(OR($AO30="",$AQ30="",$AR30=""),"",$AO30-$AQ30-$AR30))</f>
        <v>462873956</v>
      </c>
      <c r="PF30" s="209">
        <f>IF(OR($PE30="",$OY30=""),"",IF($OY30=0,0,$PE30/$OY30))</f>
        <v>7.3146072005086465E-2</v>
      </c>
      <c r="PG30" s="209">
        <f t="shared" ref="PG30:PG41" si="45">IF($O$7="Lv2",IF(OR($CS30="",$CO30="",$PE30=""),"",IF($PE30=0,0,($CS30-$CO30)/$PE30)),
                             IF(OR($CS30="",$CO30="",$GH30="",$GC30=""),"",IF($CS30-$CO30+$GC30-$GH30=0,0,
GuardLimitUpper(
  GuardLimitLower(
  ($CS30-$CO30)/($CS30-$CO30+$GC30-$GH30),
    data_GuardLimitFlag,
    0),
  data_GuardLimitFlag,
  1)
)))</f>
        <v>3.6752851972671065E-2</v>
      </c>
      <c r="PH30" s="209">
        <f t="shared" ref="PH30:PH41" si="46">IF(OR($GD30="",$CS30="",$CO30="",$GC30="",$GH30=""),"",IF($CS30-$CO30+$GC30-$GH30=0,0,
GuardLimitUpper(
  $GD30/($CS30-$CO30+$GC30-$GH30),
  data_GuardLimitFlag,
  1)
))</f>
        <v>0.96526621824991732</v>
      </c>
      <c r="PI30" s="209">
        <f t="shared" ref="PI30:PI41" si="47">IF(OR($GC30="",$GH30="",$GD30="",$CS30="",$CO30=""),"",IF($CS30-$CO30+$GC30-$GH30=0,0,
GuardLimitUpper(
  GuardLimitLower(
  ($GC30-$GH30-$GD30)/($CS30-$CO30+$GC30-$GH30),
    data_GuardLimitFlag,
    0),
  data_GuardLimitFlag,
  1)
))</f>
        <v>0</v>
      </c>
      <c r="PJ30" s="220">
        <f t="shared" ref="PJ30:PJ41" si="48">IF(OR($GE30="",$OY30=""),"",IF($OY30=0,0,$GE30/$OY30))</f>
        <v>6.8140766702789578E-7</v>
      </c>
      <c r="PK30" s="220">
        <f t="shared" ref="PK30:PK41" si="49">IF(OR($GF30="",$OY30=""),"",IF($OY30=0,0,$GF30/$OY30))</f>
        <v>6.3210358722439306E-10</v>
      </c>
      <c r="PL30" s="221">
        <f>IF($O$8="Lv2",  IF($DL30="","",IF($CT30="",$DL30,
GuardLimitLower(
  $DL30-$CT30,
  data_GuardLimitFlag,
  0)
)),
                               IF(OR($DL30="",$HQ30="",$GS30="",$HR30="",$HK30="",$CT30="",$GU30=""),"",
GuardLimitLower(
  ($DL30-$HQ30)-($GS30+$HR30+$HK30+$CT30+$GU30),
  data_GuardLimitFlag,
  0)
))</f>
        <v>157660000</v>
      </c>
      <c r="PM30" s="221">
        <f t="shared" ref="PM30:PM41" si="50">IF($O$8="Lv2", "",IF($HK30="","",$HK30))</f>
        <v>0</v>
      </c>
      <c r="PN30" s="221">
        <f>IF($CT30="","",$CT30)</f>
        <v>945960000</v>
      </c>
      <c r="PO30" s="221">
        <f t="shared" ref="PO30:PO41" si="51">IF($O$8="Lv2", "",IF($HR30="","",$HR30))</f>
        <v>0</v>
      </c>
      <c r="PP30" s="221">
        <f t="shared" ref="PP30:PP41" si="52">IF($O$8="Lv2","",IF($GS30="","",IF($IU30="",$GS30,
GuardLimitLower(
  $GS30-$IU30,
  data_GuardLimitFlag,
  0)
)))</f>
        <v>0</v>
      </c>
      <c r="PQ30" s="529">
        <f>IF($O$8="Lv2","",IF($IU30="","",$IU30))</f>
        <v>0</v>
      </c>
      <c r="PR30" s="221">
        <f t="shared" ref="PR30:PR41" si="53">IF($O$8="Lv2", "",IF($GU30="","",$GU30))</f>
        <v>0</v>
      </c>
      <c r="PS30" s="221">
        <f t="shared" ref="PS30:PS41" si="54">IF($O$8="Lv2",IF(OR($DJ30="",$DL30=""),"",$DJ30-$DL30),
                             IF(OR($DJ30="",$DL30="",$HQ30=""),"",$DJ30-($DL30-$HQ30)))</f>
        <v>3547476074</v>
      </c>
      <c r="PT30" s="221">
        <f>IF($O$8="Lv2",  IF($DM30="","",IF($CU30="",$DM30,
GuardLimitLower(
  $DM30-$CU30,
  data_GuardLimitFlag,
  0)
)),
                               IF(OR($DM30="",$HO30="",$GT30="",$HL30="",$CU30=""),"",
GuardLimitLower(
  ($DM30-$HO30)-($GT30+$HL30+$CU30),
  data_GuardLimitFlag,
  0)
))</f>
        <v>21504000</v>
      </c>
      <c r="PU30" s="221">
        <f t="shared" ref="PU30:PU41" si="55">IF($O$8="Lv2", "",IF($HL30="","",$HL30))</f>
        <v>0</v>
      </c>
      <c r="PV30" s="221">
        <f>IF($CU30="","",$CU30)</f>
        <v>472980000</v>
      </c>
      <c r="PW30" s="221">
        <f t="shared" ref="PW30:PW41" si="56">IF($O$8="Lv2","",IF($GT30="","",IF($IV30="",$GT30,
GuardLimitLower(
  $GT30-$IV30,
  data_GuardLimitFlag,
  0)
)))</f>
        <v>0</v>
      </c>
      <c r="PX30" s="221">
        <f>IF($O$8="Lv2","",IF($IV30="","",$IV30))</f>
        <v>0</v>
      </c>
      <c r="PY30" s="221">
        <f t="shared" ref="PY30:PY41" si="57">IF($O$8="Lv2",IF(OR($DK30="",$DM30=""),"",$DK30-$DM30),
                             IF(OR($DK30="",$DM30="",$HO30=""),"",$DK30-($DM30-$HO30)))</f>
        <v>1182496654</v>
      </c>
      <c r="PZ30" s="221">
        <f t="shared" ref="PZ30:PZ41" si="58">IF($O$8="Lv2","",IF($GW30="","",$GW30))</f>
        <v>0</v>
      </c>
      <c r="QA30" s="221">
        <f t="shared" ref="QA30:QA41" si="59">IF($O$8="Lv2","",IF($GV30="","",$GV30))</f>
        <v>0</v>
      </c>
      <c r="QB30" s="221">
        <f t="shared" ref="QB30:QB41" si="60">IF($O$8="Lv2","",IF(OR($DN30="",$GV30="",$GW30=""),"",
GuardLimitLower(
  $DN30-($GV30+$GW30),
  data_GuardLimitFlag,
  0)
))</f>
        <v>5362041</v>
      </c>
      <c r="QC30" s="221">
        <f t="shared" ref="QC30:QC41" si="61">IF($O$8="Lv2","",IF($GX30="","",$GX30))</f>
        <v>8</v>
      </c>
      <c r="QD30" s="221">
        <f>IF(OR($DG30="",$DH30="",$DI30=""),"",$DG30-($DH30+$DI30))</f>
        <v>6664786000</v>
      </c>
      <c r="QE30" s="221">
        <f>IF($DH30="","",$DH30)</f>
        <v>6650444000</v>
      </c>
      <c r="QF30" s="221">
        <f>IF($DI30="","",$DI30)</f>
        <v>508816000</v>
      </c>
      <c r="QG30" s="222">
        <f t="shared" ref="QG30:QG41" si="62">IF($O$8="Lv2","",IF($HM30="","",$HM30))</f>
        <v>0</v>
      </c>
      <c r="QH30" s="222">
        <f t="shared" ref="QH30:QH41" si="63">IF($O$8="Lv2","",IF($HN30="","",$HN30))</f>
        <v>1282822009</v>
      </c>
      <c r="QI30" s="222">
        <f t="shared" ref="QI30:QI41" si="64">IF($O$8="Lv2","",IF($GY30="","",$GY30))</f>
        <v>329660032</v>
      </c>
      <c r="QJ30" s="222">
        <f t="shared" ref="QJ30:QJ41" si="65">IF($O$8="Lv2","",IF($GZ30="","",$GZ30))</f>
        <v>604709259</v>
      </c>
      <c r="QK30" s="222">
        <f t="shared" ref="QK30:QK41" si="66">IF($O$8="Lv2","",IF($HP30="","",$HP30))</f>
        <v>2017</v>
      </c>
      <c r="QL30" s="222">
        <f>IF($O$8="Lv2","",IF($JA30="","",$JA30))</f>
        <v>0</v>
      </c>
      <c r="QM30" s="222">
        <f>IF(OR($O$8="Lv2",$O$8="Lv3",$O$8="Lv4"),IF(OR($AS30="",COUNT($PL30:$QL30)=0),"",
GuardLimitLower(
  $AS30-SUM($PL30:$QL30),
  data_GuardLimitFlag,
  0)
),"")</f>
        <v>2985926334</v>
      </c>
      <c r="QN30" s="222">
        <f>IF(OR($O$8="Lv2",$O$8="Lv3",$O$8="Lv4"),IF($AS30="","",$AS30),"")</f>
        <v>25360604428</v>
      </c>
      <c r="QO30" s="222">
        <f>IF(OR($EU30="",$C$11="",$EW30="",$AM30="",$AN30=""),"",$EU30*$C$11+$EW30)</f>
        <v>61344368000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2.7915467866857693</v>
      </c>
      <c r="QS30" s="209">
        <f t="shared" ref="QS30:QS41" si="68">IF(OR($KG30="",$KF30="",$KE30=""),"",IF($KG30+$KF30+$KE30=0,0,$KE30/($KG30+$KF30+$KE30)))</f>
        <v>0</v>
      </c>
      <c r="QT30" s="209">
        <f t="shared" ref="QT30:QT41" si="69">IF(OR($KG30="",$KF30="",$KE30=""),"",IF($KG30+$KF30+$KE30=0,0,$KF30/($KG30+$KF30+$KE30)))</f>
        <v>0.75043606374011074</v>
      </c>
      <c r="QU30" s="209">
        <f t="shared" ref="QU30:QU41" si="70">IF(OR($KG30="",$KF30="",$KE30=""),"",IF($KG30+$KF30+$KE30=0,0,$KG30/($KG30+$KF30+$KE30)))</f>
        <v>0.24956393625988926</v>
      </c>
      <c r="QV30" s="208">
        <f t="shared" ref="QV30:QV41" si="71">IF($IC30="","",$IC30)</f>
        <v>27797246380</v>
      </c>
      <c r="QW30" s="208">
        <f t="shared" ref="QW30:QW41" si="72">IF($IY30="","",$IY30)</f>
        <v>516005000</v>
      </c>
      <c r="QX30" s="208">
        <f t="shared" ref="QX30:QX41" si="73">IF($IZ30="","",$IZ30)</f>
        <v>157662001</v>
      </c>
      <c r="QY30" s="208">
        <f t="shared" ref="QY30:QY41" si="74">IF($IW30="","",$IW30)</f>
        <v>1017640000</v>
      </c>
      <c r="QZ30" s="208">
        <f t="shared" ref="QZ30:QZ41" si="75">IF($IX30="","",$IX30)</f>
        <v>0</v>
      </c>
      <c r="RA30" s="209">
        <f>IF(OR($IF30="",$IC30=""),"",IF($IC30=0,0,
GuardLimitUpper(
  $IF30/$IC30,
  data_GuardLimitFlag,
  1)
))</f>
        <v>0.99999928503709579</v>
      </c>
      <c r="RB30" s="209">
        <f t="shared" ref="RB30:RB41" si="76">IF(OR($IG30="",$GZ30=""),"",IF($GZ30=0,0,$IG30/$GZ30))</f>
        <v>7.451266427524636E-2</v>
      </c>
      <c r="RC30" s="209">
        <f t="shared" ref="RC30:RC41" si="77">IF(OR($JM30="",$JN30="",$JO30="",$JP30="",$JQ30="",$JR30="",$JS30=""),"",IF($JM30+$JN30+$JO30+$JP30+$JQ30+$JR30+$JS30=0,0,$JM30/($JM30+$JN30+$JO30+$JP30+$JQ30+$JR30+$JS30)))</f>
        <v>0.4976905928622361</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0.45804410416704916</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4.4265302970714737E-2</v>
      </c>
      <c r="RJ30" s="223" t="s">
        <v>854</v>
      </c>
      <c r="RK30" s="222">
        <f>IF(OR(COUNT($LO30:$LO41)=0,$C$8="",$NC$42=""),"",IF($NC$42=0,0,AVERAGE($LO30:$LO41)*$C$8/10^9/$NC$42))</f>
        <v>67.455841047676287</v>
      </c>
      <c r="RL30" s="222">
        <f>IF(COUNT($RK45:$RK56)=0,"",AVERAGE($RK45:$RK56))</f>
        <v>0</v>
      </c>
      <c r="RM30" s="224"/>
      <c r="RN30" s="224"/>
      <c r="RO30" s="224"/>
      <c r="RP30" s="222">
        <f>IF(OR(COUNT($LP30:$LP41)=0,$C$8="",$NC$42=""),"",IF($NC$42=0,0,AVERAGE($LP30:$LP41)*$C$8/10^9/$NC$42))</f>
        <v>7.517218911000002E-6</v>
      </c>
      <c r="RQ30" s="222">
        <f>IF(OR(COUNT($LQ30:$LQ41)=0,$C$8="",$NC$42=""),"",IF($NC$42=0,0,AVERAGE($LQ30:$LQ41)*$C$8/10^9/$NC$42))</f>
        <v>0</v>
      </c>
      <c r="RR30" s="222">
        <f t="shared" ref="RR30:RR41" si="84">IF($FJ30="","",IF($NC30=0,0,$FJ30*8/10^9/$NC30))</f>
        <v>1.913612880590307</v>
      </c>
      <c r="RS30" s="224"/>
      <c r="RT30" s="224"/>
      <c r="RU30" s="208">
        <f>IF(OR($AK30="",$C$4=""),"",$AK30/$C$4)</f>
        <v>21.060609920000001</v>
      </c>
      <c r="RV30" s="208">
        <f>IF(OR($AL30="",$AL30=""),"",IF($AL30=0,0,$AL30/$AL30))</f>
        <v>1</v>
      </c>
      <c r="RW30" s="208">
        <f>IF(OR($BD30="",$AL30=""),"",IF($AL30=0,0,$BD30/$AL30))</f>
        <v>0.99988864369114205</v>
      </c>
      <c r="RX30" s="208">
        <f>IF(OR($BV30="",$AL30=""),"",IF($AL30=0,0,$BV30/$AL30))</f>
        <v>1.0000405429752373</v>
      </c>
      <c r="RY30" s="208">
        <f>IF(OR($CN30="",$AL30=""),"",IF($AL30=0,0,$CN30/$AL30))</f>
        <v>0.99991619966070633</v>
      </c>
      <c r="RZ30" s="208">
        <f t="shared" ref="RZ30:RZ41" si="85">IF(OR($DF30="",$AL30=""),"",IF($AL30=0,0,$DF30/$AL30))</f>
        <v>0.99999780662120008</v>
      </c>
      <c r="SA30" s="208">
        <f t="shared" ref="SA30:SA41" si="86">IF(OR($DX30="",$AL30=""),"",IF($AL30=0,0,$DX30/$AL30))</f>
        <v>1.0000529530497242</v>
      </c>
      <c r="SB30" s="208">
        <f t="shared" ref="SB30:SB41" si="87">IF(OR($EP30="",$AL30=""),"",IF($AL30=0,0,$EP30/$AL30))</f>
        <v>0.99974990636330885</v>
      </c>
      <c r="SC30" s="208">
        <f t="shared" ref="SC30:SC41" si="88">IF(OR($FH30="",$AL30=""),"",IF($AL30=0,0,$FH30/$AL30))</f>
        <v>1.000026376704177</v>
      </c>
      <c r="SD30" s="208">
        <f t="shared" ref="SD30:SD41" si="89">IF(OR($FZ30="",$AL30=""),"",IF($AL30=0,0,$FZ30/$AL30))</f>
        <v>0.99989131694304767</v>
      </c>
      <c r="SE30" s="208">
        <f t="shared" ref="SE30:SE41" si="90">IF(OR($GR30="",$AL30=""),"",IF($AL30=0,0,$GR30/$AL30))</f>
        <v>0.99998070415436235</v>
      </c>
      <c r="SF30" s="208">
        <f t="shared" ref="SF30:SF41" si="91">IF(OR($HJ30="",$AL30=""),"",IF($AL30=0,0,$HJ30/$AL30))</f>
        <v>0.99994067895171701</v>
      </c>
      <c r="SG30" s="208">
        <f t="shared" ref="SG30:SG41" si="92">IF(OR($IB30="",$AL30=""),"",IF($AL30=0,0,$IB30/$AL30))</f>
        <v>1.0004364953308948</v>
      </c>
      <c r="SH30" s="208">
        <f t="shared" ref="SH30:SH41" si="93">IF(OR($JL30="",$AL30=""),"",IF($AL30=0,0,$JL30/$AL30))</f>
        <v>1.000113204124633</v>
      </c>
      <c r="SI30" s="208">
        <f t="shared" ref="SI30:SI41" si="94">IF(OR($IT30="",$AL30=""),"",IF($AL30=0,0,$IT30/$AL30))</f>
        <v>1.0003980183308891</v>
      </c>
      <c r="SJ30" s="208">
        <f t="shared" ref="SJ30:SJ41" si="95">IF(OR($KD30="",$AL30=""),"",IF($AL30=0,0,$KD30/$AL30))</f>
        <v>1.0003616789611796</v>
      </c>
      <c r="SK30" s="208">
        <f t="shared" ref="SK30:SK41" si="96">IF(OR($KV30="",$AL30=""),"",IF($AL30=0,0,$KV30/$AL30))</f>
        <v>0.99977907120490639</v>
      </c>
      <c r="SL30" s="208">
        <f t="shared" ref="SL30:SL41" si="97">IF(OR($LN30="",$AL30=""),"",IF($AL30=0,0,$LN30/$AL30))</f>
        <v>0.9999895413821378</v>
      </c>
      <c r="SM30" s="222">
        <f>IF($AJ30="","",$AJ30)</f>
        <v>1</v>
      </c>
      <c r="SN30" s="225">
        <f t="shared" ref="SN30:SN41" si="98">IF(OR($NC30="",$SM30=""),"",IF($SM30=0,0,$NC30/$SM30))</f>
        <v>21.060609920000001</v>
      </c>
      <c r="SO30" s="209">
        <f>IF(OR($OI30="",$OC30="",COUNT($OI$30:$OI$41)=0),"",IF(MAX($OI$30:$OI$41)=0,0,($OI30-$OC30)/MAX($OI$30:$OI$41)))</f>
        <v>0.99934667965796176</v>
      </c>
      <c r="SP30" s="209">
        <f>IF(OR($NH30="",COUNT($NH$30:$NH$41)=0),"",IF(MAX($NH$30:$NH$41)=0,0,$NH30/MAX($NH$30:$NH$41)))</f>
        <v>0.99999825730009295</v>
      </c>
      <c r="SQ30" s="222">
        <f>IF($AL30="","",$AL30)</f>
        <v>46333082094</v>
      </c>
      <c r="SR30" s="222">
        <f>IF($BD30="","",$BD30)</f>
        <v>46327922613</v>
      </c>
      <c r="SS30" s="222">
        <f>IF($BV30="","",$BV30)</f>
        <v>46334960575</v>
      </c>
      <c r="ST30" s="222">
        <f>IF($CN30="","",$CN30)</f>
        <v>46329199366</v>
      </c>
      <c r="SU30" s="222">
        <f>IF($DF30="","",$DF30)</f>
        <v>46332980468</v>
      </c>
      <c r="SV30" s="222">
        <f>IF($DX30="","",$DX30)</f>
        <v>46335535572</v>
      </c>
      <c r="SW30" s="222">
        <f>IF($EP30="","",$EP30)</f>
        <v>46321494485</v>
      </c>
      <c r="SX30" s="222">
        <f>IF($FH30="","",$FH30)</f>
        <v>46334304208</v>
      </c>
      <c r="SY30" s="222">
        <f>IF($FZ30="","",$FZ30)</f>
        <v>46328046473</v>
      </c>
      <c r="SZ30" s="222">
        <f>IF($GR30="","",$GR30)</f>
        <v>46332188058</v>
      </c>
      <c r="TA30" s="222">
        <f>IF($HJ30="","",$HJ30)</f>
        <v>46330333567</v>
      </c>
      <c r="TB30" s="222">
        <f>IF($IB30="","",$IB30)</f>
        <v>46353306268</v>
      </c>
      <c r="TC30" s="222">
        <f t="shared" ref="TC30:TC41" si="99">IF($JL30="","",$JL30)</f>
        <v>46338327190</v>
      </c>
      <c r="TD30" s="222">
        <f>IF($IT30="","",$IT30)</f>
        <v>46351523510</v>
      </c>
      <c r="TE30" s="222">
        <f>IF($KD30="","",$KD30)</f>
        <v>46349839795</v>
      </c>
      <c r="TF30" s="222">
        <f>IF($KV30="","",$KV30)</f>
        <v>46322845782</v>
      </c>
      <c r="TG30" s="222">
        <f>IF($LN30="","",$LN30)</f>
        <v>46332597514</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x14ac:dyDescent="0.25">
      <c r="AB31" s="254">
        <v>1</v>
      </c>
      <c r="AC31" s="430" t="s">
        <v>1974</v>
      </c>
      <c r="AD31" s="430" t="s">
        <v>1964</v>
      </c>
      <c r="AE31" s="430">
        <v>0</v>
      </c>
      <c r="AF31" s="430">
        <v>0</v>
      </c>
      <c r="AG31" s="430">
        <v>1</v>
      </c>
      <c r="AH31" s="430" t="s">
        <v>1975</v>
      </c>
      <c r="AI31" s="430">
        <v>1</v>
      </c>
      <c r="AJ31" s="430">
        <v>1</v>
      </c>
      <c r="AK31" s="594">
        <v>2103178464</v>
      </c>
      <c r="AL31" s="594">
        <v>46269666190</v>
      </c>
      <c r="AM31" s="430">
        <v>11967860000</v>
      </c>
      <c r="AN31" s="430">
        <v>13472928000</v>
      </c>
      <c r="AO31" s="430">
        <v>466744761</v>
      </c>
      <c r="AP31" s="430">
        <v>209097822</v>
      </c>
      <c r="AQ31" s="595">
        <v>3409022</v>
      </c>
      <c r="AR31" s="595">
        <v>664488</v>
      </c>
      <c r="AS31" s="594">
        <v>25360604705</v>
      </c>
      <c r="AT31" s="594">
        <v>7209421049</v>
      </c>
      <c r="AU31" s="430" t="s">
        <v>1974</v>
      </c>
      <c r="AV31" s="430" t="s">
        <v>1964</v>
      </c>
      <c r="AW31" s="430">
        <v>0</v>
      </c>
      <c r="AX31" s="430">
        <v>0</v>
      </c>
      <c r="AY31" s="430">
        <v>1</v>
      </c>
      <c r="AZ31" s="430" t="s">
        <v>1975</v>
      </c>
      <c r="BA31" s="430">
        <v>1</v>
      </c>
      <c r="BB31" s="430">
        <v>1</v>
      </c>
      <c r="BC31" s="430">
        <v>2103425440</v>
      </c>
      <c r="BD31" s="430">
        <v>46275103750</v>
      </c>
      <c r="BE31" s="430">
        <v>34344943949</v>
      </c>
      <c r="BF31" s="595">
        <v>5875096776</v>
      </c>
      <c r="BG31" s="430">
        <v>8986855344</v>
      </c>
      <c r="BH31" s="595">
        <v>339818</v>
      </c>
      <c r="BI31" s="430">
        <v>23122929808</v>
      </c>
      <c r="BJ31" s="430">
        <v>239778923</v>
      </c>
      <c r="BK31" s="430">
        <v>0</v>
      </c>
      <c r="BL31" s="430">
        <v>0</v>
      </c>
      <c r="BM31" s="430" t="s">
        <v>1974</v>
      </c>
      <c r="BN31" s="430" t="s">
        <v>1964</v>
      </c>
      <c r="BO31" s="430">
        <v>0</v>
      </c>
      <c r="BP31" s="430">
        <v>0</v>
      </c>
      <c r="BQ31" s="430">
        <v>1</v>
      </c>
      <c r="BR31" s="430" t="s">
        <v>1975</v>
      </c>
      <c r="BS31" s="430">
        <v>1</v>
      </c>
      <c r="BT31" s="430">
        <v>1</v>
      </c>
      <c r="BU31" s="430">
        <v>2102782848</v>
      </c>
      <c r="BV31" s="430">
        <v>46260601700</v>
      </c>
      <c r="BW31" s="594">
        <v>9053681326</v>
      </c>
      <c r="BX31" s="594">
        <v>11614048167</v>
      </c>
      <c r="BY31" s="430">
        <v>21695704277</v>
      </c>
      <c r="BZ31" s="430">
        <v>424138900</v>
      </c>
      <c r="CA31" s="430">
        <v>10420027847</v>
      </c>
      <c r="CB31" s="430">
        <v>153887522466</v>
      </c>
      <c r="CC31" s="430">
        <v>9253927603</v>
      </c>
      <c r="CD31" s="430">
        <v>147804043362</v>
      </c>
      <c r="CE31" s="430" t="s">
        <v>1974</v>
      </c>
      <c r="CF31" s="430" t="s">
        <v>1964</v>
      </c>
      <c r="CG31" s="430">
        <v>0</v>
      </c>
      <c r="CH31" s="430">
        <v>0</v>
      </c>
      <c r="CI31" s="430">
        <v>1</v>
      </c>
      <c r="CJ31" s="430" t="s">
        <v>1975</v>
      </c>
      <c r="CK31" s="430">
        <v>1</v>
      </c>
      <c r="CL31" s="430">
        <v>1</v>
      </c>
      <c r="CM31" s="430">
        <v>2102941856</v>
      </c>
      <c r="CN31" s="430">
        <v>46264542208</v>
      </c>
      <c r="CO31" s="430">
        <v>3374269</v>
      </c>
      <c r="CP31" s="430">
        <v>467686546</v>
      </c>
      <c r="CQ31" s="430">
        <v>452926760</v>
      </c>
      <c r="CR31" s="430">
        <v>466447254</v>
      </c>
      <c r="CS31" s="430">
        <v>20351735</v>
      </c>
      <c r="CT31" s="430">
        <v>945960000</v>
      </c>
      <c r="CU31" s="430">
        <v>472980000</v>
      </c>
      <c r="CV31" s="430">
        <v>663164</v>
      </c>
      <c r="CW31" s="430" t="s">
        <v>1974</v>
      </c>
      <c r="CX31" s="430" t="s">
        <v>1964</v>
      </c>
      <c r="CY31" s="430">
        <v>0</v>
      </c>
      <c r="CZ31" s="430">
        <v>0</v>
      </c>
      <c r="DA31" s="430">
        <v>1</v>
      </c>
      <c r="DB31" s="430" t="s">
        <v>1975</v>
      </c>
      <c r="DC31" s="430">
        <v>1</v>
      </c>
      <c r="DD31" s="430">
        <v>1</v>
      </c>
      <c r="DE31" s="430">
        <v>2103004864</v>
      </c>
      <c r="DF31" s="430">
        <v>46265893321</v>
      </c>
      <c r="DG31" s="430">
        <v>13824046000</v>
      </c>
      <c r="DH31" s="430">
        <v>6650444000</v>
      </c>
      <c r="DI31" s="430">
        <v>508816000</v>
      </c>
      <c r="DJ31" s="430">
        <v>4651095151</v>
      </c>
      <c r="DK31" s="430">
        <v>1676980272</v>
      </c>
      <c r="DL31" s="430">
        <v>4170875014</v>
      </c>
      <c r="DM31" s="430">
        <v>1676958014</v>
      </c>
      <c r="DN31" s="430">
        <v>5362040</v>
      </c>
      <c r="DO31" s="595" t="s">
        <v>1974</v>
      </c>
      <c r="DP31" s="595" t="s">
        <v>1964</v>
      </c>
      <c r="DQ31" s="595">
        <v>0</v>
      </c>
      <c r="DR31" s="595">
        <v>0</v>
      </c>
      <c r="DS31" s="595">
        <v>1</v>
      </c>
      <c r="DT31" s="595" t="s">
        <v>1975</v>
      </c>
      <c r="DU31" s="595">
        <v>1</v>
      </c>
      <c r="DV31" s="595">
        <v>1</v>
      </c>
      <c r="DW31" s="595">
        <v>2103869120</v>
      </c>
      <c r="DX31" s="595">
        <v>46284908073</v>
      </c>
      <c r="DY31" s="595">
        <v>542922462</v>
      </c>
      <c r="DZ31" s="595">
        <v>416513351</v>
      </c>
      <c r="EA31" s="595">
        <v>35527837</v>
      </c>
      <c r="EB31" s="430">
        <v>585633012</v>
      </c>
      <c r="EC31" s="595">
        <v>490718740</v>
      </c>
      <c r="ED31" s="595">
        <v>0</v>
      </c>
      <c r="EE31" s="595">
        <v>0</v>
      </c>
      <c r="EF31" s="595">
        <v>19187737117</v>
      </c>
      <c r="EG31" s="595" t="s">
        <v>1974</v>
      </c>
      <c r="EH31" s="595" t="s">
        <v>1964</v>
      </c>
      <c r="EI31" s="595">
        <v>0</v>
      </c>
      <c r="EJ31" s="595">
        <v>0</v>
      </c>
      <c r="EK31" s="595">
        <v>1</v>
      </c>
      <c r="EL31" s="595" t="s">
        <v>1975</v>
      </c>
      <c r="EM31" s="595">
        <v>1</v>
      </c>
      <c r="EN31" s="595">
        <v>1</v>
      </c>
      <c r="EO31" s="595">
        <v>2102761344</v>
      </c>
      <c r="EP31" s="595">
        <v>46260546563</v>
      </c>
      <c r="EQ31" s="595">
        <v>1801168053</v>
      </c>
      <c r="ER31" s="595">
        <v>1131807004</v>
      </c>
      <c r="ES31" s="430">
        <v>3122125215</v>
      </c>
      <c r="ET31" s="595">
        <v>2059883</v>
      </c>
      <c r="EU31" s="595">
        <v>11967860000</v>
      </c>
      <c r="EV31" s="595">
        <v>0</v>
      </c>
      <c r="EW31" s="595">
        <v>13472928000</v>
      </c>
      <c r="EX31" s="595">
        <v>0</v>
      </c>
      <c r="EY31" s="595" t="s">
        <v>1974</v>
      </c>
      <c r="EZ31" s="595" t="s">
        <v>1964</v>
      </c>
      <c r="FA31" s="595">
        <v>0</v>
      </c>
      <c r="FB31" s="595">
        <v>0</v>
      </c>
      <c r="FC31" s="595">
        <v>1</v>
      </c>
      <c r="FD31" s="595" t="s">
        <v>1975</v>
      </c>
      <c r="FE31" s="595">
        <v>1</v>
      </c>
      <c r="FF31" s="595">
        <v>1</v>
      </c>
      <c r="FG31" s="595">
        <v>2102822752</v>
      </c>
      <c r="FH31" s="595">
        <v>46261887901</v>
      </c>
      <c r="FI31" s="595">
        <v>2019</v>
      </c>
      <c r="FJ31" s="595">
        <v>5030049356</v>
      </c>
      <c r="FK31" s="595">
        <v>1558771514</v>
      </c>
      <c r="FL31" s="595">
        <v>612904044</v>
      </c>
      <c r="FM31" s="595">
        <v>6975418882</v>
      </c>
      <c r="FN31" s="595">
        <v>6882058701</v>
      </c>
      <c r="FO31" s="430">
        <v>708111115</v>
      </c>
      <c r="FP31" s="430">
        <v>1123395958</v>
      </c>
      <c r="FQ31" s="595" t="s">
        <v>1974</v>
      </c>
      <c r="FR31" s="595" t="s">
        <v>1964</v>
      </c>
      <c r="FS31" s="595">
        <v>0</v>
      </c>
      <c r="FT31" s="595">
        <v>0</v>
      </c>
      <c r="FU31" s="595">
        <v>1</v>
      </c>
      <c r="FV31" s="595" t="s">
        <v>1975</v>
      </c>
      <c r="FW31" s="595">
        <v>1</v>
      </c>
      <c r="FX31" s="595">
        <v>1</v>
      </c>
      <c r="FY31" s="595">
        <v>2102569024</v>
      </c>
      <c r="FZ31" s="595">
        <v>46256337771</v>
      </c>
      <c r="GA31" s="595">
        <v>452925912</v>
      </c>
      <c r="GB31" s="595">
        <v>447563163</v>
      </c>
      <c r="GC31" s="595">
        <v>446087911</v>
      </c>
      <c r="GD31" s="595">
        <v>446087911</v>
      </c>
      <c r="GE31" s="595">
        <v>3685</v>
      </c>
      <c r="GF31" s="595">
        <v>1</v>
      </c>
      <c r="GG31" s="595">
        <v>427</v>
      </c>
      <c r="GH31" s="595">
        <v>668310</v>
      </c>
      <c r="GI31" s="595" t="s">
        <v>1974</v>
      </c>
      <c r="GJ31" s="595" t="s">
        <v>1964</v>
      </c>
      <c r="GK31" s="595">
        <v>0</v>
      </c>
      <c r="GL31" s="595">
        <v>0</v>
      </c>
      <c r="GM31" s="595">
        <v>1</v>
      </c>
      <c r="GN31" s="595" t="s">
        <v>1975</v>
      </c>
      <c r="GO31" s="595">
        <v>1</v>
      </c>
      <c r="GP31" s="595">
        <v>1</v>
      </c>
      <c r="GQ31" s="595">
        <v>2103893120</v>
      </c>
      <c r="GR31" s="595">
        <v>46285452088</v>
      </c>
      <c r="GS31" s="595">
        <v>0</v>
      </c>
      <c r="GT31" s="595">
        <v>0</v>
      </c>
      <c r="GU31" s="595">
        <v>0</v>
      </c>
      <c r="GV31" s="595">
        <v>0</v>
      </c>
      <c r="GW31" s="595">
        <v>0</v>
      </c>
      <c r="GX31" s="595">
        <v>8</v>
      </c>
      <c r="GY31" s="595">
        <v>329660032</v>
      </c>
      <c r="GZ31" s="595">
        <v>604708910</v>
      </c>
      <c r="HA31" s="595" t="s">
        <v>1974</v>
      </c>
      <c r="HB31" s="595" t="s">
        <v>1964</v>
      </c>
      <c r="HC31" s="595">
        <v>0</v>
      </c>
      <c r="HD31" s="595">
        <v>0</v>
      </c>
      <c r="HE31" s="595">
        <v>1</v>
      </c>
      <c r="HF31" s="595" t="s">
        <v>1975</v>
      </c>
      <c r="HG31" s="595">
        <v>1</v>
      </c>
      <c r="HH31" s="595">
        <v>1</v>
      </c>
      <c r="HI31" s="595">
        <v>2103276864</v>
      </c>
      <c r="HJ31" s="595">
        <v>46271883556</v>
      </c>
      <c r="HK31" s="595">
        <v>0</v>
      </c>
      <c r="HL31" s="595">
        <v>0</v>
      </c>
      <c r="HM31" s="595">
        <v>0</v>
      </c>
      <c r="HN31" s="595">
        <v>1282822009</v>
      </c>
      <c r="HO31" s="595">
        <v>1182474019</v>
      </c>
      <c r="HP31" s="595">
        <v>2017</v>
      </c>
      <c r="HQ31" s="595">
        <v>3067255019</v>
      </c>
      <c r="HR31" s="595">
        <v>0</v>
      </c>
      <c r="HS31" s="595" t="s">
        <v>1974</v>
      </c>
      <c r="HT31" s="595" t="s">
        <v>1964</v>
      </c>
      <c r="HU31" s="595">
        <v>0</v>
      </c>
      <c r="HV31" s="595">
        <v>0</v>
      </c>
      <c r="HW31" s="595">
        <v>1</v>
      </c>
      <c r="HX31" s="595" t="s">
        <v>1975</v>
      </c>
      <c r="HY31" s="595">
        <v>1</v>
      </c>
      <c r="HZ31" s="595">
        <v>1</v>
      </c>
      <c r="IA31" s="595">
        <v>2104854592</v>
      </c>
      <c r="IB31" s="595">
        <v>46306518697</v>
      </c>
      <c r="IC31" s="595">
        <v>27797236443</v>
      </c>
      <c r="ID31" s="595">
        <v>679708772</v>
      </c>
      <c r="IE31" s="595">
        <v>0</v>
      </c>
      <c r="IF31" s="595">
        <v>27797217747</v>
      </c>
      <c r="IG31" s="595">
        <v>45064822</v>
      </c>
      <c r="IH31" s="595">
        <v>604719976</v>
      </c>
      <c r="II31" s="595">
        <v>0</v>
      </c>
      <c r="IJ31" s="595">
        <v>0</v>
      </c>
      <c r="IK31" s="595" t="s">
        <v>1974</v>
      </c>
      <c r="IL31" s="595" t="s">
        <v>1964</v>
      </c>
      <c r="IM31" s="595">
        <v>0</v>
      </c>
      <c r="IN31" s="595">
        <v>0</v>
      </c>
      <c r="IO31" s="595">
        <v>1</v>
      </c>
      <c r="IP31" s="595" t="s">
        <v>1975</v>
      </c>
      <c r="IQ31" s="595">
        <v>1</v>
      </c>
      <c r="IR31" s="595">
        <v>1</v>
      </c>
      <c r="IS31" s="595">
        <v>2102849536</v>
      </c>
      <c r="IT31" s="595">
        <v>46262511965</v>
      </c>
      <c r="IU31" s="595">
        <v>0</v>
      </c>
      <c r="IV31" s="595">
        <v>0</v>
      </c>
      <c r="IW31" s="595">
        <v>1017640000</v>
      </c>
      <c r="IX31" s="595">
        <v>0</v>
      </c>
      <c r="IY31" s="595">
        <v>516005000</v>
      </c>
      <c r="IZ31" s="595">
        <v>157662001</v>
      </c>
      <c r="JA31" s="595">
        <v>0</v>
      </c>
      <c r="JB31" s="595">
        <v>0</v>
      </c>
      <c r="JC31" s="595" t="s">
        <v>1974</v>
      </c>
      <c r="JD31" s="595" t="s">
        <v>1964</v>
      </c>
      <c r="JE31" s="595">
        <v>0</v>
      </c>
      <c r="JF31" s="595">
        <v>0</v>
      </c>
      <c r="JG31" s="595">
        <v>1</v>
      </c>
      <c r="JH31" s="595" t="s">
        <v>1975</v>
      </c>
      <c r="JI31" s="595">
        <v>1</v>
      </c>
      <c r="JJ31" s="595">
        <v>1</v>
      </c>
      <c r="JK31" s="595">
        <v>2104342272</v>
      </c>
      <c r="JL31" s="595">
        <v>46295354569</v>
      </c>
      <c r="JM31" s="595">
        <v>448246321</v>
      </c>
      <c r="JN31" s="595">
        <v>0</v>
      </c>
      <c r="JO31" s="595">
        <v>0</v>
      </c>
      <c r="JP31" s="595">
        <v>413206507</v>
      </c>
      <c r="JQ31" s="595">
        <v>0</v>
      </c>
      <c r="JR31" s="595">
        <v>0</v>
      </c>
      <c r="JS31" s="595">
        <v>39687304</v>
      </c>
      <c r="JT31" s="595">
        <v>0</v>
      </c>
      <c r="JU31" s="595" t="s">
        <v>1974</v>
      </c>
      <c r="JV31" s="595" t="s">
        <v>1964</v>
      </c>
      <c r="JW31" s="595">
        <v>0</v>
      </c>
      <c r="JX31" s="595">
        <v>0</v>
      </c>
      <c r="JY31" s="595">
        <v>1</v>
      </c>
      <c r="JZ31" s="595" t="s">
        <v>1975</v>
      </c>
      <c r="KA31" s="595">
        <v>1</v>
      </c>
      <c r="KB31" s="595">
        <v>1</v>
      </c>
      <c r="KC31" s="595">
        <v>2103491776</v>
      </c>
      <c r="KD31" s="595">
        <v>46276449272</v>
      </c>
      <c r="KE31" s="595">
        <v>0</v>
      </c>
      <c r="KF31" s="595">
        <v>2839530099</v>
      </c>
      <c r="KG31" s="595">
        <v>944310033</v>
      </c>
      <c r="KH31" s="595">
        <v>64951116592</v>
      </c>
      <c r="KI31" s="595">
        <v>47384277808</v>
      </c>
      <c r="KJ31" s="595">
        <v>4059444784</v>
      </c>
      <c r="KK31" s="595">
        <v>2961517363</v>
      </c>
      <c r="KL31" s="595">
        <v>0</v>
      </c>
      <c r="KM31" s="595" t="s">
        <v>1974</v>
      </c>
      <c r="KN31" s="595" t="s">
        <v>1964</v>
      </c>
      <c r="KO31" s="595">
        <v>0</v>
      </c>
      <c r="KP31" s="595">
        <v>0</v>
      </c>
      <c r="KQ31" s="595">
        <v>1</v>
      </c>
      <c r="KR31" s="595" t="s">
        <v>1975</v>
      </c>
      <c r="KS31" s="595">
        <v>1</v>
      </c>
      <c r="KT31" s="595">
        <v>1</v>
      </c>
      <c r="KU31" s="595">
        <v>2103281440</v>
      </c>
      <c r="KV31" s="595">
        <v>46271978434</v>
      </c>
      <c r="KW31" s="595">
        <v>5598995596</v>
      </c>
      <c r="KX31" s="595">
        <v>44818928</v>
      </c>
      <c r="KY31" s="595">
        <v>10937547</v>
      </c>
      <c r="KZ31" s="595">
        <v>25360573903</v>
      </c>
      <c r="LA31" s="595">
        <v>2506385428</v>
      </c>
      <c r="LB31" s="595">
        <v>225126</v>
      </c>
      <c r="LC31" s="595">
        <v>12389</v>
      </c>
      <c r="LD31" s="595">
        <v>14699</v>
      </c>
      <c r="LE31" s="595" t="s">
        <v>1974</v>
      </c>
      <c r="LF31" s="595" t="s">
        <v>1964</v>
      </c>
      <c r="LG31" s="595">
        <v>0</v>
      </c>
      <c r="LH31" s="595">
        <v>0</v>
      </c>
      <c r="LI31" s="595">
        <v>1</v>
      </c>
      <c r="LJ31" s="595" t="s">
        <v>1975</v>
      </c>
      <c r="LK31" s="595">
        <v>1</v>
      </c>
      <c r="LL31" s="595">
        <v>1</v>
      </c>
      <c r="LM31" s="595">
        <v>2103219040</v>
      </c>
      <c r="LN31" s="595">
        <v>46270603107</v>
      </c>
      <c r="LO31" s="595">
        <v>5544728847</v>
      </c>
      <c r="LP31" s="595">
        <v>618</v>
      </c>
      <c r="LQ31" s="595">
        <v>0</v>
      </c>
      <c r="LR31" s="595">
        <v>2506638043</v>
      </c>
      <c r="LS31" s="595">
        <v>68</v>
      </c>
      <c r="LT31" s="595">
        <v>0</v>
      </c>
      <c r="LU31" s="595">
        <v>5544601454</v>
      </c>
      <c r="LV31" s="595">
        <v>25117</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21.031784640000001</v>
      </c>
      <c r="ND31" s="208">
        <f t="shared" ref="ND31:ND40" si="103">IF(OR($NI31="",$NC31=""),"",IF($NC31=0,0,$NI31/10^9/$NC31))</f>
        <v>2.9167457279554951</v>
      </c>
      <c r="NE31" s="209">
        <f t="shared" si="15"/>
        <v>4.1431279522690621E-2</v>
      </c>
      <c r="NF31" s="208">
        <f t="shared" si="16"/>
        <v>8.1768088458326851</v>
      </c>
      <c r="NG31" s="210"/>
      <c r="NH31" s="211">
        <f t="shared" ref="NH31:NH41" si="104">IF($AS31="","",$AS31)</f>
        <v>25360604705</v>
      </c>
      <c r="NI31" s="208">
        <f t="shared" si="17"/>
        <v>61344368000</v>
      </c>
      <c r="NJ31" s="212">
        <f t="shared" ref="NJ31:NJ41" si="105">IF(OR($AT31="",$AS31=""),"",IF($AS31=0,0,$AT31/$AS31))</f>
        <v>0.2842763858694039</v>
      </c>
      <c r="NK31" s="213">
        <f t="shared" ref="NK31:NK41" si="106">IF(OR($AM31="",$C$11="",$AN31=""),"",IF($AM31*$C$11+$AN31=0,0,$AM31*$C$11/($AM31*$C$11+$AN31)))</f>
        <v>0.78037220955638498</v>
      </c>
      <c r="NL31" s="214">
        <f t="shared" si="18"/>
        <v>0.95841036705458227</v>
      </c>
      <c r="NM31" s="208">
        <f t="shared" ref="NM31:NM41" si="107">IF(OR($AS31="",$AL31=""),"",IF($AL31=0,0,$AS31/$AL31))</f>
        <v>0.54810433688585902</v>
      </c>
      <c r="NN31" s="208">
        <f t="shared" si="19"/>
        <v>1.2058227648816395</v>
      </c>
      <c r="NO31" s="215">
        <f t="shared" si="20"/>
        <v>1.5444544503685786E-4</v>
      </c>
      <c r="NP31" s="216">
        <f t="shared" ref="NP31:NP41" si="108">IF($O$5="Lv2","",IF(OR($EE31="",$BD31="",$NC31=""),"",IF($BD31=0,0,($EE31)/$BD31*$NC31)))</f>
        <v>0</v>
      </c>
      <c r="NQ31" s="215">
        <f t="shared" ref="NQ31:NQ41" si="109">IF($O$5="Lv2","",IF(OR($EC31="",$BD31="",$NC31=""),"",IF($BD31=0,0,$EC31/$BD31*$NC31)))</f>
        <v>0.22302901608280359</v>
      </c>
      <c r="NR31" s="215">
        <f t="shared" ref="NR31:NR41" si="110">IF($O$5="Lv2","",IF(OR($EB31="",$EC31="",$BD31="",$NC31=""),"",IF($BD31=0,0,($EB31-$EC31)/$BD31*$NC31)))</f>
        <v>4.3138023822720917E-2</v>
      </c>
      <c r="NS31" s="215">
        <f t="shared" si="21"/>
        <v>1.6147209967282326E-2</v>
      </c>
      <c r="NT31" s="215">
        <f t="shared" si="22"/>
        <v>7.5790996363007922E-3</v>
      </c>
      <c r="NU31" s="215">
        <f t="shared" si="23"/>
        <v>0.17315585773068537</v>
      </c>
      <c r="NV31" s="215">
        <f t="shared" ref="NV31:NV41" si="111">IF($O$5="Lv2","",IF(OR($BG31="",$EB31="",$DZ31="",$BH31="",$NT31="",$BD31="",$NC31=""),"",IF(OR($BD31=0,$NC31=0),0,
GuardLimitLower(
  ($BG31-($EB31+$DZ31+$BH31+$NT31*$BD31/$NC31))/$BD31*$NC31,
  data_GuardLimitFlag,
  0)
)))</f>
        <v>3.6212735471278474</v>
      </c>
      <c r="NW31" s="215">
        <f t="shared" si="24"/>
        <v>1.7885238170646798</v>
      </c>
      <c r="NX31" s="215">
        <f t="shared" si="25"/>
        <v>8.7207228524836857</v>
      </c>
      <c r="NY31" s="215">
        <f t="shared" si="26"/>
        <v>9.3620569439775974E-4</v>
      </c>
      <c r="NZ31" s="215">
        <f t="shared" si="27"/>
        <v>0.905953166432798</v>
      </c>
      <c r="OA31" s="215">
        <f t="shared" si="28"/>
        <v>0</v>
      </c>
      <c r="OB31" s="215">
        <f t="shared" si="29"/>
        <v>0.10897822502984973</v>
      </c>
      <c r="OC31" s="215">
        <f t="shared" si="30"/>
        <v>0</v>
      </c>
      <c r="OD31" s="215">
        <f t="shared" si="31"/>
        <v>2.6701997428150621</v>
      </c>
      <c r="OE31" s="215">
        <f t="shared" si="32"/>
        <v>0.81862114876715131</v>
      </c>
      <c r="OF31" s="215">
        <f t="shared" si="33"/>
        <v>0.51440016840959801</v>
      </c>
      <c r="OG31" s="215">
        <f t="shared" si="34"/>
        <v>1.4189890420503639</v>
      </c>
      <c r="OH31" s="215">
        <f t="shared" si="35"/>
        <v>0</v>
      </c>
      <c r="OI31" s="215">
        <f t="shared" ref="OI31:OI41" si="112">IF($NQ$25="","",IF($NC31=0,"",$NC31))</f>
        <v>21.031784640000001</v>
      </c>
      <c r="OJ31" s="218">
        <f t="shared" ref="OJ31:OJ41" si="113">IF(OR($CA31="",$BV31=""),"",IF($BV31=0,0,$CA31/$BV31))</f>
        <v>0.22524626710594645</v>
      </c>
      <c r="OK31" s="218">
        <f t="shared" ref="OK31:OK41" si="114">IF(OR($CC31="",$BV31=""),"",IF($BV31=0,0,$CC31/$BV31))</f>
        <v>0.20003906700158636</v>
      </c>
      <c r="OL31" s="218">
        <f t="shared" ref="OL31:OL41" si="115">IF(OR($FO31="",$FH31=""),"",IF($FH31=0,0,$FO31/$FH31))</f>
        <v>1.5306576258092862E-2</v>
      </c>
      <c r="OM31" s="218">
        <f t="shared" ref="OM31:OM41" si="116">IF(OR($FP31="",$FH31=""),"",IF($FH31=0,0,$FP31/$FH31))</f>
        <v>2.4283400634320343E-2</v>
      </c>
      <c r="ON31" s="217">
        <f t="shared" si="36"/>
        <v>0.22338370809604061</v>
      </c>
      <c r="OO31" s="210"/>
      <c r="OP31" s="210"/>
      <c r="OQ31" s="218">
        <f t="shared" ref="OQ31:OQ41" si="117">IF(OR($FM31="",$FH31=""),"",IF($FH31=0,0,$FM31/$FH31))</f>
        <v>0.15078111159076193</v>
      </c>
      <c r="OR31" s="218">
        <f t="shared" ref="OR31:OR41" si="118">IF(OR($FN31="",$FH31=""),"",IF($FH31=0,0,$FN31/$FH31))</f>
        <v>0.14876303180119974</v>
      </c>
      <c r="OS31" s="218">
        <f t="shared" si="37"/>
        <v>0.92302729852052001</v>
      </c>
      <c r="OT31" s="218">
        <f t="shared" si="38"/>
        <v>0.9982521050986225</v>
      </c>
      <c r="OU31" s="209">
        <f t="shared" si="39"/>
        <v>1.0000000007390173</v>
      </c>
      <c r="OV31" s="209">
        <f t="shared" si="40"/>
        <v>1</v>
      </c>
      <c r="OW31" s="209">
        <f t="shared" ref="OW31:OW41" si="119">IF(OR($BZ31="",$BV31=""),"",IF($BV31=0,0,$BZ31/$BV31))</f>
        <v>9.1684691597947801E-3</v>
      </c>
      <c r="OX31" s="219">
        <f t="shared" si="41"/>
        <v>1.6837137953410642E-8</v>
      </c>
      <c r="OY31" s="208">
        <f t="shared" ref="OY31:OY41" si="120">IF(OR($DJ31="",$DK31=""),"",$DJ31+$DK31)</f>
        <v>6328075423</v>
      </c>
      <c r="OZ31" s="208">
        <f t="shared" si="42"/>
        <v>467686546</v>
      </c>
      <c r="PA31" s="209">
        <f t="shared" ref="PA31:PA40" si="121">IF(OR($OZ31="",$OY31=""),"",IF($OY31=0,0,$OZ31/$OY31))</f>
        <v>7.3906601097096306E-2</v>
      </c>
      <c r="PB31" s="209">
        <f>IF(OR($CQ31="",$OZ31=""),"",IF($OZ31=0,0,
GuardLimitUpper(
  ($OZ31-$CQ31)/$OZ31,
  data_GuardLimitFlag,
  1)
))</f>
        <v>3.1559141750466348E-2</v>
      </c>
      <c r="PC31" s="209">
        <f t="shared" si="43"/>
        <v>0.95697249969640996</v>
      </c>
      <c r="PD31" s="209">
        <f t="shared" si="44"/>
        <v>1.1468358553123741E-2</v>
      </c>
      <c r="PE31" s="208">
        <f t="shared" ref="PE31:PE41" si="122">IF($OY$25="","",IF(OR($AO31="",$AQ31="",$AR31=""),"",$AO31-$AQ31-$AR31))</f>
        <v>462671251</v>
      </c>
      <c r="PF31" s="209">
        <f t="shared" ref="PF31:PF41" si="123">IF(OR($PE31="",$OY31=""),"",IF($OY31=0,0,$PE31/$OY31))</f>
        <v>7.3114054443532195E-2</v>
      </c>
      <c r="PG31" s="209">
        <f t="shared" si="45"/>
        <v>3.6716206074032039E-2</v>
      </c>
      <c r="PH31" s="209">
        <f t="shared" si="46"/>
        <v>0.96472911018702456</v>
      </c>
      <c r="PI31" s="209">
        <f t="shared" si="47"/>
        <v>0</v>
      </c>
      <c r="PJ31" s="220">
        <f t="shared" si="48"/>
        <v>5.8232554981985711E-7</v>
      </c>
      <c r="PK31" s="220">
        <f t="shared" si="49"/>
        <v>1.5802592939480518E-10</v>
      </c>
      <c r="PL31" s="221">
        <f t="shared" ref="PL31:PL41" si="124">IF($O$8="Lv2",  IF($DL31="","",IF($CT31="",$DL31,
GuardLimitLower(
  $DL31-$CT31,
  data_GuardLimitFlag,
  0)
)),
                               IF(OR($DL31="",$HQ31="",$GS31="",$HR31="",$HK31="",$CT31="",$GU31=""),"",
GuardLimitLower(
  ($DL31-$HQ31)-($GS31+$HR31+$HK31+$CT31+$GU31),
  data_GuardLimitFlag,
  0)
))</f>
        <v>157659995</v>
      </c>
      <c r="PM31" s="221">
        <f t="shared" si="50"/>
        <v>0</v>
      </c>
      <c r="PN31" s="221">
        <f t="shared" ref="PN31:PN41" si="125">IF($CT31="","",$CT31)</f>
        <v>945960000</v>
      </c>
      <c r="PO31" s="221">
        <f t="shared" si="51"/>
        <v>0</v>
      </c>
      <c r="PP31" s="221">
        <f t="shared" si="52"/>
        <v>0</v>
      </c>
      <c r="PQ31" s="529">
        <f t="shared" ref="PQ31:PQ41" si="126">IF($O$8="Lv2","",IF($IU31="","",$IU31))</f>
        <v>0</v>
      </c>
      <c r="PR31" s="221">
        <f t="shared" si="53"/>
        <v>0</v>
      </c>
      <c r="PS31" s="221">
        <f t="shared" si="54"/>
        <v>3547475156</v>
      </c>
      <c r="PT31" s="221">
        <f t="shared" ref="PT31:PT41" si="127">IF($O$8="Lv2",  IF($DM31="","",IF($CU31="",$DM31,
GuardLimitLower(
  $DM31-$CU31,
  data_GuardLimitFlag,
  0)
)),
                               IF(OR($DM31="",$HO31="",$GT31="",$HL31="",$CU31=""),"",
GuardLimitLower(
  ($DM31-$HO31)-($GT31+$HL31+$CU31),
  data_GuardLimitFlag,
  0)
))</f>
        <v>21503995</v>
      </c>
      <c r="PU31" s="221">
        <f t="shared" si="55"/>
        <v>0</v>
      </c>
      <c r="PV31" s="221">
        <f t="shared" ref="PV31:PV41" si="128">IF($CU31="","",$CU31)</f>
        <v>472980000</v>
      </c>
      <c r="PW31" s="221">
        <f t="shared" si="56"/>
        <v>0</v>
      </c>
      <c r="PX31" s="221">
        <f>IF($O$8="Lv2","",IF($IV31="","",$IV31))</f>
        <v>0</v>
      </c>
      <c r="PY31" s="221">
        <f t="shared" si="57"/>
        <v>1182496277</v>
      </c>
      <c r="PZ31" s="221">
        <f t="shared" si="58"/>
        <v>0</v>
      </c>
      <c r="QA31" s="221">
        <f t="shared" si="59"/>
        <v>0</v>
      </c>
      <c r="QB31" s="221">
        <f t="shared" si="60"/>
        <v>5362040</v>
      </c>
      <c r="QC31" s="221">
        <f t="shared" si="61"/>
        <v>8</v>
      </c>
      <c r="QD31" s="221">
        <f t="shared" ref="QD31:QD41" si="129">IF(OR($DG31="",$DH31="",$DI31=""),"",$DG31-($DH31+$DI31))</f>
        <v>6664786000</v>
      </c>
      <c r="QE31" s="221">
        <f t="shared" ref="QE31:QE41" si="130">IF($DH31="","",$DH31)</f>
        <v>6650444000</v>
      </c>
      <c r="QF31" s="221">
        <f t="shared" ref="QF31:QF41" si="131">IF($DI31="","",$DI31)</f>
        <v>508816000</v>
      </c>
      <c r="QG31" s="222">
        <f t="shared" si="62"/>
        <v>0</v>
      </c>
      <c r="QH31" s="222">
        <f t="shared" si="63"/>
        <v>1282822009</v>
      </c>
      <c r="QI31" s="222">
        <f t="shared" si="64"/>
        <v>329660032</v>
      </c>
      <c r="QJ31" s="222">
        <f t="shared" si="65"/>
        <v>604708910</v>
      </c>
      <c r="QK31" s="222">
        <f t="shared" si="66"/>
        <v>2017</v>
      </c>
      <c r="QL31" s="222">
        <f t="shared" ref="QL31:QL41" si="132">IF($O$8="Lv2","",IF($JA31="","",$JA31))</f>
        <v>0</v>
      </c>
      <c r="QM31" s="222">
        <f>IF(OR($O$8="Lv2",$O$8="Lv3",$O$8="Lv4"),IF(OR($AS31="",COUNT($PL31:$QL31)=0),"",
GuardLimitLower(
  $AS31-SUM($PL31:$QL31),
  data_GuardLimitFlag,
  0)
),"")</f>
        <v>2985928266</v>
      </c>
      <c r="QN31" s="222">
        <f t="shared" ref="QN31:QN41" si="133">IF(OR($O$8="Lv2",$O$8="Lv3",$O$8="Lv4"),IF($AS31="","",$AS31),"")</f>
        <v>25360604705</v>
      </c>
      <c r="QO31" s="222">
        <f t="shared" ref="QO31:QO41" si="134">IF(OR($EU31="",$C$11="",$EW31="",$AM31="",$AN31=""),"",$EU31*$C$11+$EW31)</f>
        <v>61344368000</v>
      </c>
      <c r="QP31" s="222">
        <f t="shared" ref="QP31:QP41" si="135">IF(OR($EV31="",$C$11="",$EX31="",$AM31="",$AN31=""),"",$EV31*$C$11+$EX31)</f>
        <v>0</v>
      </c>
      <c r="QQ31" s="222">
        <f t="shared" ref="QQ31:QQ41" si="136">IF(OR($AM31="",$EV31="",$EU31="",$C$11="",$AN31="",$EX31="",$EW31=""),"",($AM31-$EV31-$EU31)*$C$11+($AN31-$EX31-$EW31))</f>
        <v>0</v>
      </c>
      <c r="QR31" s="222">
        <f t="shared" si="67"/>
        <v>2.7954393437347109</v>
      </c>
      <c r="QS31" s="209">
        <f t="shared" si="68"/>
        <v>0</v>
      </c>
      <c r="QT31" s="209">
        <f t="shared" si="69"/>
        <v>0.75043606493467996</v>
      </c>
      <c r="QU31" s="209">
        <f t="shared" si="70"/>
        <v>0.24956393506532004</v>
      </c>
      <c r="QV31" s="208">
        <f t="shared" si="71"/>
        <v>27797236443</v>
      </c>
      <c r="QW31" s="208">
        <f t="shared" si="72"/>
        <v>516005000</v>
      </c>
      <c r="QX31" s="208">
        <f t="shared" si="73"/>
        <v>157662001</v>
      </c>
      <c r="QY31" s="208">
        <f t="shared" si="74"/>
        <v>1017640000</v>
      </c>
      <c r="QZ31" s="208">
        <f t="shared" si="75"/>
        <v>0</v>
      </c>
      <c r="RA31" s="209">
        <f t="shared" ref="RA31:RA41" si="137">IF(OR($IF31="",$IC31=""),"",IF($IC31=0,0,
GuardLimitUpper(
  $IF31/$IC31,
  data_GuardLimitFlag,
  1)
))</f>
        <v>0.99999932741515374</v>
      </c>
      <c r="RB31" s="209">
        <f t="shared" si="76"/>
        <v>7.4523165203568775E-2</v>
      </c>
      <c r="RC31" s="209">
        <f t="shared" si="77"/>
        <v>0.49742132780742698</v>
      </c>
      <c r="RD31" s="209">
        <f t="shared" si="78"/>
        <v>0</v>
      </c>
      <c r="RE31" s="209">
        <f t="shared" si="79"/>
        <v>0</v>
      </c>
      <c r="RF31" s="209">
        <f t="shared" si="80"/>
        <v>0.45853745974327553</v>
      </c>
      <c r="RG31" s="209">
        <f t="shared" si="81"/>
        <v>0</v>
      </c>
      <c r="RH31" s="209">
        <f t="shared" si="82"/>
        <v>0</v>
      </c>
      <c r="RI31" s="209">
        <f t="shared" si="83"/>
        <v>4.4041212449297505E-2</v>
      </c>
      <c r="RJ31" s="223" t="s">
        <v>72</v>
      </c>
      <c r="RK31" s="222">
        <f>IF(OR(COUNT(LR30:LR41)=0,$C$8="",$NC$42=""),"",IF($NC$42=0,0,AVERAGE(LR30:LR41)*$C$8/10^9/$NC$42))</f>
        <v>30.495177431523786</v>
      </c>
      <c r="RL31" s="222">
        <f>IF(COUNT($RL45:$RL56)=0,"",AVERAGE($RL45:$RL56))</f>
        <v>3.0765647637963373E-3</v>
      </c>
      <c r="RM31" s="224"/>
      <c r="RN31" s="224"/>
      <c r="RO31" s="224"/>
      <c r="RP31" s="222">
        <f>IF(OR(COUNT($LS30:$LS41)=0,$C$8="",$NC$42=""),"",IF($NC$42=0,0,AVERAGE($LS30:$LS41)*$C$8/10^9/$NC$42))</f>
        <v>8.2713735590291295E-7</v>
      </c>
      <c r="RQ31" s="222">
        <f>IF(OR(COUNT($LT30:$LT41)=0,$C$8="",$NC$42=""),"",IF($NC$42=0,0,AVERAGE($LT30:$LT41)*$C$8/10^9/$NC$42))</f>
        <v>0</v>
      </c>
      <c r="RR31" s="222">
        <f t="shared" si="84"/>
        <v>1.9133133748178204</v>
      </c>
      <c r="RS31" s="224"/>
      <c r="RT31" s="224"/>
      <c r="RU31" s="208">
        <f t="shared" ref="RU31:RU41" si="138">IF(OR($AK31="",$C$4=""),"",$AK31/$C$4)</f>
        <v>21.031784640000001</v>
      </c>
      <c r="RV31" s="208">
        <f t="shared" ref="RV31:RV41" si="139">IF(OR($AL31="",$AL31=""),"",IF($AL31=0,0,$AL31/$AL31))</f>
        <v>1</v>
      </c>
      <c r="RW31" s="208">
        <f t="shared" ref="RW31:RW41" si="140">IF(OR($BD31="",$AL31=""),"",IF($AL31=0,0,$BD31/$AL31))</f>
        <v>1.0001175188940779</v>
      </c>
      <c r="RX31" s="208">
        <f t="shared" ref="RX31:RX41" si="141">IF(OR($BV31="",$AL31=""),"",IF($AL31=0,0,$BV31/$AL31))</f>
        <v>0.99980409432904105</v>
      </c>
      <c r="RY31" s="208">
        <f t="shared" ref="RY31:RY41" si="142">IF(OR($CN31="",$AL31=""),"",IF($AL31=0,0,$CN31/$AL31))</f>
        <v>0.99988925828902764</v>
      </c>
      <c r="RZ31" s="208">
        <f t="shared" si="85"/>
        <v>0.99991845912644994</v>
      </c>
      <c r="SA31" s="208">
        <f t="shared" si="86"/>
        <v>1.0003294141552137</v>
      </c>
      <c r="SB31" s="208">
        <f t="shared" si="87"/>
        <v>0.99980290268439476</v>
      </c>
      <c r="SC31" s="208">
        <f t="shared" si="88"/>
        <v>0.99983189226029734</v>
      </c>
      <c r="SD31" s="208">
        <f t="shared" si="89"/>
        <v>0.99971194045478373</v>
      </c>
      <c r="SE31" s="208">
        <f t="shared" si="90"/>
        <v>1.0003411716422412</v>
      </c>
      <c r="SF31" s="208">
        <f t="shared" si="91"/>
        <v>1.0000479226712138</v>
      </c>
      <c r="SG31" s="208">
        <f t="shared" si="92"/>
        <v>1.0007964722902618</v>
      </c>
      <c r="SH31" s="208">
        <f t="shared" si="93"/>
        <v>1.0005551883364474</v>
      </c>
      <c r="SI31" s="208">
        <f t="shared" si="94"/>
        <v>0.99984537980086952</v>
      </c>
      <c r="SJ31" s="208">
        <f t="shared" si="95"/>
        <v>1.0001465988963947</v>
      </c>
      <c r="SK31" s="208">
        <f t="shared" si="96"/>
        <v>1.0000499732155081</v>
      </c>
      <c r="SL31" s="208">
        <f t="shared" si="97"/>
        <v>1.0000202490546648</v>
      </c>
      <c r="SM31" s="222">
        <f t="shared" ref="SM31:SM41" si="143">IF($AJ31="","",$AJ31)</f>
        <v>1</v>
      </c>
      <c r="SN31" s="225">
        <f t="shared" si="98"/>
        <v>21.031784640000001</v>
      </c>
      <c r="SO31" s="209">
        <f t="shared" ref="SO31:SO40" si="144">IF(OR($OI31="",$OC31="",COUNT($OI$30:$OI$41)=0),"",IF(MAX($OI$30:$OI$41)=0,0,($OI31-$OC31)/MAX($OI$30:$OI$41)))</f>
        <v>0.99797889173692655</v>
      </c>
      <c r="SP31" s="209">
        <f t="shared" ref="SP31:SP40" si="145">IF(OR($NH31="",COUNT($NH$30:$NH$41)=0),"",IF(MAX($NH$30:$NH$41)=0,0,$NH31/MAX($NH$30:$NH$41)))</f>
        <v>0.99999826822252647</v>
      </c>
      <c r="SQ31" s="222">
        <f t="shared" ref="SQ31:SQ41" si="146">IF($AL31="","",$AL31)</f>
        <v>46269666190</v>
      </c>
      <c r="SR31" s="222">
        <f t="shared" ref="SR31:SR41" si="147">IF($BD31="","",$BD31)</f>
        <v>46275103750</v>
      </c>
      <c r="SS31" s="222">
        <f t="shared" ref="SS31:SS41" si="148">IF($BV31="","",$BV31)</f>
        <v>46260601700</v>
      </c>
      <c r="ST31" s="222">
        <f t="shared" ref="ST31:ST41" si="149">IF($CN31="","",$CN31)</f>
        <v>46264542208</v>
      </c>
      <c r="SU31" s="222">
        <f t="shared" ref="SU31:SU41" si="150">IF($DF31="","",$DF31)</f>
        <v>46265893321</v>
      </c>
      <c r="SV31" s="222">
        <f t="shared" ref="SV31:SV41" si="151">IF($DX31="","",$DX31)</f>
        <v>46284908073</v>
      </c>
      <c r="SW31" s="222">
        <f t="shared" ref="SW31:SW41" si="152">IF($EP31="","",$EP31)</f>
        <v>46260546563</v>
      </c>
      <c r="SX31" s="222">
        <f t="shared" ref="SX31:SX41" si="153">IF($FH31="","",$FH31)</f>
        <v>46261887901</v>
      </c>
      <c r="SY31" s="222">
        <f t="shared" ref="SY31:SY41" si="154">IF($FZ31="","",$FZ31)</f>
        <v>46256337771</v>
      </c>
      <c r="SZ31" s="222">
        <f t="shared" ref="SZ31:SZ41" si="155">IF($GR31="","",$GR31)</f>
        <v>46285452088</v>
      </c>
      <c r="TA31" s="222">
        <f t="shared" ref="TA31:TA41" si="156">IF($HJ31="","",$HJ31)</f>
        <v>46271883556</v>
      </c>
      <c r="TB31" s="222">
        <f t="shared" ref="TB31:TB41" si="157">IF($IB31="","",$IB31)</f>
        <v>46306518697</v>
      </c>
      <c r="TC31" s="222">
        <f t="shared" si="99"/>
        <v>46295354569</v>
      </c>
      <c r="TD31" s="222">
        <f t="shared" ref="TD31:TD41" si="158">IF($IT31="","",$IT31)</f>
        <v>46262511965</v>
      </c>
      <c r="TE31" s="222">
        <f t="shared" ref="TE31:TE41" si="159">IF($KD31="","",$KD31)</f>
        <v>46276449272</v>
      </c>
      <c r="TF31" s="222">
        <f t="shared" ref="TF31:TF41" si="160">IF($KV31="","",$KV31)</f>
        <v>46271978434</v>
      </c>
      <c r="TG31" s="222">
        <f t="shared" ref="TG31:TG41" si="161">IF($LN31="","",$LN31)</f>
        <v>46270603107</v>
      </c>
      <c r="TK31" s="239" t="s">
        <v>855</v>
      </c>
      <c r="TL31" s="359">
        <f>IF(NJ42="",0,NJ42)</f>
        <v>0.28427615063257505</v>
      </c>
      <c r="TM31" s="359">
        <f>IF(NE42="",0,NE42)</f>
        <v>4.1403186735189598E-2</v>
      </c>
      <c r="TN31" s="359">
        <f>IF(NG42="",0,NG42)</f>
        <v>0.38283888824784751</v>
      </c>
      <c r="TQ31" s="361"/>
      <c r="TR31" s="362">
        <f>IF(OR($NC$42="",VB31=""),0,$NC$42*VB31)</f>
        <v>4.4715447784615057</v>
      </c>
      <c r="TS31" s="362">
        <f>IF(OR($NC$42="",VC31=""),0,$NC$42*VC31)</f>
        <v>0.41564441838024696</v>
      </c>
      <c r="TT31" s="362">
        <f>IF(OR($NC$42="",VD31=""),0,$NC$42*VD31)</f>
        <v>4.6995237708039648</v>
      </c>
      <c r="TU31" s="362">
        <f>IF(OR($NC$42="",VE31=""),0,$NC$42*VE31)</f>
        <v>4.933163043923753</v>
      </c>
      <c r="TV31" s="362">
        <f>IF(OR($NC$42="",VF31=""),0,$NC$42*VF31)</f>
        <v>8.0572583489999996</v>
      </c>
      <c r="TW31" s="254"/>
      <c r="UC31" s="361"/>
      <c r="UD31" s="363">
        <f>IF(OR($NC$42="",VB31=""),0,$NC$42*VB31)</f>
        <v>4.4715447784615057</v>
      </c>
      <c r="UE31" s="363">
        <f>IF(OR($NC$42="",VC31=""),0,$NC$42*VC31)</f>
        <v>0.41564441838024696</v>
      </c>
      <c r="UF31" s="363">
        <f>IF(OR($NC$42="",VD31=""),0,$NC$42*VD31)</f>
        <v>4.6995237708039648</v>
      </c>
      <c r="UG31" s="363">
        <f>IF(OR($NC$42="",VE31=""),0,$NC$42*VE31)</f>
        <v>4.933163043923753</v>
      </c>
      <c r="UH31" s="363">
        <f>IF(OR($NC$42="",VF31=""),0,$NC$42*VF31)</f>
        <v>8.0572583489999996</v>
      </c>
      <c r="VA31" s="364" t="s">
        <v>457</v>
      </c>
      <c r="VB31" s="365">
        <f>IF(OR(OJ42="",OK42=""),0,(OJ42+OK42)/2)</f>
        <v>0.21246448327539788</v>
      </c>
      <c r="VC31" s="365">
        <f>IF(OR(OL42="",OM42=""),0,(OL42+OM42)/2)</f>
        <v>1.9749254665374631E-2</v>
      </c>
      <c r="VD31" s="365">
        <f>IF(ON42="",0,ON42)</f>
        <v>0.22329685580110742</v>
      </c>
      <c r="VE31" s="365">
        <f>IF(OO42="",0,OO42)</f>
        <v>0.23439817534404059</v>
      </c>
      <c r="VF31" s="365">
        <f>IF(OP42="",0,OP42)</f>
        <v>0.38283888824784751</v>
      </c>
      <c r="VI31" s="366" t="s">
        <v>457</v>
      </c>
      <c r="VJ31" s="367">
        <f>IF(PA42="",0,PA42)</f>
        <v>7.3906670322557627E-2</v>
      </c>
      <c r="VK31" s="367">
        <f>IF(PF42="",0,PF42)</f>
        <v>7.3072510766557658E-2</v>
      </c>
      <c r="VM31" s="369" t="s">
        <v>1418</v>
      </c>
      <c r="VN31" s="370">
        <f>IF(OR(PB42="",VJ31=""),0,PB42*VJ31)</f>
        <v>2.4036149237100764E-3</v>
      </c>
      <c r="VO31" s="370">
        <f>IF(OR(PB42="",VJ31=""),0,(1-PB42)*VJ31)</f>
        <v>7.1503055398847548E-2</v>
      </c>
      <c r="VQ31" s="369" t="s">
        <v>1418</v>
      </c>
      <c r="VR31" s="370">
        <f>IF(OR(PB42="",VJ31=""),0,PB42*VJ31)</f>
        <v>2.4036149237100764E-3</v>
      </c>
      <c r="VS31" s="370">
        <f>IF(OR(PC42="",VJ31=""),0,PC42*VJ31)</f>
        <v>7.0655639732823586E-2</v>
      </c>
      <c r="VT31" s="370">
        <f>IF(OR(PD42="",VJ31=""),0,PD42*VJ31)</f>
        <v>8.4741566602396907E-4</v>
      </c>
      <c r="VV31" s="267" t="s">
        <v>563</v>
      </c>
      <c r="VW31" s="549">
        <f>IF(RR42="",0,RR42)</f>
        <v>22.964803582823993</v>
      </c>
      <c r="VX31" s="549">
        <f>IF(RS42="",0,RS42)</f>
        <v>2.3714441363485905</v>
      </c>
      <c r="VY31" s="549">
        <f>IF(RT42="",0,RT42)</f>
        <v>7.4585308091566063</v>
      </c>
      <c r="WC31" s="239"/>
      <c r="WD31" s="239"/>
      <c r="WE31" s="239"/>
      <c r="WF31" s="239"/>
      <c r="WG31" s="239"/>
      <c r="WH31" s="239"/>
      <c r="WI31" s="239"/>
      <c r="WJ31" s="239"/>
      <c r="WK31" s="239"/>
      <c r="WL31" s="239"/>
      <c r="WM31" s="239"/>
      <c r="WN31" s="239"/>
      <c r="WO31" s="239"/>
      <c r="WP31" s="239"/>
      <c r="WQ31" s="239"/>
      <c r="WR31" s="239"/>
      <c r="WS31" s="239"/>
    </row>
    <row r="32" spans="2:617" x14ac:dyDescent="0.25">
      <c r="AB32" s="254">
        <v>2</v>
      </c>
      <c r="AC32" s="430" t="s">
        <v>1974</v>
      </c>
      <c r="AD32" s="430" t="s">
        <v>1964</v>
      </c>
      <c r="AE32" s="430">
        <v>0</v>
      </c>
      <c r="AF32" s="430">
        <v>0</v>
      </c>
      <c r="AG32" s="430">
        <v>2</v>
      </c>
      <c r="AH32" s="430" t="s">
        <v>1975</v>
      </c>
      <c r="AI32" s="430">
        <v>1</v>
      </c>
      <c r="AJ32" s="430">
        <v>1</v>
      </c>
      <c r="AK32" s="594">
        <v>2107429792</v>
      </c>
      <c r="AL32" s="594">
        <v>46363213636</v>
      </c>
      <c r="AM32" s="430">
        <v>11967860000</v>
      </c>
      <c r="AN32" s="430">
        <v>13472928000</v>
      </c>
      <c r="AO32" s="430">
        <v>467253886</v>
      </c>
      <c r="AP32" s="430">
        <v>207553094</v>
      </c>
      <c r="AQ32" s="595">
        <v>3965991</v>
      </c>
      <c r="AR32" s="595">
        <v>1106726</v>
      </c>
      <c r="AS32" s="594">
        <v>25360604631</v>
      </c>
      <c r="AT32" s="594">
        <v>7209421049</v>
      </c>
      <c r="AU32" s="430" t="s">
        <v>1974</v>
      </c>
      <c r="AV32" s="430" t="s">
        <v>1964</v>
      </c>
      <c r="AW32" s="430">
        <v>0</v>
      </c>
      <c r="AX32" s="430">
        <v>0</v>
      </c>
      <c r="AY32" s="430">
        <v>2</v>
      </c>
      <c r="AZ32" s="430" t="s">
        <v>1975</v>
      </c>
      <c r="BA32" s="430">
        <v>1</v>
      </c>
      <c r="BB32" s="430">
        <v>1</v>
      </c>
      <c r="BC32" s="430">
        <v>2107310368</v>
      </c>
      <c r="BD32" s="430">
        <v>46360549550</v>
      </c>
      <c r="BE32" s="430">
        <v>34435244816</v>
      </c>
      <c r="BF32" s="595">
        <v>5869217767</v>
      </c>
      <c r="BG32" s="430">
        <v>9094732713</v>
      </c>
      <c r="BH32" s="595">
        <v>370353</v>
      </c>
      <c r="BI32" s="430">
        <v>23104230290</v>
      </c>
      <c r="BJ32" s="430">
        <v>239692141</v>
      </c>
      <c r="BK32" s="430">
        <v>0</v>
      </c>
      <c r="BL32" s="430">
        <v>0</v>
      </c>
      <c r="BM32" s="430" t="s">
        <v>1974</v>
      </c>
      <c r="BN32" s="430" t="s">
        <v>1964</v>
      </c>
      <c r="BO32" s="430">
        <v>0</v>
      </c>
      <c r="BP32" s="430">
        <v>0</v>
      </c>
      <c r="BQ32" s="430">
        <v>2</v>
      </c>
      <c r="BR32" s="430" t="s">
        <v>1975</v>
      </c>
      <c r="BS32" s="430">
        <v>1</v>
      </c>
      <c r="BT32" s="430">
        <v>1</v>
      </c>
      <c r="BU32" s="430">
        <v>2106778176</v>
      </c>
      <c r="BV32" s="430">
        <v>46348504657</v>
      </c>
      <c r="BW32" s="594">
        <v>9057669323</v>
      </c>
      <c r="BX32" s="594">
        <v>11622988600</v>
      </c>
      <c r="BY32" s="430">
        <v>21716715220</v>
      </c>
      <c r="BZ32" s="430">
        <v>425238611</v>
      </c>
      <c r="CA32" s="430">
        <v>10420686715</v>
      </c>
      <c r="CB32" s="430">
        <v>153895856976</v>
      </c>
      <c r="CC32" s="430">
        <v>9254072413</v>
      </c>
      <c r="CD32" s="430">
        <v>147806098522</v>
      </c>
      <c r="CE32" s="430" t="s">
        <v>1974</v>
      </c>
      <c r="CF32" s="430" t="s">
        <v>1964</v>
      </c>
      <c r="CG32" s="430">
        <v>0</v>
      </c>
      <c r="CH32" s="430">
        <v>0</v>
      </c>
      <c r="CI32" s="430">
        <v>2</v>
      </c>
      <c r="CJ32" s="430" t="s">
        <v>1975</v>
      </c>
      <c r="CK32" s="430">
        <v>1</v>
      </c>
      <c r="CL32" s="430">
        <v>1</v>
      </c>
      <c r="CM32" s="430">
        <v>2106950912</v>
      </c>
      <c r="CN32" s="430">
        <v>46352741734</v>
      </c>
      <c r="CO32" s="430">
        <v>3945521</v>
      </c>
      <c r="CP32" s="430">
        <v>467658450</v>
      </c>
      <c r="CQ32" s="430">
        <v>452160234</v>
      </c>
      <c r="CR32" s="430">
        <v>467374094</v>
      </c>
      <c r="CS32" s="430">
        <v>21634910</v>
      </c>
      <c r="CT32" s="430">
        <v>945960000</v>
      </c>
      <c r="CU32" s="430">
        <v>472980000</v>
      </c>
      <c r="CV32" s="430">
        <v>1088569</v>
      </c>
      <c r="CW32" s="430" t="s">
        <v>1974</v>
      </c>
      <c r="CX32" s="430" t="s">
        <v>1964</v>
      </c>
      <c r="CY32" s="430">
        <v>0</v>
      </c>
      <c r="CZ32" s="430">
        <v>0</v>
      </c>
      <c r="DA32" s="430">
        <v>2</v>
      </c>
      <c r="DB32" s="430" t="s">
        <v>1975</v>
      </c>
      <c r="DC32" s="430">
        <v>1</v>
      </c>
      <c r="DD32" s="430">
        <v>1</v>
      </c>
      <c r="DE32" s="430">
        <v>2106735200</v>
      </c>
      <c r="DF32" s="430">
        <v>46347976891</v>
      </c>
      <c r="DG32" s="430">
        <v>13824046000</v>
      </c>
      <c r="DH32" s="430">
        <v>6650444000</v>
      </c>
      <c r="DI32" s="430">
        <v>508816000</v>
      </c>
      <c r="DJ32" s="430">
        <v>4651094712</v>
      </c>
      <c r="DK32" s="430">
        <v>1676980140</v>
      </c>
      <c r="DL32" s="430">
        <v>4170875009</v>
      </c>
      <c r="DM32" s="430">
        <v>1676958009</v>
      </c>
      <c r="DN32" s="430">
        <v>5362040</v>
      </c>
      <c r="DO32" s="595" t="s">
        <v>1974</v>
      </c>
      <c r="DP32" s="595" t="s">
        <v>1964</v>
      </c>
      <c r="DQ32" s="595">
        <v>0</v>
      </c>
      <c r="DR32" s="595">
        <v>0</v>
      </c>
      <c r="DS32" s="595">
        <v>2</v>
      </c>
      <c r="DT32" s="595" t="s">
        <v>1975</v>
      </c>
      <c r="DU32" s="595">
        <v>1</v>
      </c>
      <c r="DV32" s="595">
        <v>1</v>
      </c>
      <c r="DW32" s="595">
        <v>2107236928</v>
      </c>
      <c r="DX32" s="595">
        <v>46359022022</v>
      </c>
      <c r="DY32" s="595">
        <v>532482938</v>
      </c>
      <c r="DZ32" s="595">
        <v>449443705</v>
      </c>
      <c r="EA32" s="595">
        <v>37956572</v>
      </c>
      <c r="EB32" s="430">
        <v>656737152</v>
      </c>
      <c r="EC32" s="595">
        <v>477968063</v>
      </c>
      <c r="ED32" s="595">
        <v>0</v>
      </c>
      <c r="EE32" s="595">
        <v>0</v>
      </c>
      <c r="EF32" s="595">
        <v>19169661540</v>
      </c>
      <c r="EG32" s="595" t="s">
        <v>1974</v>
      </c>
      <c r="EH32" s="595" t="s">
        <v>1964</v>
      </c>
      <c r="EI32" s="595">
        <v>0</v>
      </c>
      <c r="EJ32" s="595">
        <v>0</v>
      </c>
      <c r="EK32" s="595">
        <v>2</v>
      </c>
      <c r="EL32" s="595" t="s">
        <v>1975</v>
      </c>
      <c r="EM32" s="595">
        <v>1</v>
      </c>
      <c r="EN32" s="595">
        <v>1</v>
      </c>
      <c r="EO32" s="595">
        <v>2106615584</v>
      </c>
      <c r="EP32" s="595">
        <v>46345339620</v>
      </c>
      <c r="EQ32" s="595">
        <v>1799768391</v>
      </c>
      <c r="ER32" s="595">
        <v>1133035788</v>
      </c>
      <c r="ES32" s="430">
        <v>3123291260</v>
      </c>
      <c r="ET32" s="595">
        <v>2049858</v>
      </c>
      <c r="EU32" s="595">
        <v>11967860000</v>
      </c>
      <c r="EV32" s="595">
        <v>0</v>
      </c>
      <c r="EW32" s="595">
        <v>13472928000</v>
      </c>
      <c r="EX32" s="595">
        <v>0</v>
      </c>
      <c r="EY32" s="595" t="s">
        <v>1974</v>
      </c>
      <c r="EZ32" s="595" t="s">
        <v>1964</v>
      </c>
      <c r="FA32" s="595">
        <v>0</v>
      </c>
      <c r="FB32" s="595">
        <v>0</v>
      </c>
      <c r="FC32" s="595">
        <v>2</v>
      </c>
      <c r="FD32" s="595" t="s">
        <v>1975</v>
      </c>
      <c r="FE32" s="595">
        <v>1</v>
      </c>
      <c r="FF32" s="595">
        <v>1</v>
      </c>
      <c r="FG32" s="595">
        <v>2106685920</v>
      </c>
      <c r="FH32" s="595">
        <v>46346885993</v>
      </c>
      <c r="FI32" s="595">
        <v>2020</v>
      </c>
      <c r="FJ32" s="595">
        <v>5039212786</v>
      </c>
      <c r="FK32" s="595">
        <v>1561025317</v>
      </c>
      <c r="FL32" s="595">
        <v>613589144</v>
      </c>
      <c r="FM32" s="595">
        <v>6974602059</v>
      </c>
      <c r="FN32" s="595">
        <v>6882827321</v>
      </c>
      <c r="FO32" s="430">
        <v>707536727</v>
      </c>
      <c r="FP32" s="430">
        <v>1124817356</v>
      </c>
      <c r="FQ32" s="595" t="s">
        <v>1974</v>
      </c>
      <c r="FR32" s="595" t="s">
        <v>1964</v>
      </c>
      <c r="FS32" s="595">
        <v>0</v>
      </c>
      <c r="FT32" s="595">
        <v>0</v>
      </c>
      <c r="FU32" s="595">
        <v>2</v>
      </c>
      <c r="FV32" s="595" t="s">
        <v>1975</v>
      </c>
      <c r="FW32" s="595">
        <v>1</v>
      </c>
      <c r="FX32" s="595">
        <v>1</v>
      </c>
      <c r="FY32" s="595">
        <v>2107182528</v>
      </c>
      <c r="FZ32" s="595">
        <v>46357843064</v>
      </c>
      <c r="GA32" s="595">
        <v>452161017</v>
      </c>
      <c r="GB32" s="595">
        <v>446798295</v>
      </c>
      <c r="GC32" s="595">
        <v>445887772</v>
      </c>
      <c r="GD32" s="595">
        <v>445887772</v>
      </c>
      <c r="GE32" s="595">
        <v>4322</v>
      </c>
      <c r="GF32" s="595">
        <v>1</v>
      </c>
      <c r="GG32" s="595">
        <v>400</v>
      </c>
      <c r="GH32" s="595">
        <v>1096101</v>
      </c>
      <c r="GI32" s="595" t="s">
        <v>1974</v>
      </c>
      <c r="GJ32" s="595" t="s">
        <v>1964</v>
      </c>
      <c r="GK32" s="595">
        <v>0</v>
      </c>
      <c r="GL32" s="595">
        <v>0</v>
      </c>
      <c r="GM32" s="595">
        <v>2</v>
      </c>
      <c r="GN32" s="595" t="s">
        <v>1975</v>
      </c>
      <c r="GO32" s="595">
        <v>1</v>
      </c>
      <c r="GP32" s="595">
        <v>1</v>
      </c>
      <c r="GQ32" s="595">
        <v>2106980352</v>
      </c>
      <c r="GR32" s="595">
        <v>46353388907</v>
      </c>
      <c r="GS32" s="595">
        <v>0</v>
      </c>
      <c r="GT32" s="595">
        <v>0</v>
      </c>
      <c r="GU32" s="595">
        <v>0</v>
      </c>
      <c r="GV32" s="595">
        <v>0</v>
      </c>
      <c r="GW32" s="595">
        <v>0</v>
      </c>
      <c r="GX32" s="595">
        <v>8</v>
      </c>
      <c r="GY32" s="595">
        <v>329660032</v>
      </c>
      <c r="GZ32" s="595">
        <v>604708814</v>
      </c>
      <c r="HA32" s="595" t="s">
        <v>1974</v>
      </c>
      <c r="HB32" s="595" t="s">
        <v>1964</v>
      </c>
      <c r="HC32" s="595">
        <v>0</v>
      </c>
      <c r="HD32" s="595">
        <v>0</v>
      </c>
      <c r="HE32" s="595">
        <v>2</v>
      </c>
      <c r="HF32" s="595" t="s">
        <v>1975</v>
      </c>
      <c r="HG32" s="595">
        <v>1</v>
      </c>
      <c r="HH32" s="595">
        <v>1</v>
      </c>
      <c r="HI32" s="595">
        <v>2107165856</v>
      </c>
      <c r="HJ32" s="595">
        <v>46357471111</v>
      </c>
      <c r="HK32" s="595">
        <v>0</v>
      </c>
      <c r="HL32" s="595">
        <v>0</v>
      </c>
      <c r="HM32" s="595">
        <v>0</v>
      </c>
      <c r="HN32" s="595">
        <v>1282822001</v>
      </c>
      <c r="HO32" s="595">
        <v>1182474009</v>
      </c>
      <c r="HP32" s="595">
        <v>2017</v>
      </c>
      <c r="HQ32" s="595">
        <v>3067255009</v>
      </c>
      <c r="HR32" s="595">
        <v>0</v>
      </c>
      <c r="HS32" s="595" t="s">
        <v>1974</v>
      </c>
      <c r="HT32" s="595" t="s">
        <v>1964</v>
      </c>
      <c r="HU32" s="595">
        <v>0</v>
      </c>
      <c r="HV32" s="595">
        <v>0</v>
      </c>
      <c r="HW32" s="595">
        <v>2</v>
      </c>
      <c r="HX32" s="595" t="s">
        <v>1975</v>
      </c>
      <c r="HY32" s="595">
        <v>1</v>
      </c>
      <c r="HZ32" s="595">
        <v>1</v>
      </c>
      <c r="IA32" s="595">
        <v>2108048096</v>
      </c>
      <c r="IB32" s="595">
        <v>46376766631</v>
      </c>
      <c r="IC32" s="595">
        <v>27797236313</v>
      </c>
      <c r="ID32" s="595">
        <v>679800560</v>
      </c>
      <c r="IE32" s="595">
        <v>0</v>
      </c>
      <c r="IF32" s="595">
        <v>27797217633</v>
      </c>
      <c r="IG32" s="595">
        <v>45066171</v>
      </c>
      <c r="IH32" s="595">
        <v>604719979</v>
      </c>
      <c r="II32" s="595">
        <v>0</v>
      </c>
      <c r="IJ32" s="595">
        <v>0</v>
      </c>
      <c r="IK32" s="595" t="s">
        <v>1974</v>
      </c>
      <c r="IL32" s="595" t="s">
        <v>1964</v>
      </c>
      <c r="IM32" s="595">
        <v>0</v>
      </c>
      <c r="IN32" s="595">
        <v>0</v>
      </c>
      <c r="IO32" s="595">
        <v>2</v>
      </c>
      <c r="IP32" s="595" t="s">
        <v>1975</v>
      </c>
      <c r="IQ32" s="595">
        <v>1</v>
      </c>
      <c r="IR32" s="595">
        <v>1</v>
      </c>
      <c r="IS32" s="595">
        <v>2107586432</v>
      </c>
      <c r="IT32" s="595">
        <v>46366698679</v>
      </c>
      <c r="IU32" s="595">
        <v>0</v>
      </c>
      <c r="IV32" s="595">
        <v>0</v>
      </c>
      <c r="IW32" s="595">
        <v>1017640000</v>
      </c>
      <c r="IX32" s="595">
        <v>0</v>
      </c>
      <c r="IY32" s="595">
        <v>516005000</v>
      </c>
      <c r="IZ32" s="595">
        <v>157662009</v>
      </c>
      <c r="JA32" s="595">
        <v>0</v>
      </c>
      <c r="JB32" s="595">
        <v>0</v>
      </c>
      <c r="JC32" s="595" t="s">
        <v>1974</v>
      </c>
      <c r="JD32" s="595" t="s">
        <v>1964</v>
      </c>
      <c r="JE32" s="595">
        <v>0</v>
      </c>
      <c r="JF32" s="595">
        <v>0</v>
      </c>
      <c r="JG32" s="595">
        <v>2</v>
      </c>
      <c r="JH32" s="595" t="s">
        <v>1975</v>
      </c>
      <c r="JI32" s="595">
        <v>1</v>
      </c>
      <c r="JJ32" s="595">
        <v>1</v>
      </c>
      <c r="JK32" s="595">
        <v>2107484192</v>
      </c>
      <c r="JL32" s="595">
        <v>46364461445</v>
      </c>
      <c r="JM32" s="595">
        <v>447793319</v>
      </c>
      <c r="JN32" s="595">
        <v>0</v>
      </c>
      <c r="JO32" s="595">
        <v>0</v>
      </c>
      <c r="JP32" s="595">
        <v>412145306</v>
      </c>
      <c r="JQ32" s="595">
        <v>0</v>
      </c>
      <c r="JR32" s="595">
        <v>0</v>
      </c>
      <c r="JS32" s="595">
        <v>40398724</v>
      </c>
      <c r="JT32" s="595">
        <v>0</v>
      </c>
      <c r="JU32" s="595" t="s">
        <v>1974</v>
      </c>
      <c r="JV32" s="595" t="s">
        <v>1964</v>
      </c>
      <c r="JW32" s="595">
        <v>0</v>
      </c>
      <c r="JX32" s="595">
        <v>0</v>
      </c>
      <c r="JY32" s="595">
        <v>2</v>
      </c>
      <c r="JZ32" s="595" t="s">
        <v>1975</v>
      </c>
      <c r="KA32" s="595">
        <v>1</v>
      </c>
      <c r="KB32" s="595">
        <v>1</v>
      </c>
      <c r="KC32" s="595">
        <v>2106975648</v>
      </c>
      <c r="KD32" s="595">
        <v>46353095559</v>
      </c>
      <c r="KE32" s="595">
        <v>0</v>
      </c>
      <c r="KF32" s="595">
        <v>2839530112</v>
      </c>
      <c r="KG32" s="595">
        <v>944310032</v>
      </c>
      <c r="KH32" s="595">
        <v>64915996048</v>
      </c>
      <c r="KI32" s="595">
        <v>47428792208</v>
      </c>
      <c r="KJ32" s="595">
        <v>4057249751</v>
      </c>
      <c r="KK32" s="595">
        <v>2964299513</v>
      </c>
      <c r="KL32" s="595">
        <v>0</v>
      </c>
      <c r="KM32" s="595" t="s">
        <v>1974</v>
      </c>
      <c r="KN32" s="595" t="s">
        <v>1964</v>
      </c>
      <c r="KO32" s="595">
        <v>0</v>
      </c>
      <c r="KP32" s="595">
        <v>0</v>
      </c>
      <c r="KQ32" s="595">
        <v>2</v>
      </c>
      <c r="KR32" s="595" t="s">
        <v>1975</v>
      </c>
      <c r="KS32" s="595">
        <v>1</v>
      </c>
      <c r="KT32" s="595">
        <v>1</v>
      </c>
      <c r="KU32" s="595">
        <v>2107275232</v>
      </c>
      <c r="KV32" s="595">
        <v>46359829287</v>
      </c>
      <c r="KW32" s="595">
        <v>5602829419</v>
      </c>
      <c r="KX32" s="595">
        <v>44841249</v>
      </c>
      <c r="KY32" s="595">
        <v>10945494</v>
      </c>
      <c r="KZ32" s="595">
        <v>25360576596</v>
      </c>
      <c r="LA32" s="595">
        <v>2508096903</v>
      </c>
      <c r="LB32" s="595">
        <v>226267</v>
      </c>
      <c r="LC32" s="595">
        <v>13269</v>
      </c>
      <c r="LD32" s="595">
        <v>14744</v>
      </c>
      <c r="LE32" s="595" t="s">
        <v>1974</v>
      </c>
      <c r="LF32" s="595" t="s">
        <v>1964</v>
      </c>
      <c r="LG32" s="595">
        <v>0</v>
      </c>
      <c r="LH32" s="595">
        <v>0</v>
      </c>
      <c r="LI32" s="595">
        <v>2</v>
      </c>
      <c r="LJ32" s="595" t="s">
        <v>1975</v>
      </c>
      <c r="LK32" s="595">
        <v>1</v>
      </c>
      <c r="LL32" s="595">
        <v>1</v>
      </c>
      <c r="LM32" s="595">
        <v>2107116704</v>
      </c>
      <c r="LN32" s="595">
        <v>46356370431</v>
      </c>
      <c r="LO32" s="595">
        <v>5548499826</v>
      </c>
      <c r="LP32" s="595">
        <v>618</v>
      </c>
      <c r="LQ32" s="595">
        <v>0</v>
      </c>
      <c r="LR32" s="595">
        <v>2508334885</v>
      </c>
      <c r="LS32" s="595">
        <v>68</v>
      </c>
      <c r="LT32" s="595">
        <v>0</v>
      </c>
      <c r="LU32" s="595">
        <v>5548370096</v>
      </c>
      <c r="LV32" s="595">
        <v>25146</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21.074297919999999</v>
      </c>
      <c r="ND32" s="208">
        <f t="shared" si="103"/>
        <v>2.9108617631234477</v>
      </c>
      <c r="NE32" s="209">
        <f t="shared" si="15"/>
        <v>4.1347700008260636E-2</v>
      </c>
      <c r="NF32" s="208">
        <f t="shared" si="16"/>
        <v>8.135595879817572</v>
      </c>
      <c r="NG32" s="210"/>
      <c r="NH32" s="211">
        <f t="shared" si="104"/>
        <v>25360604631</v>
      </c>
      <c r="NI32" s="208">
        <f t="shared" si="17"/>
        <v>61344368000</v>
      </c>
      <c r="NJ32" s="212">
        <f t="shared" si="105"/>
        <v>0.28427638669889721</v>
      </c>
      <c r="NK32" s="213">
        <f t="shared" si="106"/>
        <v>0.78037220955638498</v>
      </c>
      <c r="NL32" s="214">
        <f t="shared" si="18"/>
        <v>0.95840422217874488</v>
      </c>
      <c r="NM32" s="208">
        <f t="shared" si="107"/>
        <v>0.54699842056047765</v>
      </c>
      <c r="NN32" s="208">
        <f t="shared" si="19"/>
        <v>1.2033902494532069</v>
      </c>
      <c r="NO32" s="215">
        <f t="shared" si="20"/>
        <v>1.6835282440187899E-4</v>
      </c>
      <c r="NP32" s="216">
        <f t="shared" si="108"/>
        <v>0</v>
      </c>
      <c r="NQ32" s="215">
        <f t="shared" si="109"/>
        <v>0.21727182817459351</v>
      </c>
      <c r="NR32" s="215">
        <f t="shared" si="110"/>
        <v>8.1263770102850186E-2</v>
      </c>
      <c r="NS32" s="215">
        <f t="shared" si="21"/>
        <v>1.7254068688017314E-2</v>
      </c>
      <c r="NT32" s="215">
        <f t="shared" si="22"/>
        <v>7.526973123890196E-3</v>
      </c>
      <c r="NU32" s="215">
        <f t="shared" si="23"/>
        <v>0.18705132953042536</v>
      </c>
      <c r="NV32" s="215">
        <f t="shared" si="111"/>
        <v>3.623692209290986</v>
      </c>
      <c r="NW32" s="215">
        <f t="shared" si="24"/>
        <v>1.7885524401472932</v>
      </c>
      <c r="NX32" s="215">
        <f t="shared" si="25"/>
        <v>8.7140286782801084</v>
      </c>
      <c r="NY32" s="215">
        <f t="shared" si="26"/>
        <v>9.3181203857613368E-4</v>
      </c>
      <c r="NZ32" s="215">
        <f t="shared" si="27"/>
        <v>0.90666583251357047</v>
      </c>
      <c r="OA32" s="215">
        <f t="shared" si="28"/>
        <v>0</v>
      </c>
      <c r="OB32" s="215">
        <f t="shared" si="29"/>
        <v>0.10895780221648919</v>
      </c>
      <c r="OC32" s="215">
        <f t="shared" si="30"/>
        <v>0</v>
      </c>
      <c r="OD32" s="215">
        <f t="shared" si="31"/>
        <v>2.6679934767752371</v>
      </c>
      <c r="OE32" s="215">
        <f t="shared" si="32"/>
        <v>0.81812781830868198</v>
      </c>
      <c r="OF32" s="215">
        <f t="shared" si="33"/>
        <v>0.51504854843408465</v>
      </c>
      <c r="OG32" s="215">
        <f t="shared" si="34"/>
        <v>1.419766830701259</v>
      </c>
      <c r="OH32" s="215">
        <f t="shared" si="35"/>
        <v>0</v>
      </c>
      <c r="OI32" s="215">
        <f t="shared" si="112"/>
        <v>21.074297919999999</v>
      </c>
      <c r="OJ32" s="218">
        <f t="shared" si="113"/>
        <v>0.22483328841173664</v>
      </c>
      <c r="OK32" s="218">
        <f t="shared" si="114"/>
        <v>0.19966280425839716</v>
      </c>
      <c r="OL32" s="218">
        <f t="shared" si="115"/>
        <v>1.5266111451519371E-2</v>
      </c>
      <c r="OM32" s="218">
        <f t="shared" si="116"/>
        <v>2.4269534660211835E-2</v>
      </c>
      <c r="ON32" s="217">
        <f t="shared" si="36"/>
        <v>0.22309951611218384</v>
      </c>
      <c r="OO32" s="210"/>
      <c r="OP32" s="210"/>
      <c r="OQ32" s="218">
        <f t="shared" si="117"/>
        <v>0.15048696173575521</v>
      </c>
      <c r="OR32" s="218">
        <f t="shared" si="118"/>
        <v>0.14850679120145305</v>
      </c>
      <c r="OS32" s="218">
        <f t="shared" si="37"/>
        <v>0.92301892610922809</v>
      </c>
      <c r="OT32" s="218">
        <f t="shared" si="38"/>
        <v>0.99825036430963576</v>
      </c>
      <c r="OU32" s="209">
        <f t="shared" si="39"/>
        <v>1.0000000004929448</v>
      </c>
      <c r="OV32" s="209">
        <f t="shared" si="40"/>
        <v>1</v>
      </c>
      <c r="OW32" s="209">
        <f t="shared" si="119"/>
        <v>9.1748075616885378E-3</v>
      </c>
      <c r="OX32" s="219">
        <f t="shared" si="41"/>
        <v>1.5772494615962454E-8</v>
      </c>
      <c r="OY32" s="208">
        <f t="shared" si="120"/>
        <v>6328074852</v>
      </c>
      <c r="OZ32" s="208">
        <f t="shared" si="42"/>
        <v>467658450</v>
      </c>
      <c r="PA32" s="209">
        <f t="shared" si="121"/>
        <v>7.3902167868983987E-2</v>
      </c>
      <c r="PB32" s="209">
        <f>IF(OR($CQ32="",$OZ32=""),"",IF($OZ32=0,0,
GuardLimitUpper(
  ($OZ32-$CQ32)/$OZ32,
  data_GuardLimitFlag,
  1)
))</f>
        <v>3.3140032004126088E-2</v>
      </c>
      <c r="PC32" s="209">
        <f t="shared" si="43"/>
        <v>0.95539446576876774</v>
      </c>
      <c r="PD32" s="209">
        <f t="shared" si="44"/>
        <v>1.1465502227106128E-2</v>
      </c>
      <c r="PE32" s="208">
        <f t="shared" si="122"/>
        <v>462181169</v>
      </c>
      <c r="PF32" s="209">
        <f t="shared" si="123"/>
        <v>7.3036615370301247E-2</v>
      </c>
      <c r="PG32" s="209">
        <f t="shared" si="45"/>
        <v>3.8248893911460934E-2</v>
      </c>
      <c r="PH32" s="209">
        <f t="shared" si="46"/>
        <v>0.96412115125319942</v>
      </c>
      <c r="PI32" s="209">
        <f t="shared" si="47"/>
        <v>0</v>
      </c>
      <c r="PJ32" s="220">
        <f t="shared" si="48"/>
        <v>6.8298812847228311E-7</v>
      </c>
      <c r="PK32" s="220">
        <f t="shared" si="49"/>
        <v>1.5802594365392946E-10</v>
      </c>
      <c r="PL32" s="221">
        <f t="shared" si="124"/>
        <v>157660000</v>
      </c>
      <c r="PM32" s="221">
        <f t="shared" si="50"/>
        <v>0</v>
      </c>
      <c r="PN32" s="221">
        <f t="shared" si="125"/>
        <v>945960000</v>
      </c>
      <c r="PO32" s="221">
        <f t="shared" si="51"/>
        <v>0</v>
      </c>
      <c r="PP32" s="221">
        <f t="shared" si="52"/>
        <v>0</v>
      </c>
      <c r="PQ32" s="529">
        <f t="shared" si="126"/>
        <v>0</v>
      </c>
      <c r="PR32" s="221">
        <f t="shared" si="53"/>
        <v>0</v>
      </c>
      <c r="PS32" s="221">
        <f t="shared" si="54"/>
        <v>3547474712</v>
      </c>
      <c r="PT32" s="221">
        <f t="shared" si="127"/>
        <v>21504000</v>
      </c>
      <c r="PU32" s="221">
        <f t="shared" si="55"/>
        <v>0</v>
      </c>
      <c r="PV32" s="221">
        <f t="shared" si="128"/>
        <v>472980000</v>
      </c>
      <c r="PW32" s="221">
        <f t="shared" si="56"/>
        <v>0</v>
      </c>
      <c r="PX32" s="221">
        <f t="shared" ref="PX32:PX41" si="162">IF($O$8="Lv2","",IF($IV32="","",$IV32))</f>
        <v>0</v>
      </c>
      <c r="PY32" s="221">
        <f t="shared" si="57"/>
        <v>1182496140</v>
      </c>
      <c r="PZ32" s="221">
        <f t="shared" si="58"/>
        <v>0</v>
      </c>
      <c r="QA32" s="221">
        <f t="shared" si="59"/>
        <v>0</v>
      </c>
      <c r="QB32" s="221">
        <f t="shared" si="60"/>
        <v>5362040</v>
      </c>
      <c r="QC32" s="221">
        <f t="shared" si="61"/>
        <v>8</v>
      </c>
      <c r="QD32" s="221">
        <f t="shared" si="129"/>
        <v>6664786000</v>
      </c>
      <c r="QE32" s="221">
        <f t="shared" si="130"/>
        <v>6650444000</v>
      </c>
      <c r="QF32" s="221">
        <f t="shared" si="131"/>
        <v>508816000</v>
      </c>
      <c r="QG32" s="222">
        <f t="shared" si="62"/>
        <v>0</v>
      </c>
      <c r="QH32" s="222">
        <f t="shared" si="63"/>
        <v>1282822001</v>
      </c>
      <c r="QI32" s="222">
        <f t="shared" si="64"/>
        <v>329660032</v>
      </c>
      <c r="QJ32" s="222">
        <f t="shared" si="65"/>
        <v>604708814</v>
      </c>
      <c r="QK32" s="222">
        <f t="shared" si="66"/>
        <v>2017</v>
      </c>
      <c r="QL32" s="222">
        <f t="shared" si="132"/>
        <v>0</v>
      </c>
      <c r="QM32" s="222">
        <f>IF(OR($O$8="Lv2",$O$8="Lv3",$O$8="Lv4"),IF(OR($AS32="",COUNT($PL32:$QL32)=0),"",
GuardLimitLower(
  $AS32-SUM($PL32:$QL32),
  data_GuardLimitFlag,
  0)
),"")</f>
        <v>2985928867</v>
      </c>
      <c r="QN32" s="222">
        <f t="shared" si="133"/>
        <v>25360604631</v>
      </c>
      <c r="QO32" s="222">
        <f t="shared" si="134"/>
        <v>61344368000</v>
      </c>
      <c r="QP32" s="222">
        <f t="shared" si="135"/>
        <v>0</v>
      </c>
      <c r="QQ32" s="222">
        <f t="shared" si="136"/>
        <v>0</v>
      </c>
      <c r="QR32" s="222">
        <f t="shared" si="67"/>
        <v>2.7897822039561775</v>
      </c>
      <c r="QS32" s="209">
        <f t="shared" si="68"/>
        <v>0</v>
      </c>
      <c r="QT32" s="209">
        <f t="shared" si="69"/>
        <v>0.75043606599042412</v>
      </c>
      <c r="QU32" s="209">
        <f t="shared" si="70"/>
        <v>0.24956393400957586</v>
      </c>
      <c r="QV32" s="208">
        <f t="shared" si="71"/>
        <v>27797236313</v>
      </c>
      <c r="QW32" s="208">
        <f t="shared" si="72"/>
        <v>516005000</v>
      </c>
      <c r="QX32" s="208">
        <f t="shared" si="73"/>
        <v>157662009</v>
      </c>
      <c r="QY32" s="208">
        <f t="shared" si="74"/>
        <v>1017640000</v>
      </c>
      <c r="QZ32" s="208">
        <f t="shared" si="75"/>
        <v>0</v>
      </c>
      <c r="RA32" s="209">
        <f t="shared" si="137"/>
        <v>0.99999932799074731</v>
      </c>
      <c r="RB32" s="209">
        <f t="shared" si="76"/>
        <v>7.4525407860187062E-2</v>
      </c>
      <c r="RC32" s="209">
        <f t="shared" si="77"/>
        <v>0.49736170502907795</v>
      </c>
      <c r="RD32" s="209">
        <f t="shared" si="78"/>
        <v>0</v>
      </c>
      <c r="RE32" s="209">
        <f t="shared" si="79"/>
        <v>0</v>
      </c>
      <c r="RF32" s="209">
        <f t="shared" si="80"/>
        <v>0.45776764282606697</v>
      </c>
      <c r="RG32" s="209">
        <f t="shared" si="81"/>
        <v>0</v>
      </c>
      <c r="RH32" s="209">
        <f t="shared" si="82"/>
        <v>0</v>
      </c>
      <c r="RI32" s="209">
        <f t="shared" si="83"/>
        <v>4.4870652144855097E-2</v>
      </c>
      <c r="RJ32" s="134"/>
      <c r="RK32" s="134"/>
      <c r="RL32" s="134"/>
      <c r="RM32" s="134"/>
      <c r="RN32" s="134"/>
      <c r="RO32" s="134"/>
      <c r="RP32" s="134"/>
      <c r="RQ32" s="134"/>
      <c r="RR32" s="222">
        <f t="shared" si="84"/>
        <v>1.9129321622497022</v>
      </c>
      <c r="RS32" s="224"/>
      <c r="RT32" s="224"/>
      <c r="RU32" s="208">
        <f t="shared" si="138"/>
        <v>21.074297919999999</v>
      </c>
      <c r="RV32" s="208">
        <f t="shared" si="139"/>
        <v>1</v>
      </c>
      <c r="RW32" s="208">
        <f t="shared" si="140"/>
        <v>0.99994253879765727</v>
      </c>
      <c r="RX32" s="208">
        <f t="shared" si="141"/>
        <v>0.99968274461913964</v>
      </c>
      <c r="RY32" s="208">
        <f t="shared" si="142"/>
        <v>0.99977413338768495</v>
      </c>
      <c r="RZ32" s="208">
        <f t="shared" si="85"/>
        <v>0.99967136132711543</v>
      </c>
      <c r="SA32" s="208">
        <f t="shared" si="86"/>
        <v>0.99990959181490502</v>
      </c>
      <c r="SB32" s="208">
        <f t="shared" si="87"/>
        <v>0.99961447849279106</v>
      </c>
      <c r="SC32" s="208">
        <f t="shared" si="88"/>
        <v>0.99964783194003359</v>
      </c>
      <c r="SD32" s="208">
        <f t="shared" si="89"/>
        <v>0.99988416307717221</v>
      </c>
      <c r="SE32" s="208">
        <f t="shared" si="90"/>
        <v>0.99978809214828945</v>
      </c>
      <c r="SF32" s="208">
        <f t="shared" si="91"/>
        <v>0.99987614048833873</v>
      </c>
      <c r="SG32" s="208">
        <f t="shared" si="92"/>
        <v>1.0002923221652926</v>
      </c>
      <c r="SH32" s="208">
        <f t="shared" si="93"/>
        <v>1.0000269137728415</v>
      </c>
      <c r="SI32" s="208">
        <f t="shared" si="94"/>
        <v>1.0000751682794762</v>
      </c>
      <c r="SJ32" s="208">
        <f t="shared" si="95"/>
        <v>0.99978176497687499</v>
      </c>
      <c r="SK32" s="208">
        <f t="shared" si="96"/>
        <v>0.99992700357169861</v>
      </c>
      <c r="SL32" s="208">
        <f t="shared" si="97"/>
        <v>0.99985240011501952</v>
      </c>
      <c r="SM32" s="222">
        <f t="shared" si="143"/>
        <v>1</v>
      </c>
      <c r="SN32" s="225">
        <f t="shared" si="98"/>
        <v>21.074297919999999</v>
      </c>
      <c r="SO32" s="209">
        <f t="shared" si="144"/>
        <v>0.99999618873690665</v>
      </c>
      <c r="SP32" s="209">
        <f t="shared" si="145"/>
        <v>0.9999982653046201</v>
      </c>
      <c r="SQ32" s="222">
        <f t="shared" si="146"/>
        <v>46363213636</v>
      </c>
      <c r="SR32" s="222">
        <f t="shared" si="147"/>
        <v>46360549550</v>
      </c>
      <c r="SS32" s="222">
        <f t="shared" si="148"/>
        <v>46348504657</v>
      </c>
      <c r="ST32" s="222">
        <f t="shared" si="149"/>
        <v>46352741734</v>
      </c>
      <c r="SU32" s="222">
        <f t="shared" si="150"/>
        <v>46347976891</v>
      </c>
      <c r="SV32" s="222">
        <f t="shared" si="151"/>
        <v>46359022022</v>
      </c>
      <c r="SW32" s="222">
        <f t="shared" si="152"/>
        <v>46345339620</v>
      </c>
      <c r="SX32" s="222">
        <f t="shared" si="153"/>
        <v>46346885993</v>
      </c>
      <c r="SY32" s="222">
        <f t="shared" si="154"/>
        <v>46357843064</v>
      </c>
      <c r="SZ32" s="222">
        <f t="shared" si="155"/>
        <v>46353388907</v>
      </c>
      <c r="TA32" s="222">
        <f t="shared" si="156"/>
        <v>46357471111</v>
      </c>
      <c r="TB32" s="222">
        <f t="shared" si="157"/>
        <v>46376766631</v>
      </c>
      <c r="TC32" s="222">
        <f t="shared" si="99"/>
        <v>46364461445</v>
      </c>
      <c r="TD32" s="222">
        <f t="shared" si="158"/>
        <v>46366698679</v>
      </c>
      <c r="TE32" s="222">
        <f t="shared" si="159"/>
        <v>46353095559</v>
      </c>
      <c r="TF32" s="222">
        <f t="shared" si="160"/>
        <v>46359829287</v>
      </c>
      <c r="TG32" s="222">
        <f t="shared" si="161"/>
        <v>46356370431</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2.780645743649726E-3</v>
      </c>
      <c r="VO32" s="370">
        <f>IF(OR(PG42="",VK31=""),0,(1-PG42)*VK31)</f>
        <v>7.0291865022907934E-2</v>
      </c>
      <c r="VQ32" s="369" t="s">
        <v>1419</v>
      </c>
      <c r="VR32" s="370">
        <f>IF(OR(PG42="",VK31=""),0,PG42*VK31)</f>
        <v>2.780645743649726E-3</v>
      </c>
      <c r="VS32" s="370">
        <f>IF(OR(PH42="",VK31=""),0,PH42*VK31)</f>
        <v>7.0437099421539515E-2</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x14ac:dyDescent="0.25">
      <c r="AB33" s="254">
        <v>3</v>
      </c>
      <c r="AC33" s="430" t="s">
        <v>1974</v>
      </c>
      <c r="AD33" s="430" t="s">
        <v>1964</v>
      </c>
      <c r="AE33" s="430">
        <v>0</v>
      </c>
      <c r="AF33" s="430">
        <v>0</v>
      </c>
      <c r="AG33" s="430">
        <v>3</v>
      </c>
      <c r="AH33" s="430" t="s">
        <v>1975</v>
      </c>
      <c r="AI33" s="430">
        <v>1</v>
      </c>
      <c r="AJ33" s="430">
        <v>1</v>
      </c>
      <c r="AK33" s="594">
        <v>2107437824</v>
      </c>
      <c r="AL33" s="594">
        <v>46363379276</v>
      </c>
      <c r="AM33" s="430">
        <v>11967860000</v>
      </c>
      <c r="AN33" s="430">
        <v>13472928000</v>
      </c>
      <c r="AO33" s="430">
        <v>467981399</v>
      </c>
      <c r="AP33" s="430">
        <v>209490646</v>
      </c>
      <c r="AQ33" s="595">
        <v>3946906</v>
      </c>
      <c r="AR33" s="595">
        <v>1142910</v>
      </c>
      <c r="AS33" s="594">
        <v>25360604782</v>
      </c>
      <c r="AT33" s="594">
        <v>7209421049</v>
      </c>
      <c r="AU33" s="430" t="s">
        <v>1974</v>
      </c>
      <c r="AV33" s="430" t="s">
        <v>1964</v>
      </c>
      <c r="AW33" s="430">
        <v>0</v>
      </c>
      <c r="AX33" s="430">
        <v>0</v>
      </c>
      <c r="AY33" s="430">
        <v>3</v>
      </c>
      <c r="AZ33" s="430" t="s">
        <v>1975</v>
      </c>
      <c r="BA33" s="430">
        <v>1</v>
      </c>
      <c r="BB33" s="430">
        <v>1</v>
      </c>
      <c r="BC33" s="430">
        <v>2107414432</v>
      </c>
      <c r="BD33" s="430">
        <v>46362868939</v>
      </c>
      <c r="BE33" s="430">
        <v>34439289490</v>
      </c>
      <c r="BF33" s="595">
        <v>5867541154</v>
      </c>
      <c r="BG33" s="430">
        <v>9110862135</v>
      </c>
      <c r="BH33" s="595">
        <v>362784</v>
      </c>
      <c r="BI33" s="430">
        <v>23086347061</v>
      </c>
      <c r="BJ33" s="430">
        <v>239755749</v>
      </c>
      <c r="BK33" s="430">
        <v>0</v>
      </c>
      <c r="BL33" s="430">
        <v>0</v>
      </c>
      <c r="BM33" s="430" t="s">
        <v>1974</v>
      </c>
      <c r="BN33" s="430" t="s">
        <v>1964</v>
      </c>
      <c r="BO33" s="430">
        <v>0</v>
      </c>
      <c r="BP33" s="430">
        <v>0</v>
      </c>
      <c r="BQ33" s="430">
        <v>3</v>
      </c>
      <c r="BR33" s="430" t="s">
        <v>1975</v>
      </c>
      <c r="BS33" s="430">
        <v>1</v>
      </c>
      <c r="BT33" s="430">
        <v>1</v>
      </c>
      <c r="BU33" s="430">
        <v>2107000544</v>
      </c>
      <c r="BV33" s="430">
        <v>46353365810</v>
      </c>
      <c r="BW33" s="594">
        <v>9060510999</v>
      </c>
      <c r="BX33" s="594">
        <v>11621209762</v>
      </c>
      <c r="BY33" s="430">
        <v>21716800915</v>
      </c>
      <c r="BZ33" s="430">
        <v>425889103</v>
      </c>
      <c r="CA33" s="430">
        <v>10415536997</v>
      </c>
      <c r="CB33" s="430">
        <v>153798225238</v>
      </c>
      <c r="CC33" s="430">
        <v>9258225886</v>
      </c>
      <c r="CD33" s="430">
        <v>147872082346</v>
      </c>
      <c r="CE33" s="430" t="s">
        <v>1974</v>
      </c>
      <c r="CF33" s="430" t="s">
        <v>1964</v>
      </c>
      <c r="CG33" s="430">
        <v>0</v>
      </c>
      <c r="CH33" s="430">
        <v>0</v>
      </c>
      <c r="CI33" s="430">
        <v>3</v>
      </c>
      <c r="CJ33" s="430" t="s">
        <v>1975</v>
      </c>
      <c r="CK33" s="430">
        <v>1</v>
      </c>
      <c r="CL33" s="430">
        <v>1</v>
      </c>
      <c r="CM33" s="430">
        <v>2107115808</v>
      </c>
      <c r="CN33" s="430">
        <v>46356372466</v>
      </c>
      <c r="CO33" s="430">
        <v>3818197</v>
      </c>
      <c r="CP33" s="430">
        <v>467716219</v>
      </c>
      <c r="CQ33" s="430">
        <v>452138675</v>
      </c>
      <c r="CR33" s="430">
        <v>466759526</v>
      </c>
      <c r="CS33" s="430">
        <v>21419464</v>
      </c>
      <c r="CT33" s="430">
        <v>945960000</v>
      </c>
      <c r="CU33" s="430">
        <v>472980000</v>
      </c>
      <c r="CV33" s="430">
        <v>1119471</v>
      </c>
      <c r="CW33" s="430" t="s">
        <v>1974</v>
      </c>
      <c r="CX33" s="430" t="s">
        <v>1964</v>
      </c>
      <c r="CY33" s="430">
        <v>0</v>
      </c>
      <c r="CZ33" s="430">
        <v>0</v>
      </c>
      <c r="DA33" s="430">
        <v>3</v>
      </c>
      <c r="DB33" s="430" t="s">
        <v>1975</v>
      </c>
      <c r="DC33" s="430">
        <v>1</v>
      </c>
      <c r="DD33" s="430">
        <v>1</v>
      </c>
      <c r="DE33" s="430">
        <v>2106738400</v>
      </c>
      <c r="DF33" s="430">
        <v>46348024429</v>
      </c>
      <c r="DG33" s="430">
        <v>13824046000</v>
      </c>
      <c r="DH33" s="430">
        <v>6650444000</v>
      </c>
      <c r="DI33" s="430">
        <v>508816000</v>
      </c>
      <c r="DJ33" s="430">
        <v>4651095627</v>
      </c>
      <c r="DK33" s="430">
        <v>1676980411</v>
      </c>
      <c r="DL33" s="430">
        <v>4170875019</v>
      </c>
      <c r="DM33" s="430">
        <v>1676958019</v>
      </c>
      <c r="DN33" s="430">
        <v>5362040</v>
      </c>
      <c r="DO33" s="595" t="s">
        <v>1974</v>
      </c>
      <c r="DP33" s="595" t="s">
        <v>1964</v>
      </c>
      <c r="DQ33" s="595">
        <v>0</v>
      </c>
      <c r="DR33" s="595">
        <v>0</v>
      </c>
      <c r="DS33" s="595">
        <v>3</v>
      </c>
      <c r="DT33" s="595" t="s">
        <v>1975</v>
      </c>
      <c r="DU33" s="595">
        <v>1</v>
      </c>
      <c r="DV33" s="595">
        <v>1</v>
      </c>
      <c r="DW33" s="595">
        <v>2107297440</v>
      </c>
      <c r="DX33" s="595">
        <v>46360336548</v>
      </c>
      <c r="DY33" s="595">
        <v>536498026</v>
      </c>
      <c r="DZ33" s="595">
        <v>454745558</v>
      </c>
      <c r="EA33" s="595">
        <v>39955541</v>
      </c>
      <c r="EB33" s="430">
        <v>667773993</v>
      </c>
      <c r="EC33" s="595">
        <v>479834443</v>
      </c>
      <c r="ED33" s="595">
        <v>0</v>
      </c>
      <c r="EE33" s="595">
        <v>0</v>
      </c>
      <c r="EF33" s="595">
        <v>19153456824</v>
      </c>
      <c r="EG33" s="595" t="s">
        <v>1974</v>
      </c>
      <c r="EH33" s="595" t="s">
        <v>1964</v>
      </c>
      <c r="EI33" s="595">
        <v>0</v>
      </c>
      <c r="EJ33" s="595">
        <v>0</v>
      </c>
      <c r="EK33" s="595">
        <v>3</v>
      </c>
      <c r="EL33" s="595" t="s">
        <v>1975</v>
      </c>
      <c r="EM33" s="595">
        <v>1</v>
      </c>
      <c r="EN33" s="595">
        <v>1</v>
      </c>
      <c r="EO33" s="595">
        <v>2106786400</v>
      </c>
      <c r="EP33" s="595">
        <v>46349075952</v>
      </c>
      <c r="EQ33" s="595">
        <v>1796994724</v>
      </c>
      <c r="ER33" s="595">
        <v>1136407160</v>
      </c>
      <c r="ES33" s="430">
        <v>3122670179</v>
      </c>
      <c r="ET33" s="595">
        <v>2057586</v>
      </c>
      <c r="EU33" s="595">
        <v>11967860000</v>
      </c>
      <c r="EV33" s="595">
        <v>0</v>
      </c>
      <c r="EW33" s="595">
        <v>13472928000</v>
      </c>
      <c r="EX33" s="595">
        <v>0</v>
      </c>
      <c r="EY33" s="595" t="s">
        <v>1974</v>
      </c>
      <c r="EZ33" s="595" t="s">
        <v>1964</v>
      </c>
      <c r="FA33" s="595">
        <v>0</v>
      </c>
      <c r="FB33" s="595">
        <v>0</v>
      </c>
      <c r="FC33" s="595">
        <v>3</v>
      </c>
      <c r="FD33" s="595" t="s">
        <v>1975</v>
      </c>
      <c r="FE33" s="595">
        <v>1</v>
      </c>
      <c r="FF33" s="595">
        <v>1</v>
      </c>
      <c r="FG33" s="595">
        <v>2106797696</v>
      </c>
      <c r="FH33" s="595">
        <v>46349319308</v>
      </c>
      <c r="FI33" s="595">
        <v>2020</v>
      </c>
      <c r="FJ33" s="595">
        <v>5039443785</v>
      </c>
      <c r="FK33" s="595">
        <v>1561074459</v>
      </c>
      <c r="FL33" s="595">
        <v>613597074</v>
      </c>
      <c r="FM33" s="595">
        <v>6977815512</v>
      </c>
      <c r="FN33" s="595">
        <v>6880336796</v>
      </c>
      <c r="FO33" s="430">
        <v>707195561</v>
      </c>
      <c r="FP33" s="430">
        <v>1123876526</v>
      </c>
      <c r="FQ33" s="595" t="s">
        <v>1974</v>
      </c>
      <c r="FR33" s="595" t="s">
        <v>1964</v>
      </c>
      <c r="FS33" s="595">
        <v>0</v>
      </c>
      <c r="FT33" s="595">
        <v>0</v>
      </c>
      <c r="FU33" s="595">
        <v>3</v>
      </c>
      <c r="FV33" s="595" t="s">
        <v>1975</v>
      </c>
      <c r="FW33" s="595">
        <v>1</v>
      </c>
      <c r="FX33" s="595">
        <v>1</v>
      </c>
      <c r="FY33" s="595">
        <v>2107277248</v>
      </c>
      <c r="FZ33" s="595">
        <v>46359920801</v>
      </c>
      <c r="GA33" s="595">
        <v>452132417</v>
      </c>
      <c r="GB33" s="595">
        <v>446769646</v>
      </c>
      <c r="GC33" s="595">
        <v>446795574</v>
      </c>
      <c r="GD33" s="595">
        <v>446795574</v>
      </c>
      <c r="GE33" s="595">
        <v>4083</v>
      </c>
      <c r="GF33" s="595">
        <v>1</v>
      </c>
      <c r="GG33" s="595">
        <v>400</v>
      </c>
      <c r="GH33" s="595">
        <v>1260867</v>
      </c>
      <c r="GI33" s="595" t="s">
        <v>1974</v>
      </c>
      <c r="GJ33" s="595" t="s">
        <v>1964</v>
      </c>
      <c r="GK33" s="595">
        <v>0</v>
      </c>
      <c r="GL33" s="595">
        <v>0</v>
      </c>
      <c r="GM33" s="595">
        <v>3</v>
      </c>
      <c r="GN33" s="595" t="s">
        <v>1975</v>
      </c>
      <c r="GO33" s="595">
        <v>1</v>
      </c>
      <c r="GP33" s="595">
        <v>1</v>
      </c>
      <c r="GQ33" s="595">
        <v>2107096384</v>
      </c>
      <c r="GR33" s="595">
        <v>46355924877</v>
      </c>
      <c r="GS33" s="595">
        <v>0</v>
      </c>
      <c r="GT33" s="595">
        <v>0</v>
      </c>
      <c r="GU33" s="595">
        <v>0</v>
      </c>
      <c r="GV33" s="595">
        <v>0</v>
      </c>
      <c r="GW33" s="595">
        <v>0</v>
      </c>
      <c r="GX33" s="595">
        <v>8</v>
      </c>
      <c r="GY33" s="595">
        <v>329660032</v>
      </c>
      <c r="GZ33" s="595">
        <v>604708977</v>
      </c>
      <c r="HA33" s="595" t="s">
        <v>1974</v>
      </c>
      <c r="HB33" s="595" t="s">
        <v>1964</v>
      </c>
      <c r="HC33" s="595">
        <v>0</v>
      </c>
      <c r="HD33" s="595">
        <v>0</v>
      </c>
      <c r="HE33" s="595">
        <v>3</v>
      </c>
      <c r="HF33" s="595" t="s">
        <v>1975</v>
      </c>
      <c r="HG33" s="595">
        <v>1</v>
      </c>
      <c r="HH33" s="595">
        <v>1</v>
      </c>
      <c r="HI33" s="595">
        <v>2107168960</v>
      </c>
      <c r="HJ33" s="595">
        <v>46357514676</v>
      </c>
      <c r="HK33" s="595">
        <v>0</v>
      </c>
      <c r="HL33" s="595">
        <v>0</v>
      </c>
      <c r="HM33" s="595">
        <v>0</v>
      </c>
      <c r="HN33" s="595">
        <v>1282822009</v>
      </c>
      <c r="HO33" s="595">
        <v>1182474019</v>
      </c>
      <c r="HP33" s="595">
        <v>2017</v>
      </c>
      <c r="HQ33" s="595">
        <v>3067255019</v>
      </c>
      <c r="HR33" s="595">
        <v>0</v>
      </c>
      <c r="HS33" s="595" t="s">
        <v>1974</v>
      </c>
      <c r="HT33" s="595" t="s">
        <v>1964</v>
      </c>
      <c r="HU33" s="595">
        <v>0</v>
      </c>
      <c r="HV33" s="595">
        <v>0</v>
      </c>
      <c r="HW33" s="595">
        <v>3</v>
      </c>
      <c r="HX33" s="595" t="s">
        <v>1975</v>
      </c>
      <c r="HY33" s="595">
        <v>1</v>
      </c>
      <c r="HZ33" s="595">
        <v>1</v>
      </c>
      <c r="IA33" s="595">
        <v>2107641120</v>
      </c>
      <c r="IB33" s="595">
        <v>46367818895</v>
      </c>
      <c r="IC33" s="595">
        <v>27797236600</v>
      </c>
      <c r="ID33" s="595">
        <v>679993639</v>
      </c>
      <c r="IE33" s="595">
        <v>0</v>
      </c>
      <c r="IF33" s="595">
        <v>27797217920</v>
      </c>
      <c r="IG33" s="595">
        <v>45073663</v>
      </c>
      <c r="IH33" s="595">
        <v>604720104</v>
      </c>
      <c r="II33" s="595">
        <v>0</v>
      </c>
      <c r="IJ33" s="595">
        <v>0</v>
      </c>
      <c r="IK33" s="595" t="s">
        <v>1974</v>
      </c>
      <c r="IL33" s="595" t="s">
        <v>1964</v>
      </c>
      <c r="IM33" s="595">
        <v>0</v>
      </c>
      <c r="IN33" s="595">
        <v>0</v>
      </c>
      <c r="IO33" s="595">
        <v>3</v>
      </c>
      <c r="IP33" s="595" t="s">
        <v>1975</v>
      </c>
      <c r="IQ33" s="595">
        <v>1</v>
      </c>
      <c r="IR33" s="595">
        <v>1</v>
      </c>
      <c r="IS33" s="595">
        <v>2107176896</v>
      </c>
      <c r="IT33" s="595">
        <v>46357686126</v>
      </c>
      <c r="IU33" s="595">
        <v>0</v>
      </c>
      <c r="IV33" s="595">
        <v>0</v>
      </c>
      <c r="IW33" s="595">
        <v>1017640000</v>
      </c>
      <c r="IX33" s="595">
        <v>0</v>
      </c>
      <c r="IY33" s="595">
        <v>516005000</v>
      </c>
      <c r="IZ33" s="595">
        <v>157662009</v>
      </c>
      <c r="JA33" s="595">
        <v>0</v>
      </c>
      <c r="JB33" s="595">
        <v>0</v>
      </c>
      <c r="JC33" s="595" t="s">
        <v>1974</v>
      </c>
      <c r="JD33" s="595" t="s">
        <v>1964</v>
      </c>
      <c r="JE33" s="595">
        <v>0</v>
      </c>
      <c r="JF33" s="595">
        <v>0</v>
      </c>
      <c r="JG33" s="595">
        <v>3</v>
      </c>
      <c r="JH33" s="595" t="s">
        <v>1975</v>
      </c>
      <c r="JI33" s="595">
        <v>1</v>
      </c>
      <c r="JJ33" s="595">
        <v>1</v>
      </c>
      <c r="JK33" s="595">
        <v>2107423616</v>
      </c>
      <c r="JL33" s="595">
        <v>46363134893</v>
      </c>
      <c r="JM33" s="595">
        <v>447838889</v>
      </c>
      <c r="JN33" s="595">
        <v>0</v>
      </c>
      <c r="JO33" s="595">
        <v>0</v>
      </c>
      <c r="JP33" s="595">
        <v>412761138</v>
      </c>
      <c r="JQ33" s="595">
        <v>0</v>
      </c>
      <c r="JR33" s="595">
        <v>0</v>
      </c>
      <c r="JS33" s="595">
        <v>40079607</v>
      </c>
      <c r="JT33" s="595">
        <v>0</v>
      </c>
      <c r="JU33" s="595" t="s">
        <v>1974</v>
      </c>
      <c r="JV33" s="595" t="s">
        <v>1964</v>
      </c>
      <c r="JW33" s="595">
        <v>0</v>
      </c>
      <c r="JX33" s="595">
        <v>0</v>
      </c>
      <c r="JY33" s="595">
        <v>3</v>
      </c>
      <c r="JZ33" s="595" t="s">
        <v>1975</v>
      </c>
      <c r="KA33" s="595">
        <v>1</v>
      </c>
      <c r="KB33" s="595">
        <v>1</v>
      </c>
      <c r="KC33" s="595">
        <v>2106916352</v>
      </c>
      <c r="KD33" s="595">
        <v>46351824761</v>
      </c>
      <c r="KE33" s="595">
        <v>0</v>
      </c>
      <c r="KF33" s="595">
        <v>2839530143</v>
      </c>
      <c r="KG33" s="595">
        <v>944310046</v>
      </c>
      <c r="KH33" s="595">
        <v>64964822144</v>
      </c>
      <c r="KI33" s="595">
        <v>47370183584</v>
      </c>
      <c r="KJ33" s="595">
        <v>4060301380</v>
      </c>
      <c r="KK33" s="595">
        <v>2960636476</v>
      </c>
      <c r="KL33" s="595">
        <v>0</v>
      </c>
      <c r="KM33" s="595" t="s">
        <v>1974</v>
      </c>
      <c r="KN33" s="595" t="s">
        <v>1964</v>
      </c>
      <c r="KO33" s="595">
        <v>0</v>
      </c>
      <c r="KP33" s="595">
        <v>0</v>
      </c>
      <c r="KQ33" s="595">
        <v>3</v>
      </c>
      <c r="KR33" s="595" t="s">
        <v>1975</v>
      </c>
      <c r="KS33" s="595">
        <v>1</v>
      </c>
      <c r="KT33" s="595">
        <v>1</v>
      </c>
      <c r="KU33" s="595">
        <v>2107265728</v>
      </c>
      <c r="KV33" s="595">
        <v>46359615390</v>
      </c>
      <c r="KW33" s="595">
        <v>5602846093</v>
      </c>
      <c r="KX33" s="595">
        <v>44844933</v>
      </c>
      <c r="KY33" s="595">
        <v>10946396</v>
      </c>
      <c r="KZ33" s="595">
        <v>25360576812</v>
      </c>
      <c r="LA33" s="595">
        <v>2508106374</v>
      </c>
      <c r="LB33" s="595">
        <v>226208</v>
      </c>
      <c r="LC33" s="595">
        <v>13394</v>
      </c>
      <c r="LD33" s="595">
        <v>14883</v>
      </c>
      <c r="LE33" s="595" t="s">
        <v>1974</v>
      </c>
      <c r="LF33" s="595" t="s">
        <v>1964</v>
      </c>
      <c r="LG33" s="595">
        <v>0</v>
      </c>
      <c r="LH33" s="595">
        <v>0</v>
      </c>
      <c r="LI33" s="595">
        <v>3</v>
      </c>
      <c r="LJ33" s="595" t="s">
        <v>1975</v>
      </c>
      <c r="LK33" s="595">
        <v>1</v>
      </c>
      <c r="LL33" s="595">
        <v>1</v>
      </c>
      <c r="LM33" s="595">
        <v>2107171328</v>
      </c>
      <c r="LN33" s="595">
        <v>46357578003</v>
      </c>
      <c r="LO33" s="595">
        <v>5548503024</v>
      </c>
      <c r="LP33" s="595">
        <v>618</v>
      </c>
      <c r="LQ33" s="595">
        <v>0</v>
      </c>
      <c r="LR33" s="595">
        <v>2508336622</v>
      </c>
      <c r="LS33" s="595">
        <v>68</v>
      </c>
      <c r="LT33" s="595">
        <v>0</v>
      </c>
      <c r="LU33" s="595">
        <v>5548373283</v>
      </c>
      <c r="LV33" s="595">
        <v>25145</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21.074378240000001</v>
      </c>
      <c r="ND33" s="208">
        <f t="shared" si="103"/>
        <v>2.9108506690634397</v>
      </c>
      <c r="NE33" s="209">
        <f t="shared" si="15"/>
        <v>4.1347542421297595E-2</v>
      </c>
      <c r="NF33" s="208">
        <f t="shared" si="16"/>
        <v>8.1677309130425844</v>
      </c>
      <c r="NG33" s="210"/>
      <c r="NH33" s="211">
        <f t="shared" si="104"/>
        <v>25360604782</v>
      </c>
      <c r="NI33" s="208">
        <f t="shared" si="17"/>
        <v>61344368000</v>
      </c>
      <c r="NJ33" s="212">
        <f t="shared" si="105"/>
        <v>0.28427638500628244</v>
      </c>
      <c r="NK33" s="213">
        <f t="shared" si="106"/>
        <v>0.78037220955638498</v>
      </c>
      <c r="NL33" s="214">
        <f t="shared" si="18"/>
        <v>0.95835221437440354</v>
      </c>
      <c r="NM33" s="208">
        <f t="shared" si="107"/>
        <v>0.5469964695849493</v>
      </c>
      <c r="NN33" s="208">
        <f t="shared" si="19"/>
        <v>1.2033856701814609</v>
      </c>
      <c r="NO33" s="215">
        <f t="shared" si="20"/>
        <v>1.6490453266555479E-4</v>
      </c>
      <c r="NP33" s="216">
        <f t="shared" si="108"/>
        <v>0</v>
      </c>
      <c r="NQ33" s="215">
        <f t="shared" si="109"/>
        <v>0.21811015529833669</v>
      </c>
      <c r="NR33" s="215">
        <f t="shared" si="110"/>
        <v>8.542847441487128E-2</v>
      </c>
      <c r="NS33" s="215">
        <f t="shared" si="21"/>
        <v>1.8161908507553844E-2</v>
      </c>
      <c r="NT33" s="215">
        <f t="shared" si="22"/>
        <v>7.5946895611891958E-3</v>
      </c>
      <c r="NU33" s="215">
        <f t="shared" si="23"/>
        <v>0.18854402043012516</v>
      </c>
      <c r="NV33" s="215">
        <f t="shared" si="111"/>
        <v>3.6233649885417365</v>
      </c>
      <c r="NW33" s="215">
        <f t="shared" si="24"/>
        <v>1.7877068077903326</v>
      </c>
      <c r="NX33" s="215">
        <f t="shared" si="25"/>
        <v>8.7062600514124142</v>
      </c>
      <c r="NY33" s="215">
        <f t="shared" si="26"/>
        <v>9.352817592539588E-4</v>
      </c>
      <c r="NZ33" s="215">
        <f t="shared" si="27"/>
        <v>0.90922722082629182</v>
      </c>
      <c r="OA33" s="215">
        <f t="shared" si="28"/>
        <v>0</v>
      </c>
      <c r="OB33" s="215">
        <f t="shared" si="29"/>
        <v>0.10898167985006244</v>
      </c>
      <c r="OC33" s="215">
        <f t="shared" si="30"/>
        <v>0</v>
      </c>
      <c r="OD33" s="215">
        <f t="shared" si="31"/>
        <v>2.6671080640168254</v>
      </c>
      <c r="OE33" s="215">
        <f t="shared" si="32"/>
        <v>0.81682922941388703</v>
      </c>
      <c r="OF33" s="215">
        <f t="shared" si="33"/>
        <v>0.51655721210855587</v>
      </c>
      <c r="OG33" s="215">
        <f t="shared" si="34"/>
        <v>1.4194189008794746</v>
      </c>
      <c r="OH33" s="215">
        <f t="shared" si="35"/>
        <v>0</v>
      </c>
      <c r="OI33" s="215">
        <f t="shared" si="112"/>
        <v>21.074378240000001</v>
      </c>
      <c r="OJ33" s="218">
        <f t="shared" si="113"/>
        <v>0.22469861281902886</v>
      </c>
      <c r="OK33" s="218">
        <f t="shared" si="114"/>
        <v>0.19973146985591034</v>
      </c>
      <c r="OL33" s="218">
        <f t="shared" si="115"/>
        <v>1.5257949233311316E-2</v>
      </c>
      <c r="OM33" s="218">
        <f t="shared" si="116"/>
        <v>2.4247961842365533E-2</v>
      </c>
      <c r="ON33" s="217">
        <f t="shared" si="36"/>
        <v>0.22308758382048546</v>
      </c>
      <c r="OO33" s="210"/>
      <c r="OP33" s="210"/>
      <c r="OQ33" s="218">
        <f t="shared" si="117"/>
        <v>0.15054839242904725</v>
      </c>
      <c r="OR33" s="218">
        <f t="shared" si="118"/>
        <v>0.1484452608738191</v>
      </c>
      <c r="OS33" s="218">
        <f t="shared" si="37"/>
        <v>0.9228894372074784</v>
      </c>
      <c r="OT33" s="218">
        <f t="shared" si="38"/>
        <v>0.99824796461279597</v>
      </c>
      <c r="OU33" s="209">
        <f t="shared" si="39"/>
        <v>1.0000000009851486</v>
      </c>
      <c r="OV33" s="209">
        <f t="shared" si="40"/>
        <v>0.99999999932446959</v>
      </c>
      <c r="OW33" s="209">
        <f t="shared" si="119"/>
        <v>9.187878712965461E-3</v>
      </c>
      <c r="OX33" s="219">
        <f t="shared" si="41"/>
        <v>1.577249452205118E-8</v>
      </c>
      <c r="OY33" s="208">
        <f t="shared" si="120"/>
        <v>6328076038</v>
      </c>
      <c r="OZ33" s="208">
        <f t="shared" si="42"/>
        <v>467716219</v>
      </c>
      <c r="PA33" s="209">
        <f t="shared" si="121"/>
        <v>7.3911283017361246E-2</v>
      </c>
      <c r="PB33" s="209">
        <f>IF(OR($CQ33="",$OZ33=""),"",IF($OZ33=0,0,
GuardLimitUpper(
  ($OZ33-$CQ33)/$OZ33,
  data_GuardLimitFlag,
  1)
))</f>
        <v>3.3305545899831195E-2</v>
      </c>
      <c r="PC33" s="209">
        <f t="shared" si="43"/>
        <v>0.95521520924635717</v>
      </c>
      <c r="PD33" s="209">
        <f t="shared" si="44"/>
        <v>1.1479244853811665E-2</v>
      </c>
      <c r="PE33" s="208">
        <f t="shared" si="122"/>
        <v>462891583</v>
      </c>
      <c r="PF33" s="209">
        <f t="shared" si="123"/>
        <v>7.3148865503565877E-2</v>
      </c>
      <c r="PG33" s="209">
        <f t="shared" si="45"/>
        <v>3.8004534279602299E-2</v>
      </c>
      <c r="PH33" s="209">
        <f t="shared" si="46"/>
        <v>0.96471792104838738</v>
      </c>
      <c r="PI33" s="209">
        <f t="shared" si="47"/>
        <v>0</v>
      </c>
      <c r="PJ33" s="220">
        <f t="shared" si="48"/>
        <v>6.4521980701269188E-7</v>
      </c>
      <c r="PK33" s="220">
        <f t="shared" si="49"/>
        <v>1.5802591403690715E-10</v>
      </c>
      <c r="PL33" s="221">
        <f t="shared" si="124"/>
        <v>157660000</v>
      </c>
      <c r="PM33" s="221">
        <f t="shared" si="50"/>
        <v>0</v>
      </c>
      <c r="PN33" s="221">
        <f t="shared" si="125"/>
        <v>945960000</v>
      </c>
      <c r="PO33" s="221">
        <f t="shared" si="51"/>
        <v>0</v>
      </c>
      <c r="PP33" s="221">
        <f t="shared" si="52"/>
        <v>0</v>
      </c>
      <c r="PQ33" s="529">
        <f t="shared" si="126"/>
        <v>0</v>
      </c>
      <c r="PR33" s="221">
        <f t="shared" si="53"/>
        <v>0</v>
      </c>
      <c r="PS33" s="221">
        <f t="shared" si="54"/>
        <v>3547475627</v>
      </c>
      <c r="PT33" s="221">
        <f t="shared" si="127"/>
        <v>21504000</v>
      </c>
      <c r="PU33" s="221">
        <f t="shared" si="55"/>
        <v>0</v>
      </c>
      <c r="PV33" s="221">
        <f t="shared" si="128"/>
        <v>472980000</v>
      </c>
      <c r="PW33" s="221">
        <f t="shared" si="56"/>
        <v>0</v>
      </c>
      <c r="PX33" s="221">
        <f t="shared" si="162"/>
        <v>0</v>
      </c>
      <c r="PY33" s="221">
        <f t="shared" si="57"/>
        <v>1182496411</v>
      </c>
      <c r="PZ33" s="221">
        <f t="shared" si="58"/>
        <v>0</v>
      </c>
      <c r="QA33" s="221">
        <f t="shared" si="59"/>
        <v>0</v>
      </c>
      <c r="QB33" s="221">
        <f t="shared" si="60"/>
        <v>5362040</v>
      </c>
      <c r="QC33" s="221">
        <f t="shared" si="61"/>
        <v>8</v>
      </c>
      <c r="QD33" s="221">
        <f t="shared" si="129"/>
        <v>6664786000</v>
      </c>
      <c r="QE33" s="221">
        <f t="shared" si="130"/>
        <v>6650444000</v>
      </c>
      <c r="QF33" s="221">
        <f t="shared" si="131"/>
        <v>508816000</v>
      </c>
      <c r="QG33" s="222">
        <f t="shared" si="62"/>
        <v>0</v>
      </c>
      <c r="QH33" s="222">
        <f t="shared" si="63"/>
        <v>1282822009</v>
      </c>
      <c r="QI33" s="222">
        <f t="shared" si="64"/>
        <v>329660032</v>
      </c>
      <c r="QJ33" s="222">
        <f t="shared" si="65"/>
        <v>604708977</v>
      </c>
      <c r="QK33" s="222">
        <f t="shared" si="66"/>
        <v>2017</v>
      </c>
      <c r="QL33" s="222">
        <f t="shared" si="132"/>
        <v>0</v>
      </c>
      <c r="QM33" s="222">
        <f>IF(OR($O$8="Lv2",$O$8="Lv3",$O$8="Lv4"),IF(OR($AS33="",COUNT($PL33:$QL33)=0),"",
GuardLimitLower(
  $AS33-SUM($PL33:$QL33),
  data_GuardLimitFlag,
  0)
),"")</f>
        <v>2985927661</v>
      </c>
      <c r="QN33" s="222">
        <f t="shared" si="133"/>
        <v>25360604782</v>
      </c>
      <c r="QO33" s="222">
        <f t="shared" si="134"/>
        <v>61344368000</v>
      </c>
      <c r="QP33" s="222">
        <f t="shared" si="135"/>
        <v>0</v>
      </c>
      <c r="QQ33" s="222">
        <f t="shared" si="136"/>
        <v>0</v>
      </c>
      <c r="QR33" s="222">
        <f t="shared" si="67"/>
        <v>2.7896201844101616</v>
      </c>
      <c r="QS33" s="209">
        <f t="shared" si="68"/>
        <v>0</v>
      </c>
      <c r="QT33" s="209">
        <f t="shared" si="69"/>
        <v>0.75043606525846329</v>
      </c>
      <c r="QU33" s="209">
        <f t="shared" si="70"/>
        <v>0.24956393474153674</v>
      </c>
      <c r="QV33" s="208">
        <f t="shared" si="71"/>
        <v>27797236600</v>
      </c>
      <c r="QW33" s="208">
        <f t="shared" si="72"/>
        <v>516005000</v>
      </c>
      <c r="QX33" s="208">
        <f t="shared" si="73"/>
        <v>157662009</v>
      </c>
      <c r="QY33" s="208">
        <f t="shared" si="74"/>
        <v>1017640000</v>
      </c>
      <c r="QZ33" s="208">
        <f t="shared" si="75"/>
        <v>0</v>
      </c>
      <c r="RA33" s="209">
        <f t="shared" si="137"/>
        <v>0.99999932799075431</v>
      </c>
      <c r="RB33" s="209">
        <f t="shared" si="76"/>
        <v>7.4537777202536876E-2</v>
      </c>
      <c r="RC33" s="209">
        <f t="shared" si="77"/>
        <v>0.49722328794213638</v>
      </c>
      <c r="RD33" s="209">
        <f t="shared" si="78"/>
        <v>0</v>
      </c>
      <c r="RE33" s="209">
        <f t="shared" si="79"/>
        <v>0</v>
      </c>
      <c r="RF33" s="209">
        <f t="shared" si="80"/>
        <v>0.45827741898291885</v>
      </c>
      <c r="RG33" s="209">
        <f t="shared" si="81"/>
        <v>0</v>
      </c>
      <c r="RH33" s="209">
        <f t="shared" si="82"/>
        <v>0</v>
      </c>
      <c r="RI33" s="209">
        <f t="shared" si="83"/>
        <v>4.4499293074944782E-2</v>
      </c>
      <c r="RJ33" s="134"/>
      <c r="RK33" s="134"/>
      <c r="RL33" s="134"/>
      <c r="RM33" s="134"/>
      <c r="RN33" s="134"/>
      <c r="RO33" s="134"/>
      <c r="RP33" s="134"/>
      <c r="RQ33" s="134"/>
      <c r="RR33" s="222">
        <f t="shared" si="84"/>
        <v>1.9130125606021198</v>
      </c>
      <c r="RS33" s="224"/>
      <c r="RT33" s="224"/>
      <c r="RU33" s="208">
        <f t="shared" si="138"/>
        <v>21.074378240000001</v>
      </c>
      <c r="RV33" s="208">
        <f t="shared" si="139"/>
        <v>1</v>
      </c>
      <c r="RW33" s="208">
        <f t="shared" si="140"/>
        <v>0.99998899267033659</v>
      </c>
      <c r="RX33" s="208">
        <f t="shared" si="141"/>
        <v>0.99978402208474948</v>
      </c>
      <c r="RY33" s="208">
        <f t="shared" si="142"/>
        <v>0.99984887188748062</v>
      </c>
      <c r="RZ33" s="208">
        <f t="shared" si="85"/>
        <v>0.99966881518906137</v>
      </c>
      <c r="SA33" s="208">
        <f t="shared" si="86"/>
        <v>0.99993437216942516</v>
      </c>
      <c r="SB33" s="208">
        <f t="shared" si="87"/>
        <v>0.99969149522266587</v>
      </c>
      <c r="SC33" s="208">
        <f t="shared" si="88"/>
        <v>0.99969674410667309</v>
      </c>
      <c r="SD33" s="208">
        <f t="shared" si="89"/>
        <v>0.99992540502754534</v>
      </c>
      <c r="SE33" s="208">
        <f t="shared" si="90"/>
        <v>0.99983921795355712</v>
      </c>
      <c r="SF33" s="208">
        <f t="shared" si="91"/>
        <v>0.99987350792604901</v>
      </c>
      <c r="SG33" s="208">
        <f t="shared" si="92"/>
        <v>1.0000957570192106</v>
      </c>
      <c r="SH33" s="208">
        <f t="shared" si="93"/>
        <v>0.99999472896488961</v>
      </c>
      <c r="SI33" s="208">
        <f t="shared" si="94"/>
        <v>0.99987720588773077</v>
      </c>
      <c r="SJ33" s="208">
        <f t="shared" si="95"/>
        <v>0.99975078358867642</v>
      </c>
      <c r="SK33" s="208">
        <f t="shared" si="96"/>
        <v>0.99991881769493995</v>
      </c>
      <c r="SL33" s="208">
        <f t="shared" si="97"/>
        <v>0.99987487381009343</v>
      </c>
      <c r="SM33" s="222">
        <f t="shared" si="143"/>
        <v>1</v>
      </c>
      <c r="SN33" s="225">
        <f t="shared" si="98"/>
        <v>21.074378240000001</v>
      </c>
      <c r="SO33" s="209">
        <f t="shared" si="144"/>
        <v>1</v>
      </c>
      <c r="SP33" s="209">
        <f t="shared" si="145"/>
        <v>0.99999827125872642</v>
      </c>
      <c r="SQ33" s="222">
        <f t="shared" si="146"/>
        <v>46363379276</v>
      </c>
      <c r="SR33" s="222">
        <f t="shared" si="147"/>
        <v>46362868939</v>
      </c>
      <c r="SS33" s="222">
        <f t="shared" si="148"/>
        <v>46353365810</v>
      </c>
      <c r="ST33" s="222">
        <f t="shared" si="149"/>
        <v>46356372466</v>
      </c>
      <c r="SU33" s="222">
        <f t="shared" si="150"/>
        <v>46348024429</v>
      </c>
      <c r="SV33" s="222">
        <f t="shared" si="151"/>
        <v>46360336548</v>
      </c>
      <c r="SW33" s="222">
        <f t="shared" si="152"/>
        <v>46349075952</v>
      </c>
      <c r="SX33" s="222">
        <f t="shared" si="153"/>
        <v>46349319308</v>
      </c>
      <c r="SY33" s="222">
        <f t="shared" si="154"/>
        <v>46359920801</v>
      </c>
      <c r="SZ33" s="222">
        <f t="shared" si="155"/>
        <v>46355924877</v>
      </c>
      <c r="TA33" s="222">
        <f t="shared" si="156"/>
        <v>46357514676</v>
      </c>
      <c r="TB33" s="222">
        <f t="shared" si="157"/>
        <v>46367818895</v>
      </c>
      <c r="TC33" s="222">
        <f t="shared" si="99"/>
        <v>46363134893</v>
      </c>
      <c r="TD33" s="222">
        <f t="shared" si="158"/>
        <v>46357686126</v>
      </c>
      <c r="TE33" s="222">
        <f t="shared" si="159"/>
        <v>46351824761</v>
      </c>
      <c r="TF33" s="222">
        <f t="shared" si="160"/>
        <v>46359615390</v>
      </c>
      <c r="TG33" s="222">
        <f t="shared" si="161"/>
        <v>46357578003</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x14ac:dyDescent="0.25">
      <c r="AB34" s="254">
        <v>4</v>
      </c>
      <c r="AC34" s="430" t="s">
        <v>1974</v>
      </c>
      <c r="AD34" s="430" t="s">
        <v>1964</v>
      </c>
      <c r="AE34" s="430">
        <v>0</v>
      </c>
      <c r="AF34" s="430">
        <v>0</v>
      </c>
      <c r="AG34" s="430">
        <v>4</v>
      </c>
      <c r="AH34" s="430" t="s">
        <v>1975</v>
      </c>
      <c r="AI34" s="430">
        <v>1</v>
      </c>
      <c r="AJ34" s="430">
        <v>1</v>
      </c>
      <c r="AK34" s="594">
        <v>2102841344</v>
      </c>
      <c r="AL34" s="594">
        <v>46262123422</v>
      </c>
      <c r="AM34" s="430">
        <v>11967860000</v>
      </c>
      <c r="AN34" s="430">
        <v>13472928000</v>
      </c>
      <c r="AO34" s="430">
        <v>466857714</v>
      </c>
      <c r="AP34" s="430">
        <v>209619846</v>
      </c>
      <c r="AQ34" s="595">
        <v>3371216</v>
      </c>
      <c r="AR34" s="595">
        <v>833000</v>
      </c>
      <c r="AS34" s="594">
        <v>25360641496</v>
      </c>
      <c r="AT34" s="594">
        <v>7209421049</v>
      </c>
      <c r="AU34" s="430" t="s">
        <v>1974</v>
      </c>
      <c r="AV34" s="430" t="s">
        <v>1964</v>
      </c>
      <c r="AW34" s="430">
        <v>0</v>
      </c>
      <c r="AX34" s="430">
        <v>0</v>
      </c>
      <c r="AY34" s="430">
        <v>4</v>
      </c>
      <c r="AZ34" s="430" t="s">
        <v>1975</v>
      </c>
      <c r="BA34" s="430">
        <v>1</v>
      </c>
      <c r="BB34" s="430">
        <v>1</v>
      </c>
      <c r="BC34" s="430">
        <v>2103173088</v>
      </c>
      <c r="BD34" s="430">
        <v>46269538258</v>
      </c>
      <c r="BE34" s="430">
        <v>34347527100</v>
      </c>
      <c r="BF34" s="595">
        <v>5867629027</v>
      </c>
      <c r="BG34" s="430">
        <v>9051612780</v>
      </c>
      <c r="BH34" s="595">
        <v>350133</v>
      </c>
      <c r="BI34" s="430">
        <v>23046620845</v>
      </c>
      <c r="BJ34" s="430">
        <v>239697497</v>
      </c>
      <c r="BK34" s="430">
        <v>0</v>
      </c>
      <c r="BL34" s="430">
        <v>0</v>
      </c>
      <c r="BM34" s="430" t="s">
        <v>1974</v>
      </c>
      <c r="BN34" s="430" t="s">
        <v>1964</v>
      </c>
      <c r="BO34" s="430">
        <v>0</v>
      </c>
      <c r="BP34" s="430">
        <v>0</v>
      </c>
      <c r="BQ34" s="430">
        <v>4</v>
      </c>
      <c r="BR34" s="430" t="s">
        <v>1975</v>
      </c>
      <c r="BS34" s="430">
        <v>1</v>
      </c>
      <c r="BT34" s="430">
        <v>1</v>
      </c>
      <c r="BU34" s="430">
        <v>2103192000</v>
      </c>
      <c r="BV34" s="430">
        <v>46269615891</v>
      </c>
      <c r="BW34" s="594">
        <v>9062303649</v>
      </c>
      <c r="BX34" s="594">
        <v>11609362432</v>
      </c>
      <c r="BY34" s="430">
        <v>21698824464</v>
      </c>
      <c r="BZ34" s="430">
        <v>424243859</v>
      </c>
      <c r="CA34" s="430">
        <v>10414373233</v>
      </c>
      <c r="CB34" s="430">
        <v>153768604702</v>
      </c>
      <c r="CC34" s="430">
        <v>9259164553</v>
      </c>
      <c r="CD34" s="430">
        <v>147885839712</v>
      </c>
      <c r="CE34" s="430" t="s">
        <v>1974</v>
      </c>
      <c r="CF34" s="430" t="s">
        <v>1964</v>
      </c>
      <c r="CG34" s="430">
        <v>0</v>
      </c>
      <c r="CH34" s="430">
        <v>0</v>
      </c>
      <c r="CI34" s="430">
        <v>4</v>
      </c>
      <c r="CJ34" s="430" t="s">
        <v>1975</v>
      </c>
      <c r="CK34" s="430">
        <v>1</v>
      </c>
      <c r="CL34" s="430">
        <v>1</v>
      </c>
      <c r="CM34" s="430">
        <v>2103041472</v>
      </c>
      <c r="CN34" s="430">
        <v>46266719084</v>
      </c>
      <c r="CO34" s="430">
        <v>3355979</v>
      </c>
      <c r="CP34" s="430">
        <v>467633260</v>
      </c>
      <c r="CQ34" s="430">
        <v>452745861</v>
      </c>
      <c r="CR34" s="430">
        <v>466672583</v>
      </c>
      <c r="CS34" s="430">
        <v>20204327</v>
      </c>
      <c r="CT34" s="430">
        <v>945960000</v>
      </c>
      <c r="CU34" s="430">
        <v>472980000</v>
      </c>
      <c r="CV34" s="430">
        <v>826908</v>
      </c>
      <c r="CW34" s="430" t="s">
        <v>1974</v>
      </c>
      <c r="CX34" s="430" t="s">
        <v>1964</v>
      </c>
      <c r="CY34" s="430">
        <v>0</v>
      </c>
      <c r="CZ34" s="430">
        <v>0</v>
      </c>
      <c r="DA34" s="430">
        <v>4</v>
      </c>
      <c r="DB34" s="430" t="s">
        <v>1975</v>
      </c>
      <c r="DC34" s="430">
        <v>1</v>
      </c>
      <c r="DD34" s="430">
        <v>1</v>
      </c>
      <c r="DE34" s="430">
        <v>2102659360</v>
      </c>
      <c r="DF34" s="430">
        <v>46258305811</v>
      </c>
      <c r="DG34" s="430">
        <v>13824046000</v>
      </c>
      <c r="DH34" s="430">
        <v>6650444000</v>
      </c>
      <c r="DI34" s="430">
        <v>508816000</v>
      </c>
      <c r="DJ34" s="430">
        <v>4651094712</v>
      </c>
      <c r="DK34" s="430">
        <v>1676980140</v>
      </c>
      <c r="DL34" s="430">
        <v>4170875009</v>
      </c>
      <c r="DM34" s="430">
        <v>1676958009</v>
      </c>
      <c r="DN34" s="430">
        <v>5362040</v>
      </c>
      <c r="DO34" s="595" t="s">
        <v>1974</v>
      </c>
      <c r="DP34" s="595" t="s">
        <v>1964</v>
      </c>
      <c r="DQ34" s="595">
        <v>0</v>
      </c>
      <c r="DR34" s="595">
        <v>0</v>
      </c>
      <c r="DS34" s="595">
        <v>4</v>
      </c>
      <c r="DT34" s="595" t="s">
        <v>1975</v>
      </c>
      <c r="DU34" s="595">
        <v>1</v>
      </c>
      <c r="DV34" s="595">
        <v>1</v>
      </c>
      <c r="DW34" s="595">
        <v>2103211136</v>
      </c>
      <c r="DX34" s="595">
        <v>46270443911</v>
      </c>
      <c r="DY34" s="595">
        <v>544493330</v>
      </c>
      <c r="DZ34" s="595">
        <v>471471978</v>
      </c>
      <c r="EA34" s="595">
        <v>41888373</v>
      </c>
      <c r="EB34" s="430">
        <v>601713227</v>
      </c>
      <c r="EC34" s="595">
        <v>485997414</v>
      </c>
      <c r="ED34" s="595">
        <v>0</v>
      </c>
      <c r="EE34" s="595">
        <v>0</v>
      </c>
      <c r="EF34" s="595">
        <v>19111018612</v>
      </c>
      <c r="EG34" s="595" t="s">
        <v>1974</v>
      </c>
      <c r="EH34" s="595" t="s">
        <v>1964</v>
      </c>
      <c r="EI34" s="595">
        <v>0</v>
      </c>
      <c r="EJ34" s="595">
        <v>0</v>
      </c>
      <c r="EK34" s="595">
        <v>4</v>
      </c>
      <c r="EL34" s="595" t="s">
        <v>1975</v>
      </c>
      <c r="EM34" s="595">
        <v>1</v>
      </c>
      <c r="EN34" s="595">
        <v>1</v>
      </c>
      <c r="EO34" s="595">
        <v>2102732448</v>
      </c>
      <c r="EP34" s="595">
        <v>46259898663</v>
      </c>
      <c r="EQ34" s="595">
        <v>1793122562</v>
      </c>
      <c r="ER34" s="595">
        <v>1138236200</v>
      </c>
      <c r="ES34" s="430">
        <v>3123040713</v>
      </c>
      <c r="ET34" s="595">
        <v>2061044</v>
      </c>
      <c r="EU34" s="595">
        <v>11967860000</v>
      </c>
      <c r="EV34" s="595">
        <v>0</v>
      </c>
      <c r="EW34" s="595">
        <v>13472928000</v>
      </c>
      <c r="EX34" s="595">
        <v>0</v>
      </c>
      <c r="EY34" s="595" t="s">
        <v>1974</v>
      </c>
      <c r="EZ34" s="595" t="s">
        <v>1964</v>
      </c>
      <c r="FA34" s="595">
        <v>0</v>
      </c>
      <c r="FB34" s="595">
        <v>0</v>
      </c>
      <c r="FC34" s="595">
        <v>4</v>
      </c>
      <c r="FD34" s="595" t="s">
        <v>1975</v>
      </c>
      <c r="FE34" s="595">
        <v>1</v>
      </c>
      <c r="FF34" s="595">
        <v>1</v>
      </c>
      <c r="FG34" s="595">
        <v>2102887808</v>
      </c>
      <c r="FH34" s="595">
        <v>46263315752</v>
      </c>
      <c r="FI34" s="595">
        <v>2021</v>
      </c>
      <c r="FJ34" s="595">
        <v>5031251935</v>
      </c>
      <c r="FK34" s="595">
        <v>1558814397</v>
      </c>
      <c r="FL34" s="595">
        <v>612919231</v>
      </c>
      <c r="FM34" s="595">
        <v>6984777577</v>
      </c>
      <c r="FN34" s="595">
        <v>6877494923</v>
      </c>
      <c r="FO34" s="430">
        <v>708858426</v>
      </c>
      <c r="FP34" s="430">
        <v>1117966186</v>
      </c>
      <c r="FQ34" s="595" t="s">
        <v>1974</v>
      </c>
      <c r="FR34" s="595" t="s">
        <v>1964</v>
      </c>
      <c r="FS34" s="595">
        <v>0</v>
      </c>
      <c r="FT34" s="595">
        <v>0</v>
      </c>
      <c r="FU34" s="595">
        <v>4</v>
      </c>
      <c r="FV34" s="595" t="s">
        <v>1975</v>
      </c>
      <c r="FW34" s="595">
        <v>1</v>
      </c>
      <c r="FX34" s="595">
        <v>1</v>
      </c>
      <c r="FY34" s="595">
        <v>2103146272</v>
      </c>
      <c r="FZ34" s="595">
        <v>46269021349</v>
      </c>
      <c r="GA34" s="595">
        <v>452747109</v>
      </c>
      <c r="GB34" s="595">
        <v>447384348</v>
      </c>
      <c r="GC34" s="595">
        <v>446537282</v>
      </c>
      <c r="GD34" s="595">
        <v>446537282</v>
      </c>
      <c r="GE34" s="595">
        <v>3758</v>
      </c>
      <c r="GF34" s="595">
        <v>7</v>
      </c>
      <c r="GG34" s="595">
        <v>447</v>
      </c>
      <c r="GH34" s="595">
        <v>824771</v>
      </c>
      <c r="GI34" s="595" t="s">
        <v>1974</v>
      </c>
      <c r="GJ34" s="595" t="s">
        <v>1964</v>
      </c>
      <c r="GK34" s="595">
        <v>0</v>
      </c>
      <c r="GL34" s="595">
        <v>0</v>
      </c>
      <c r="GM34" s="595">
        <v>4</v>
      </c>
      <c r="GN34" s="595" t="s">
        <v>1975</v>
      </c>
      <c r="GO34" s="595">
        <v>1</v>
      </c>
      <c r="GP34" s="595">
        <v>1</v>
      </c>
      <c r="GQ34" s="595">
        <v>2103114144</v>
      </c>
      <c r="GR34" s="595">
        <v>46268324617</v>
      </c>
      <c r="GS34" s="595">
        <v>0</v>
      </c>
      <c r="GT34" s="595">
        <v>0</v>
      </c>
      <c r="GU34" s="595">
        <v>0</v>
      </c>
      <c r="GV34" s="595">
        <v>0</v>
      </c>
      <c r="GW34" s="595">
        <v>0</v>
      </c>
      <c r="GX34" s="595">
        <v>8</v>
      </c>
      <c r="GY34" s="595">
        <v>329660032</v>
      </c>
      <c r="GZ34" s="595">
        <v>604708810</v>
      </c>
      <c r="HA34" s="595" t="s">
        <v>1974</v>
      </c>
      <c r="HB34" s="595" t="s">
        <v>1964</v>
      </c>
      <c r="HC34" s="595">
        <v>0</v>
      </c>
      <c r="HD34" s="595">
        <v>0</v>
      </c>
      <c r="HE34" s="595">
        <v>4</v>
      </c>
      <c r="HF34" s="595" t="s">
        <v>1975</v>
      </c>
      <c r="HG34" s="595">
        <v>1</v>
      </c>
      <c r="HH34" s="595">
        <v>1</v>
      </c>
      <c r="HI34" s="595">
        <v>2102761504</v>
      </c>
      <c r="HJ34" s="595">
        <v>46260578437</v>
      </c>
      <c r="HK34" s="595">
        <v>0</v>
      </c>
      <c r="HL34" s="595">
        <v>0</v>
      </c>
      <c r="HM34" s="595">
        <v>0</v>
      </c>
      <c r="HN34" s="595">
        <v>1282822001</v>
      </c>
      <c r="HO34" s="595">
        <v>1182474009</v>
      </c>
      <c r="HP34" s="595">
        <v>2017</v>
      </c>
      <c r="HQ34" s="595">
        <v>3067255009</v>
      </c>
      <c r="HR34" s="595">
        <v>0</v>
      </c>
      <c r="HS34" s="595" t="s">
        <v>1974</v>
      </c>
      <c r="HT34" s="595" t="s">
        <v>1964</v>
      </c>
      <c r="HU34" s="595">
        <v>0</v>
      </c>
      <c r="HV34" s="595">
        <v>0</v>
      </c>
      <c r="HW34" s="595">
        <v>4</v>
      </c>
      <c r="HX34" s="595" t="s">
        <v>1975</v>
      </c>
      <c r="HY34" s="595">
        <v>1</v>
      </c>
      <c r="HZ34" s="595">
        <v>1</v>
      </c>
      <c r="IA34" s="595">
        <v>2100675520</v>
      </c>
      <c r="IB34" s="595">
        <v>46214588840</v>
      </c>
      <c r="IC34" s="595">
        <v>27797234066</v>
      </c>
      <c r="ID34" s="595">
        <v>680915203</v>
      </c>
      <c r="IE34" s="595">
        <v>0</v>
      </c>
      <c r="IF34" s="595">
        <v>27797215373</v>
      </c>
      <c r="IG34" s="595">
        <v>45066982</v>
      </c>
      <c r="IH34" s="595">
        <v>604719600</v>
      </c>
      <c r="II34" s="595">
        <v>0</v>
      </c>
      <c r="IJ34" s="595">
        <v>0</v>
      </c>
      <c r="IK34" s="595" t="s">
        <v>1974</v>
      </c>
      <c r="IL34" s="595" t="s">
        <v>1964</v>
      </c>
      <c r="IM34" s="595">
        <v>0</v>
      </c>
      <c r="IN34" s="595">
        <v>0</v>
      </c>
      <c r="IO34" s="595">
        <v>4</v>
      </c>
      <c r="IP34" s="595" t="s">
        <v>1975</v>
      </c>
      <c r="IQ34" s="595">
        <v>1</v>
      </c>
      <c r="IR34" s="595">
        <v>1</v>
      </c>
      <c r="IS34" s="595">
        <v>2103234976</v>
      </c>
      <c r="IT34" s="595">
        <v>46270983036</v>
      </c>
      <c r="IU34" s="595">
        <v>0</v>
      </c>
      <c r="IV34" s="595">
        <v>0</v>
      </c>
      <c r="IW34" s="595">
        <v>1017640000</v>
      </c>
      <c r="IX34" s="595">
        <v>0</v>
      </c>
      <c r="IY34" s="595">
        <v>516005000</v>
      </c>
      <c r="IZ34" s="595">
        <v>157662001</v>
      </c>
      <c r="JA34" s="595">
        <v>0</v>
      </c>
      <c r="JB34" s="595">
        <v>0</v>
      </c>
      <c r="JC34" s="595" t="s">
        <v>1974</v>
      </c>
      <c r="JD34" s="595" t="s">
        <v>1964</v>
      </c>
      <c r="JE34" s="595">
        <v>0</v>
      </c>
      <c r="JF34" s="595">
        <v>0</v>
      </c>
      <c r="JG34" s="595">
        <v>4</v>
      </c>
      <c r="JH34" s="595" t="s">
        <v>1975</v>
      </c>
      <c r="JI34" s="595">
        <v>1</v>
      </c>
      <c r="JJ34" s="595">
        <v>1</v>
      </c>
      <c r="JK34" s="595">
        <v>2103803104</v>
      </c>
      <c r="JL34" s="595">
        <v>46283498332</v>
      </c>
      <c r="JM34" s="595">
        <v>448203968</v>
      </c>
      <c r="JN34" s="595">
        <v>0</v>
      </c>
      <c r="JO34" s="595">
        <v>0</v>
      </c>
      <c r="JP34" s="595">
        <v>412353422</v>
      </c>
      <c r="JQ34" s="595">
        <v>0</v>
      </c>
      <c r="JR34" s="595">
        <v>0</v>
      </c>
      <c r="JS34" s="595">
        <v>39877319</v>
      </c>
      <c r="JT34" s="595">
        <v>0</v>
      </c>
      <c r="JU34" s="595" t="s">
        <v>1974</v>
      </c>
      <c r="JV34" s="595" t="s">
        <v>1964</v>
      </c>
      <c r="JW34" s="595">
        <v>0</v>
      </c>
      <c r="JX34" s="595">
        <v>0</v>
      </c>
      <c r="JY34" s="595">
        <v>4</v>
      </c>
      <c r="JZ34" s="595" t="s">
        <v>1975</v>
      </c>
      <c r="KA34" s="595">
        <v>1</v>
      </c>
      <c r="KB34" s="595">
        <v>1</v>
      </c>
      <c r="KC34" s="595">
        <v>2103591456</v>
      </c>
      <c r="KD34" s="595">
        <v>46278679882</v>
      </c>
      <c r="KE34" s="595">
        <v>0</v>
      </c>
      <c r="KF34" s="595">
        <v>2839530168</v>
      </c>
      <c r="KG34" s="595">
        <v>944310082</v>
      </c>
      <c r="KH34" s="595">
        <v>65041741216</v>
      </c>
      <c r="KI34" s="595">
        <v>47292388368</v>
      </c>
      <c r="KJ34" s="595">
        <v>4065108821</v>
      </c>
      <c r="KK34" s="595">
        <v>2955774275</v>
      </c>
      <c r="KL34" s="595">
        <v>0</v>
      </c>
      <c r="KM34" s="595" t="s">
        <v>1974</v>
      </c>
      <c r="KN34" s="595" t="s">
        <v>1964</v>
      </c>
      <c r="KO34" s="595">
        <v>0</v>
      </c>
      <c r="KP34" s="595">
        <v>0</v>
      </c>
      <c r="KQ34" s="595">
        <v>4</v>
      </c>
      <c r="KR34" s="595" t="s">
        <v>1975</v>
      </c>
      <c r="KS34" s="595">
        <v>1</v>
      </c>
      <c r="KT34" s="595">
        <v>1</v>
      </c>
      <c r="KU34" s="595">
        <v>2103097120</v>
      </c>
      <c r="KV34" s="595">
        <v>46267926880</v>
      </c>
      <c r="KW34" s="595">
        <v>5598636050</v>
      </c>
      <c r="KX34" s="595">
        <v>44817971</v>
      </c>
      <c r="KY34" s="595">
        <v>10937059</v>
      </c>
      <c r="KZ34" s="595">
        <v>25360574065</v>
      </c>
      <c r="LA34" s="595">
        <v>2506222409</v>
      </c>
      <c r="LB34" s="595">
        <v>225126</v>
      </c>
      <c r="LC34" s="595">
        <v>12392</v>
      </c>
      <c r="LD34" s="595">
        <v>13964</v>
      </c>
      <c r="LE34" s="595" t="s">
        <v>1974</v>
      </c>
      <c r="LF34" s="595" t="s">
        <v>1964</v>
      </c>
      <c r="LG34" s="595">
        <v>0</v>
      </c>
      <c r="LH34" s="595">
        <v>0</v>
      </c>
      <c r="LI34" s="595">
        <v>4</v>
      </c>
      <c r="LJ34" s="595" t="s">
        <v>1975</v>
      </c>
      <c r="LK34" s="595">
        <v>1</v>
      </c>
      <c r="LL34" s="595">
        <v>1</v>
      </c>
      <c r="LM34" s="595">
        <v>2102819520</v>
      </c>
      <c r="LN34" s="595">
        <v>46261808636</v>
      </c>
      <c r="LO34" s="595">
        <v>5543945838</v>
      </c>
      <c r="LP34" s="595">
        <v>618</v>
      </c>
      <c r="LQ34" s="595">
        <v>0</v>
      </c>
      <c r="LR34" s="595">
        <v>2506281526</v>
      </c>
      <c r="LS34" s="595">
        <v>68</v>
      </c>
      <c r="LT34" s="595">
        <v>0</v>
      </c>
      <c r="LU34" s="595">
        <v>5543818441</v>
      </c>
      <c r="LV34" s="595">
        <v>25118</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21.028413440000001</v>
      </c>
      <c r="ND34" s="208">
        <f t="shared" si="103"/>
        <v>2.9172133301940635</v>
      </c>
      <c r="NE34" s="209">
        <f t="shared" si="15"/>
        <v>4.1437921637176592E-2</v>
      </c>
      <c r="NF34" s="208">
        <f t="shared" si="16"/>
        <v>8.1842587199959489</v>
      </c>
      <c r="NG34" s="210"/>
      <c r="NH34" s="211">
        <f t="shared" si="104"/>
        <v>25360641496</v>
      </c>
      <c r="NI34" s="208">
        <f t="shared" si="17"/>
        <v>61344368000</v>
      </c>
      <c r="NJ34" s="212">
        <f t="shared" si="105"/>
        <v>0.28427597346609329</v>
      </c>
      <c r="NK34" s="213">
        <f t="shared" si="106"/>
        <v>0.78037220955638498</v>
      </c>
      <c r="NL34" s="214">
        <f t="shared" si="18"/>
        <v>0.95831278445971113</v>
      </c>
      <c r="NM34" s="208">
        <f t="shared" si="107"/>
        <v>0.54819449735719916</v>
      </c>
      <c r="NN34" s="208">
        <f t="shared" si="19"/>
        <v>1.2060178276578528</v>
      </c>
      <c r="NO34" s="215">
        <f t="shared" si="20"/>
        <v>1.5912718735018935E-4</v>
      </c>
      <c r="NP34" s="216">
        <f t="shared" si="108"/>
        <v>0</v>
      </c>
      <c r="NQ34" s="215">
        <f t="shared" si="109"/>
        <v>0.2208743578848196</v>
      </c>
      <c r="NR34" s="215">
        <f t="shared" si="110"/>
        <v>5.2590106772656325E-2</v>
      </c>
      <c r="NS34" s="215">
        <f t="shared" si="21"/>
        <v>1.9037277200851146E-2</v>
      </c>
      <c r="NT34" s="215">
        <f t="shared" si="22"/>
        <v>7.5477364498271401E-3</v>
      </c>
      <c r="NU34" s="215">
        <f t="shared" si="23"/>
        <v>0.19523561273974388</v>
      </c>
      <c r="NV34" s="215">
        <f t="shared" si="111"/>
        <v>3.6183002236323518</v>
      </c>
      <c r="NW34" s="215">
        <f t="shared" si="24"/>
        <v>1.7886383570426512</v>
      </c>
      <c r="NX34" s="215">
        <f t="shared" si="25"/>
        <v>8.6855070476781115</v>
      </c>
      <c r="NY34" s="215">
        <f t="shared" si="26"/>
        <v>9.366958690697068E-4</v>
      </c>
      <c r="NZ34" s="215">
        <f t="shared" si="27"/>
        <v>0.91237726108269734</v>
      </c>
      <c r="OA34" s="215">
        <f t="shared" si="28"/>
        <v>0</v>
      </c>
      <c r="OB34" s="215">
        <f t="shared" si="29"/>
        <v>0.10893685688721272</v>
      </c>
      <c r="OC34" s="215">
        <f t="shared" si="30"/>
        <v>0</v>
      </c>
      <c r="OD34" s="215">
        <f t="shared" si="31"/>
        <v>2.6666989500585156</v>
      </c>
      <c r="OE34" s="215">
        <f t="shared" si="32"/>
        <v>0.81493189692267098</v>
      </c>
      <c r="OF34" s="215">
        <f t="shared" si="33"/>
        <v>0.51730149699162209</v>
      </c>
      <c r="OG34" s="215">
        <f t="shared" si="34"/>
        <v>1.419348318038631</v>
      </c>
      <c r="OH34" s="215">
        <f t="shared" si="35"/>
        <v>0</v>
      </c>
      <c r="OI34" s="215">
        <f t="shared" si="112"/>
        <v>21.028413440000001</v>
      </c>
      <c r="OJ34" s="218">
        <f t="shared" si="113"/>
        <v>0.22508017480702108</v>
      </c>
      <c r="OK34" s="218">
        <f t="shared" si="114"/>
        <v>0.20011327897798736</v>
      </c>
      <c r="OL34" s="218">
        <f t="shared" si="115"/>
        <v>1.5322257267505853E-2</v>
      </c>
      <c r="OM34" s="218">
        <f t="shared" si="116"/>
        <v>2.4165284477078785E-2</v>
      </c>
      <c r="ON34" s="217">
        <f t="shared" si="36"/>
        <v>0.22338272841617526</v>
      </c>
      <c r="OO34" s="210"/>
      <c r="OP34" s="210"/>
      <c r="OQ34" s="218">
        <f t="shared" si="117"/>
        <v>0.15097874986831317</v>
      </c>
      <c r="OR34" s="218">
        <f t="shared" si="118"/>
        <v>0.14865979256367245</v>
      </c>
      <c r="OS34" s="218">
        <f t="shared" si="37"/>
        <v>0.92281480400780258</v>
      </c>
      <c r="OT34" s="218">
        <f t="shared" si="38"/>
        <v>0.99823962832643265</v>
      </c>
      <c r="OU34" s="209">
        <f t="shared" si="39"/>
        <v>1.0000000012299795</v>
      </c>
      <c r="OV34" s="209">
        <f t="shared" si="40"/>
        <v>0.99999999932335837</v>
      </c>
      <c r="OW34" s="209">
        <f t="shared" si="119"/>
        <v>9.1689513913280739E-3</v>
      </c>
      <c r="OX34" s="219">
        <f t="shared" si="41"/>
        <v>1.7625737111993122E-8</v>
      </c>
      <c r="OY34" s="208">
        <f t="shared" si="120"/>
        <v>6328074852</v>
      </c>
      <c r="OZ34" s="208">
        <f t="shared" si="42"/>
        <v>467633260</v>
      </c>
      <c r="PA34" s="209">
        <f t="shared" si="121"/>
        <v>7.3898187195463344E-2</v>
      </c>
      <c r="PB34" s="209">
        <f>IF(OR($CQ34="",$OZ34=""),"",IF($OZ34=0,0,
GuardLimitUpper(
  ($OZ34-$CQ34)/$OZ34,
  data_GuardLimitFlag,
  1)
))</f>
        <v>3.183562905683826E-2</v>
      </c>
      <c r="PC34" s="209">
        <f t="shared" si="43"/>
        <v>0.95669916207414329</v>
      </c>
      <c r="PD34" s="209">
        <f t="shared" si="44"/>
        <v>1.1465208869018428E-2</v>
      </c>
      <c r="PE34" s="208">
        <f t="shared" si="122"/>
        <v>462653498</v>
      </c>
      <c r="PF34" s="209">
        <f t="shared" si="123"/>
        <v>7.3111255606241363E-2</v>
      </c>
      <c r="PG34" s="209">
        <f t="shared" si="45"/>
        <v>3.6424067605772069E-2</v>
      </c>
      <c r="PH34" s="209">
        <f t="shared" si="46"/>
        <v>0.96535898641609885</v>
      </c>
      <c r="PI34" s="209">
        <f t="shared" si="47"/>
        <v>0</v>
      </c>
      <c r="PJ34" s="220">
        <f t="shared" si="48"/>
        <v>5.9386149625146696E-7</v>
      </c>
      <c r="PK34" s="220">
        <f t="shared" si="49"/>
        <v>1.1061816055775063E-9</v>
      </c>
      <c r="PL34" s="221">
        <f t="shared" si="124"/>
        <v>157660000</v>
      </c>
      <c r="PM34" s="221">
        <f t="shared" si="50"/>
        <v>0</v>
      </c>
      <c r="PN34" s="221">
        <f t="shared" si="125"/>
        <v>945960000</v>
      </c>
      <c r="PO34" s="221">
        <f t="shared" si="51"/>
        <v>0</v>
      </c>
      <c r="PP34" s="221">
        <f t="shared" si="52"/>
        <v>0</v>
      </c>
      <c r="PQ34" s="529">
        <f t="shared" si="126"/>
        <v>0</v>
      </c>
      <c r="PR34" s="221">
        <f t="shared" si="53"/>
        <v>0</v>
      </c>
      <c r="PS34" s="221">
        <f t="shared" si="54"/>
        <v>3547474712</v>
      </c>
      <c r="PT34" s="221">
        <f t="shared" si="127"/>
        <v>21504000</v>
      </c>
      <c r="PU34" s="221">
        <f t="shared" si="55"/>
        <v>0</v>
      </c>
      <c r="PV34" s="221">
        <f t="shared" si="128"/>
        <v>472980000</v>
      </c>
      <c r="PW34" s="221">
        <f t="shared" si="56"/>
        <v>0</v>
      </c>
      <c r="PX34" s="221">
        <f t="shared" si="162"/>
        <v>0</v>
      </c>
      <c r="PY34" s="221">
        <f t="shared" si="57"/>
        <v>1182496140</v>
      </c>
      <c r="PZ34" s="221">
        <f t="shared" si="58"/>
        <v>0</v>
      </c>
      <c r="QA34" s="221">
        <f t="shared" si="59"/>
        <v>0</v>
      </c>
      <c r="QB34" s="221">
        <f t="shared" si="60"/>
        <v>5362040</v>
      </c>
      <c r="QC34" s="221">
        <f t="shared" si="61"/>
        <v>8</v>
      </c>
      <c r="QD34" s="221">
        <f t="shared" si="129"/>
        <v>6664786000</v>
      </c>
      <c r="QE34" s="221">
        <f t="shared" si="130"/>
        <v>6650444000</v>
      </c>
      <c r="QF34" s="221">
        <f t="shared" si="131"/>
        <v>508816000</v>
      </c>
      <c r="QG34" s="222">
        <f t="shared" si="62"/>
        <v>0</v>
      </c>
      <c r="QH34" s="222">
        <f t="shared" si="63"/>
        <v>1282822001</v>
      </c>
      <c r="QI34" s="222">
        <f t="shared" si="64"/>
        <v>329660032</v>
      </c>
      <c r="QJ34" s="222">
        <f t="shared" si="65"/>
        <v>604708810</v>
      </c>
      <c r="QK34" s="222">
        <f t="shared" si="66"/>
        <v>2017</v>
      </c>
      <c r="QL34" s="222">
        <f t="shared" si="132"/>
        <v>0</v>
      </c>
      <c r="QM34" s="222">
        <f>IF(OR($O$8="Lv2",$O$8="Lv3",$O$8="Lv4"),IF(OR($AS34="",COUNT($PL34:$QL34)=0),"",
GuardLimitLower(
  $AS34-SUM($PL34:$QL34),
  data_GuardLimitFlag,
  0)
),"")</f>
        <v>2985965736</v>
      </c>
      <c r="QN34" s="222">
        <f t="shared" si="133"/>
        <v>25360641496</v>
      </c>
      <c r="QO34" s="222">
        <f t="shared" si="134"/>
        <v>61344368000</v>
      </c>
      <c r="QP34" s="222">
        <f t="shared" si="135"/>
        <v>0</v>
      </c>
      <c r="QQ34" s="222">
        <f t="shared" si="136"/>
        <v>0</v>
      </c>
      <c r="QR34" s="222">
        <f t="shared" si="67"/>
        <v>2.7956028293212594</v>
      </c>
      <c r="QS34" s="209">
        <f t="shared" si="68"/>
        <v>0</v>
      </c>
      <c r="QT34" s="209">
        <f t="shared" si="69"/>
        <v>0.75043605976758665</v>
      </c>
      <c r="QU34" s="209">
        <f t="shared" si="70"/>
        <v>0.24956394023241335</v>
      </c>
      <c r="QV34" s="208">
        <f t="shared" si="71"/>
        <v>27797234066</v>
      </c>
      <c r="QW34" s="208">
        <f t="shared" si="72"/>
        <v>516005000</v>
      </c>
      <c r="QX34" s="208">
        <f t="shared" si="73"/>
        <v>157662001</v>
      </c>
      <c r="QY34" s="208">
        <f t="shared" si="74"/>
        <v>1017640000</v>
      </c>
      <c r="QZ34" s="208">
        <f t="shared" si="75"/>
        <v>0</v>
      </c>
      <c r="RA34" s="209">
        <f t="shared" si="137"/>
        <v>0.99999932752302056</v>
      </c>
      <c r="RB34" s="209">
        <f t="shared" si="76"/>
        <v>7.4526749494521177E-2</v>
      </c>
      <c r="RC34" s="209">
        <f t="shared" si="77"/>
        <v>0.49776398390702198</v>
      </c>
      <c r="RD34" s="209">
        <f t="shared" si="78"/>
        <v>0</v>
      </c>
      <c r="RE34" s="209">
        <f t="shared" si="79"/>
        <v>0</v>
      </c>
      <c r="RF34" s="209">
        <f t="shared" si="80"/>
        <v>0.45794927480966308</v>
      </c>
      <c r="RG34" s="209">
        <f t="shared" si="81"/>
        <v>0</v>
      </c>
      <c r="RH34" s="209">
        <f t="shared" si="82"/>
        <v>0</v>
      </c>
      <c r="RI34" s="209">
        <f t="shared" si="83"/>
        <v>4.4286741283314966E-2</v>
      </c>
      <c r="RJ34" s="134"/>
      <c r="RK34" s="134"/>
      <c r="RL34" s="134"/>
      <c r="RM34" s="134"/>
      <c r="RN34" s="134"/>
      <c r="RO34" s="134"/>
      <c r="RP34" s="134"/>
      <c r="RQ34" s="134"/>
      <c r="RR34" s="222">
        <f t="shared" si="84"/>
        <v>1.9140776166896594</v>
      </c>
      <c r="RS34" s="224"/>
      <c r="RT34" s="224"/>
      <c r="RU34" s="208">
        <f t="shared" si="138"/>
        <v>21.028413440000001</v>
      </c>
      <c r="RV34" s="208">
        <f t="shared" si="139"/>
        <v>1</v>
      </c>
      <c r="RW34" s="208">
        <f t="shared" si="140"/>
        <v>1.0001602787648194</v>
      </c>
      <c r="RX34" s="208">
        <f t="shared" si="141"/>
        <v>1.0001619568762907</v>
      </c>
      <c r="RY34" s="208">
        <f t="shared" si="142"/>
        <v>1.0000993396251634</v>
      </c>
      <c r="RZ34" s="208">
        <f t="shared" si="85"/>
        <v>0.99991747869060876</v>
      </c>
      <c r="SA34" s="208">
        <f t="shared" si="86"/>
        <v>1.0001798553197419</v>
      </c>
      <c r="SB34" s="208">
        <f t="shared" si="87"/>
        <v>0.99995190970851666</v>
      </c>
      <c r="SC34" s="208">
        <f t="shared" si="88"/>
        <v>1.0000257733521898</v>
      </c>
      <c r="SD34" s="208">
        <f t="shared" si="89"/>
        <v>1.0001491052828915</v>
      </c>
      <c r="SE34" s="208">
        <f t="shared" si="90"/>
        <v>1.0001340447550024</v>
      </c>
      <c r="SF34" s="208">
        <f t="shared" si="91"/>
        <v>0.99996660367303281</v>
      </c>
      <c r="SG34" s="208">
        <f t="shared" si="92"/>
        <v>0.99897249459203608</v>
      </c>
      <c r="SH34" s="208">
        <f t="shared" si="93"/>
        <v>1.0004620391028103</v>
      </c>
      <c r="SI34" s="208">
        <f t="shared" si="94"/>
        <v>1.0001915090217366</v>
      </c>
      <c r="SJ34" s="208">
        <f t="shared" si="95"/>
        <v>1.0003578837021589</v>
      </c>
      <c r="SK34" s="208">
        <f t="shared" si="96"/>
        <v>1.0001254472897203</v>
      </c>
      <c r="SL34" s="208">
        <f t="shared" si="97"/>
        <v>0.99999319559984035</v>
      </c>
      <c r="SM34" s="222">
        <f t="shared" si="143"/>
        <v>1</v>
      </c>
      <c r="SN34" s="225">
        <f t="shared" si="98"/>
        <v>21.028413440000001</v>
      </c>
      <c r="SO34" s="209">
        <f t="shared" si="144"/>
        <v>0.99781892497721436</v>
      </c>
      <c r="SP34" s="209">
        <f t="shared" si="145"/>
        <v>0.99999971893463346</v>
      </c>
      <c r="SQ34" s="222">
        <f t="shared" si="146"/>
        <v>46262123422</v>
      </c>
      <c r="SR34" s="222">
        <f t="shared" si="147"/>
        <v>46269538258</v>
      </c>
      <c r="SS34" s="222">
        <f t="shared" si="148"/>
        <v>46269615891</v>
      </c>
      <c r="ST34" s="222">
        <f t="shared" si="149"/>
        <v>46266719084</v>
      </c>
      <c r="SU34" s="222">
        <f t="shared" si="150"/>
        <v>46258305811</v>
      </c>
      <c r="SV34" s="222">
        <f t="shared" si="151"/>
        <v>46270443911</v>
      </c>
      <c r="SW34" s="222">
        <f t="shared" si="152"/>
        <v>46259898663</v>
      </c>
      <c r="SX34" s="222">
        <f t="shared" si="153"/>
        <v>46263315752</v>
      </c>
      <c r="SY34" s="222">
        <f t="shared" si="154"/>
        <v>46269021349</v>
      </c>
      <c r="SZ34" s="222">
        <f t="shared" si="155"/>
        <v>46268324617</v>
      </c>
      <c r="TA34" s="222">
        <f t="shared" si="156"/>
        <v>46260578437</v>
      </c>
      <c r="TB34" s="222">
        <f t="shared" si="157"/>
        <v>46214588840</v>
      </c>
      <c r="TC34" s="222">
        <f t="shared" si="99"/>
        <v>46283498332</v>
      </c>
      <c r="TD34" s="222">
        <f t="shared" si="158"/>
        <v>46270983036</v>
      </c>
      <c r="TE34" s="222">
        <f t="shared" si="159"/>
        <v>46278679882</v>
      </c>
      <c r="TF34" s="222">
        <f t="shared" si="160"/>
        <v>46267926880</v>
      </c>
      <c r="TG34" s="222">
        <f t="shared" si="161"/>
        <v>46261808636</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x14ac:dyDescent="0.25">
      <c r="AB35" s="254">
        <v>5</v>
      </c>
      <c r="AC35" s="430" t="s">
        <v>1974</v>
      </c>
      <c r="AD35" s="430" t="s">
        <v>1964</v>
      </c>
      <c r="AE35" s="430">
        <v>0</v>
      </c>
      <c r="AF35" s="430">
        <v>0</v>
      </c>
      <c r="AG35" s="430">
        <v>5</v>
      </c>
      <c r="AH35" s="430" t="s">
        <v>1975</v>
      </c>
      <c r="AI35" s="430">
        <v>1</v>
      </c>
      <c r="AJ35" s="430">
        <v>1</v>
      </c>
      <c r="AK35" s="594">
        <v>2106557984</v>
      </c>
      <c r="AL35" s="594">
        <v>46343895989</v>
      </c>
      <c r="AM35" s="430">
        <v>11967860000</v>
      </c>
      <c r="AN35" s="430">
        <v>13472928000</v>
      </c>
      <c r="AO35" s="430">
        <v>467618592</v>
      </c>
      <c r="AP35" s="430">
        <v>207064665</v>
      </c>
      <c r="AQ35" s="595">
        <v>3775054</v>
      </c>
      <c r="AR35" s="595">
        <v>1166358</v>
      </c>
      <c r="AS35" s="594">
        <v>25360646449</v>
      </c>
      <c r="AT35" s="594">
        <v>7209421049</v>
      </c>
      <c r="AU35" s="430" t="s">
        <v>1974</v>
      </c>
      <c r="AV35" s="430" t="s">
        <v>1964</v>
      </c>
      <c r="AW35" s="430">
        <v>0</v>
      </c>
      <c r="AX35" s="430">
        <v>0</v>
      </c>
      <c r="AY35" s="430">
        <v>5</v>
      </c>
      <c r="AZ35" s="430" t="s">
        <v>1975</v>
      </c>
      <c r="BA35" s="430">
        <v>1</v>
      </c>
      <c r="BB35" s="430">
        <v>1</v>
      </c>
      <c r="BC35" s="430">
        <v>2105795168</v>
      </c>
      <c r="BD35" s="430">
        <v>46327222584</v>
      </c>
      <c r="BE35" s="430">
        <v>34406140124</v>
      </c>
      <c r="BF35" s="595">
        <v>5864915217</v>
      </c>
      <c r="BG35" s="430">
        <v>9095722022</v>
      </c>
      <c r="BH35" s="595">
        <v>355122</v>
      </c>
      <c r="BI35" s="430">
        <v>23063879719</v>
      </c>
      <c r="BJ35" s="430">
        <v>239670560</v>
      </c>
      <c r="BK35" s="430">
        <v>0</v>
      </c>
      <c r="BL35" s="430">
        <v>0</v>
      </c>
      <c r="BM35" s="430" t="s">
        <v>1974</v>
      </c>
      <c r="BN35" s="430" t="s">
        <v>1964</v>
      </c>
      <c r="BO35" s="430">
        <v>0</v>
      </c>
      <c r="BP35" s="430">
        <v>0</v>
      </c>
      <c r="BQ35" s="430">
        <v>5</v>
      </c>
      <c r="BR35" s="430" t="s">
        <v>1975</v>
      </c>
      <c r="BS35" s="430">
        <v>1</v>
      </c>
      <c r="BT35" s="430">
        <v>1</v>
      </c>
      <c r="BU35" s="430">
        <v>2106486496</v>
      </c>
      <c r="BV35" s="430">
        <v>46342110472</v>
      </c>
      <c r="BW35" s="594">
        <v>9063667296</v>
      </c>
      <c r="BX35" s="594">
        <v>11617568723</v>
      </c>
      <c r="BY35" s="430">
        <v>21716369285</v>
      </c>
      <c r="BZ35" s="430">
        <v>425082804</v>
      </c>
      <c r="CA35" s="430">
        <v>10414949308</v>
      </c>
      <c r="CB35" s="430">
        <v>153789556754</v>
      </c>
      <c r="CC35" s="430">
        <v>9258593951</v>
      </c>
      <c r="CD35" s="430">
        <v>147877659046</v>
      </c>
      <c r="CE35" s="430" t="s">
        <v>1974</v>
      </c>
      <c r="CF35" s="430" t="s">
        <v>1964</v>
      </c>
      <c r="CG35" s="430">
        <v>0</v>
      </c>
      <c r="CH35" s="430">
        <v>0</v>
      </c>
      <c r="CI35" s="430">
        <v>5</v>
      </c>
      <c r="CJ35" s="430" t="s">
        <v>1975</v>
      </c>
      <c r="CK35" s="430">
        <v>1</v>
      </c>
      <c r="CL35" s="430">
        <v>1</v>
      </c>
      <c r="CM35" s="430">
        <v>2105669280</v>
      </c>
      <c r="CN35" s="430">
        <v>46324531578</v>
      </c>
      <c r="CO35" s="430">
        <v>3774226</v>
      </c>
      <c r="CP35" s="430">
        <v>467660931</v>
      </c>
      <c r="CQ35" s="430">
        <v>452226267</v>
      </c>
      <c r="CR35" s="430">
        <v>466941419</v>
      </c>
      <c r="CS35" s="430">
        <v>20652009</v>
      </c>
      <c r="CT35" s="430">
        <v>945960000</v>
      </c>
      <c r="CU35" s="430">
        <v>472980000</v>
      </c>
      <c r="CV35" s="430">
        <v>1104556</v>
      </c>
      <c r="CW35" s="430" t="s">
        <v>1974</v>
      </c>
      <c r="CX35" s="430" t="s">
        <v>1964</v>
      </c>
      <c r="CY35" s="430">
        <v>0</v>
      </c>
      <c r="CZ35" s="430">
        <v>0</v>
      </c>
      <c r="DA35" s="430">
        <v>5</v>
      </c>
      <c r="DB35" s="430" t="s">
        <v>1975</v>
      </c>
      <c r="DC35" s="430">
        <v>1</v>
      </c>
      <c r="DD35" s="430">
        <v>1</v>
      </c>
      <c r="DE35" s="430">
        <v>2105871584</v>
      </c>
      <c r="DF35" s="430">
        <v>46328961611</v>
      </c>
      <c r="DG35" s="430">
        <v>13824046000</v>
      </c>
      <c r="DH35" s="430">
        <v>6650444000</v>
      </c>
      <c r="DI35" s="430">
        <v>508816000</v>
      </c>
      <c r="DJ35" s="430">
        <v>4651095631</v>
      </c>
      <c r="DK35" s="430">
        <v>1676980420</v>
      </c>
      <c r="DL35" s="430">
        <v>4170875019</v>
      </c>
      <c r="DM35" s="430">
        <v>1676958019</v>
      </c>
      <c r="DN35" s="430">
        <v>5362040</v>
      </c>
      <c r="DO35" s="595" t="s">
        <v>1974</v>
      </c>
      <c r="DP35" s="595" t="s">
        <v>1964</v>
      </c>
      <c r="DQ35" s="595">
        <v>0</v>
      </c>
      <c r="DR35" s="595">
        <v>0</v>
      </c>
      <c r="DS35" s="595">
        <v>5</v>
      </c>
      <c r="DT35" s="595" t="s">
        <v>1975</v>
      </c>
      <c r="DU35" s="595">
        <v>1</v>
      </c>
      <c r="DV35" s="595">
        <v>1</v>
      </c>
      <c r="DW35" s="595">
        <v>2105752896</v>
      </c>
      <c r="DX35" s="595">
        <v>46326376937</v>
      </c>
      <c r="DY35" s="595">
        <v>533224443</v>
      </c>
      <c r="DZ35" s="595">
        <v>465329851</v>
      </c>
      <c r="EA35" s="595">
        <v>40228352</v>
      </c>
      <c r="EB35" s="430">
        <v>647144809</v>
      </c>
      <c r="EC35" s="595">
        <v>476395164</v>
      </c>
      <c r="ED35" s="595">
        <v>0</v>
      </c>
      <c r="EE35" s="595">
        <v>0</v>
      </c>
      <c r="EF35" s="595">
        <v>19129461821</v>
      </c>
      <c r="EG35" s="595" t="s">
        <v>1974</v>
      </c>
      <c r="EH35" s="595" t="s">
        <v>1964</v>
      </c>
      <c r="EI35" s="595">
        <v>0</v>
      </c>
      <c r="EJ35" s="595">
        <v>0</v>
      </c>
      <c r="EK35" s="595">
        <v>5</v>
      </c>
      <c r="EL35" s="595" t="s">
        <v>1975</v>
      </c>
      <c r="EM35" s="595">
        <v>1</v>
      </c>
      <c r="EN35" s="595">
        <v>1</v>
      </c>
      <c r="EO35" s="595">
        <v>2106434432</v>
      </c>
      <c r="EP35" s="595">
        <v>46341337825</v>
      </c>
      <c r="EQ35" s="595">
        <v>1796360960</v>
      </c>
      <c r="ER35" s="595">
        <v>1136815550</v>
      </c>
      <c r="ES35" s="430">
        <v>3122904241</v>
      </c>
      <c r="ET35" s="595">
        <v>2044221</v>
      </c>
      <c r="EU35" s="595">
        <v>11967860000</v>
      </c>
      <c r="EV35" s="595">
        <v>0</v>
      </c>
      <c r="EW35" s="595">
        <v>13472928000</v>
      </c>
      <c r="EX35" s="595">
        <v>0</v>
      </c>
      <c r="EY35" s="595" t="s">
        <v>1974</v>
      </c>
      <c r="EZ35" s="595" t="s">
        <v>1964</v>
      </c>
      <c r="FA35" s="595">
        <v>0</v>
      </c>
      <c r="FB35" s="595">
        <v>0</v>
      </c>
      <c r="FC35" s="595">
        <v>5</v>
      </c>
      <c r="FD35" s="595" t="s">
        <v>1975</v>
      </c>
      <c r="FE35" s="595">
        <v>1</v>
      </c>
      <c r="FF35" s="595">
        <v>1</v>
      </c>
      <c r="FG35" s="595">
        <v>2106353600</v>
      </c>
      <c r="FH35" s="595">
        <v>46339581727</v>
      </c>
      <c r="FI35" s="595">
        <v>2026</v>
      </c>
      <c r="FJ35" s="595">
        <v>5038915925</v>
      </c>
      <c r="FK35" s="595">
        <v>1560871260</v>
      </c>
      <c r="FL35" s="595">
        <v>613562260</v>
      </c>
      <c r="FM35" s="595">
        <v>6981147300</v>
      </c>
      <c r="FN35" s="595">
        <v>6879202706</v>
      </c>
      <c r="FO35" s="430">
        <v>708273970</v>
      </c>
      <c r="FP35" s="430">
        <v>1120593755</v>
      </c>
      <c r="FQ35" s="595" t="s">
        <v>1974</v>
      </c>
      <c r="FR35" s="595" t="s">
        <v>1964</v>
      </c>
      <c r="FS35" s="595">
        <v>0</v>
      </c>
      <c r="FT35" s="595">
        <v>0</v>
      </c>
      <c r="FU35" s="595">
        <v>5</v>
      </c>
      <c r="FV35" s="595" t="s">
        <v>1975</v>
      </c>
      <c r="FW35" s="595">
        <v>1</v>
      </c>
      <c r="FX35" s="595">
        <v>1</v>
      </c>
      <c r="FY35" s="595">
        <v>2105457984</v>
      </c>
      <c r="FZ35" s="595">
        <v>46319908243</v>
      </c>
      <c r="GA35" s="595">
        <v>452229647</v>
      </c>
      <c r="GB35" s="595">
        <v>446866922</v>
      </c>
      <c r="GC35" s="595">
        <v>446395861</v>
      </c>
      <c r="GD35" s="595">
        <v>446395861</v>
      </c>
      <c r="GE35" s="595">
        <v>4321</v>
      </c>
      <c r="GF35" s="595">
        <v>1</v>
      </c>
      <c r="GG35" s="595">
        <v>390</v>
      </c>
      <c r="GH35" s="595">
        <v>1107849</v>
      </c>
      <c r="GI35" s="595" t="s">
        <v>1974</v>
      </c>
      <c r="GJ35" s="595" t="s">
        <v>1964</v>
      </c>
      <c r="GK35" s="595">
        <v>0</v>
      </c>
      <c r="GL35" s="595">
        <v>0</v>
      </c>
      <c r="GM35" s="595">
        <v>5</v>
      </c>
      <c r="GN35" s="595" t="s">
        <v>1975</v>
      </c>
      <c r="GO35" s="595">
        <v>1</v>
      </c>
      <c r="GP35" s="595">
        <v>1</v>
      </c>
      <c r="GQ35" s="595">
        <v>2105649632</v>
      </c>
      <c r="GR35" s="595">
        <v>46324122402</v>
      </c>
      <c r="GS35" s="595">
        <v>0</v>
      </c>
      <c r="GT35" s="595">
        <v>0</v>
      </c>
      <c r="GU35" s="595">
        <v>0</v>
      </c>
      <c r="GV35" s="595">
        <v>0</v>
      </c>
      <c r="GW35" s="595">
        <v>0</v>
      </c>
      <c r="GX35" s="595">
        <v>8</v>
      </c>
      <c r="GY35" s="595">
        <v>329660032</v>
      </c>
      <c r="GZ35" s="595">
        <v>604708354</v>
      </c>
      <c r="HA35" s="595" t="s">
        <v>1974</v>
      </c>
      <c r="HB35" s="595" t="s">
        <v>1964</v>
      </c>
      <c r="HC35" s="595">
        <v>0</v>
      </c>
      <c r="HD35" s="595">
        <v>0</v>
      </c>
      <c r="HE35" s="595">
        <v>5</v>
      </c>
      <c r="HF35" s="595" t="s">
        <v>1975</v>
      </c>
      <c r="HG35" s="595">
        <v>1</v>
      </c>
      <c r="HH35" s="595">
        <v>1</v>
      </c>
      <c r="HI35" s="595">
        <v>2106859456</v>
      </c>
      <c r="HJ35" s="595">
        <v>46350708388</v>
      </c>
      <c r="HK35" s="595">
        <v>0</v>
      </c>
      <c r="HL35" s="595">
        <v>0</v>
      </c>
      <c r="HM35" s="595">
        <v>0</v>
      </c>
      <c r="HN35" s="595">
        <v>1282822009</v>
      </c>
      <c r="HO35" s="595">
        <v>1182474019</v>
      </c>
      <c r="HP35" s="595">
        <v>2017</v>
      </c>
      <c r="HQ35" s="595">
        <v>3067255019</v>
      </c>
      <c r="HR35" s="595">
        <v>0</v>
      </c>
      <c r="HS35" s="595" t="s">
        <v>1974</v>
      </c>
      <c r="HT35" s="595" t="s">
        <v>1964</v>
      </c>
      <c r="HU35" s="595">
        <v>0</v>
      </c>
      <c r="HV35" s="595">
        <v>0</v>
      </c>
      <c r="HW35" s="595">
        <v>5</v>
      </c>
      <c r="HX35" s="595" t="s">
        <v>1975</v>
      </c>
      <c r="HY35" s="595">
        <v>1</v>
      </c>
      <c r="HZ35" s="595">
        <v>1</v>
      </c>
      <c r="IA35" s="595">
        <v>2104497376</v>
      </c>
      <c r="IB35" s="595">
        <v>46298651585</v>
      </c>
      <c r="IC35" s="595">
        <v>27797236858</v>
      </c>
      <c r="ID35" s="595">
        <v>680635142</v>
      </c>
      <c r="IE35" s="595">
        <v>0</v>
      </c>
      <c r="IF35" s="595">
        <v>27797218162</v>
      </c>
      <c r="IG35" s="595">
        <v>45068812</v>
      </c>
      <c r="IH35" s="595">
        <v>604720150</v>
      </c>
      <c r="II35" s="595">
        <v>0</v>
      </c>
      <c r="IJ35" s="595">
        <v>0</v>
      </c>
      <c r="IK35" s="595" t="s">
        <v>1974</v>
      </c>
      <c r="IL35" s="595" t="s">
        <v>1964</v>
      </c>
      <c r="IM35" s="595">
        <v>0</v>
      </c>
      <c r="IN35" s="595">
        <v>0</v>
      </c>
      <c r="IO35" s="595">
        <v>5</v>
      </c>
      <c r="IP35" s="595" t="s">
        <v>1975</v>
      </c>
      <c r="IQ35" s="595">
        <v>1</v>
      </c>
      <c r="IR35" s="595">
        <v>1</v>
      </c>
      <c r="IS35" s="595">
        <v>2103229856</v>
      </c>
      <c r="IT35" s="595">
        <v>46270861344</v>
      </c>
      <c r="IU35" s="595">
        <v>0</v>
      </c>
      <c r="IV35" s="595">
        <v>0</v>
      </c>
      <c r="IW35" s="595">
        <v>1017640000</v>
      </c>
      <c r="IX35" s="595">
        <v>0</v>
      </c>
      <c r="IY35" s="595">
        <v>516005000</v>
      </c>
      <c r="IZ35" s="595">
        <v>157662009</v>
      </c>
      <c r="JA35" s="595">
        <v>0</v>
      </c>
      <c r="JB35" s="595">
        <v>0</v>
      </c>
      <c r="JC35" s="595" t="s">
        <v>1974</v>
      </c>
      <c r="JD35" s="595" t="s">
        <v>1964</v>
      </c>
      <c r="JE35" s="595">
        <v>0</v>
      </c>
      <c r="JF35" s="595">
        <v>0</v>
      </c>
      <c r="JG35" s="595">
        <v>5</v>
      </c>
      <c r="JH35" s="595" t="s">
        <v>1975</v>
      </c>
      <c r="JI35" s="595">
        <v>1</v>
      </c>
      <c r="JJ35" s="595">
        <v>1</v>
      </c>
      <c r="JK35" s="595">
        <v>2103581376</v>
      </c>
      <c r="JL35" s="595">
        <v>46278605187</v>
      </c>
      <c r="JM35" s="595">
        <v>448101752</v>
      </c>
      <c r="JN35" s="595">
        <v>0</v>
      </c>
      <c r="JO35" s="595">
        <v>0</v>
      </c>
      <c r="JP35" s="595">
        <v>412821721</v>
      </c>
      <c r="JQ35" s="595">
        <v>0</v>
      </c>
      <c r="JR35" s="595">
        <v>0</v>
      </c>
      <c r="JS35" s="595">
        <v>39703864</v>
      </c>
      <c r="JT35" s="595">
        <v>0</v>
      </c>
      <c r="JU35" s="595" t="s">
        <v>1974</v>
      </c>
      <c r="JV35" s="595" t="s">
        <v>1964</v>
      </c>
      <c r="JW35" s="595">
        <v>0</v>
      </c>
      <c r="JX35" s="595">
        <v>0</v>
      </c>
      <c r="JY35" s="595">
        <v>5</v>
      </c>
      <c r="JZ35" s="595" t="s">
        <v>1975</v>
      </c>
      <c r="KA35" s="595">
        <v>1</v>
      </c>
      <c r="KB35" s="595">
        <v>1</v>
      </c>
      <c r="KC35" s="595">
        <v>2103440224</v>
      </c>
      <c r="KD35" s="595">
        <v>46275329546</v>
      </c>
      <c r="KE35" s="595">
        <v>0</v>
      </c>
      <c r="KF35" s="595">
        <v>2839530169</v>
      </c>
      <c r="KG35" s="595">
        <v>944310062</v>
      </c>
      <c r="KH35" s="595">
        <v>64999198880</v>
      </c>
      <c r="KI35" s="595">
        <v>47336531280</v>
      </c>
      <c r="KJ35" s="595">
        <v>4062449929</v>
      </c>
      <c r="KK35" s="595">
        <v>2958533131</v>
      </c>
      <c r="KL35" s="595">
        <v>0</v>
      </c>
      <c r="KM35" s="595" t="s">
        <v>1974</v>
      </c>
      <c r="KN35" s="595" t="s">
        <v>1964</v>
      </c>
      <c r="KO35" s="595">
        <v>0</v>
      </c>
      <c r="KP35" s="595">
        <v>0</v>
      </c>
      <c r="KQ35" s="595">
        <v>5</v>
      </c>
      <c r="KR35" s="595" t="s">
        <v>1975</v>
      </c>
      <c r="KS35" s="595">
        <v>1</v>
      </c>
      <c r="KT35" s="595">
        <v>1</v>
      </c>
      <c r="KU35" s="595">
        <v>2105729312</v>
      </c>
      <c r="KV35" s="595">
        <v>46325830391</v>
      </c>
      <c r="KW35" s="595">
        <v>5602681877</v>
      </c>
      <c r="KX35" s="595">
        <v>44844297</v>
      </c>
      <c r="KY35" s="595">
        <v>10945805</v>
      </c>
      <c r="KZ35" s="595">
        <v>25360573575</v>
      </c>
      <c r="LA35" s="595">
        <v>2508049746</v>
      </c>
      <c r="LB35" s="595">
        <v>225775</v>
      </c>
      <c r="LC35" s="595">
        <v>13282</v>
      </c>
      <c r="LD35" s="595">
        <v>14751</v>
      </c>
      <c r="LE35" s="595" t="s">
        <v>1974</v>
      </c>
      <c r="LF35" s="595" t="s">
        <v>1964</v>
      </c>
      <c r="LG35" s="595">
        <v>0</v>
      </c>
      <c r="LH35" s="595">
        <v>0</v>
      </c>
      <c r="LI35" s="595">
        <v>5</v>
      </c>
      <c r="LJ35" s="595" t="s">
        <v>1975</v>
      </c>
      <c r="LK35" s="595">
        <v>1</v>
      </c>
      <c r="LL35" s="595">
        <v>1</v>
      </c>
      <c r="LM35" s="595">
        <v>2105654720</v>
      </c>
      <c r="LN35" s="595">
        <v>46324213026</v>
      </c>
      <c r="LO35" s="595">
        <v>5548168038</v>
      </c>
      <c r="LP35" s="595">
        <v>618</v>
      </c>
      <c r="LQ35" s="595">
        <v>0</v>
      </c>
      <c r="LR35" s="595">
        <v>2508203526</v>
      </c>
      <c r="LS35" s="595">
        <v>68</v>
      </c>
      <c r="LT35" s="595">
        <v>0</v>
      </c>
      <c r="LU35" s="595">
        <v>5548039312</v>
      </c>
      <c r="LV35" s="595">
        <v>25140</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21.065579840000002</v>
      </c>
      <c r="ND35" s="208">
        <f t="shared" si="103"/>
        <v>2.9120664356704458</v>
      </c>
      <c r="NE35" s="209">
        <f t="shared" si="15"/>
        <v>4.1364811930136317E-2</v>
      </c>
      <c r="NF35" s="208">
        <f t="shared" si="16"/>
        <v>8.1390549712967211</v>
      </c>
      <c r="NG35" s="210"/>
      <c r="NH35" s="211">
        <f t="shared" si="104"/>
        <v>25360646449</v>
      </c>
      <c r="NI35" s="208">
        <f t="shared" si="17"/>
        <v>61344368000</v>
      </c>
      <c r="NJ35" s="212">
        <f t="shared" si="105"/>
        <v>0.28427591794625867</v>
      </c>
      <c r="NK35" s="213">
        <f t="shared" si="106"/>
        <v>0.78037220955638498</v>
      </c>
      <c r="NL35" s="214">
        <f t="shared" si="18"/>
        <v>0.95835309071104013</v>
      </c>
      <c r="NM35" s="208">
        <f t="shared" si="107"/>
        <v>0.54722732967939292</v>
      </c>
      <c r="NN35" s="208">
        <f t="shared" si="19"/>
        <v>1.2038902627709487</v>
      </c>
      <c r="NO35" s="215">
        <f t="shared" si="20"/>
        <v>1.6147850932302893E-4</v>
      </c>
      <c r="NP35" s="216">
        <f t="shared" si="108"/>
        <v>0</v>
      </c>
      <c r="NQ35" s="215">
        <f t="shared" si="109"/>
        <v>0.21662296599878322</v>
      </c>
      <c r="NR35" s="215">
        <f t="shared" si="110"/>
        <v>7.764204454254138E-2</v>
      </c>
      <c r="NS35" s="215">
        <f t="shared" si="21"/>
        <v>1.8292345485444693E-2</v>
      </c>
      <c r="NT35" s="215">
        <f t="shared" si="22"/>
        <v>7.5486535481902629E-3</v>
      </c>
      <c r="NU35" s="215">
        <f t="shared" si="23"/>
        <v>0.19329908135656218</v>
      </c>
      <c r="NV35" s="215">
        <f t="shared" si="111"/>
        <v>3.6223744123321984</v>
      </c>
      <c r="NW35" s="215">
        <f t="shared" si="24"/>
        <v>1.7890300719833887</v>
      </c>
      <c r="NX35" s="215">
        <f t="shared" si="25"/>
        <v>8.6984106279162496</v>
      </c>
      <c r="NY35" s="215">
        <f t="shared" si="26"/>
        <v>9.2953339924541848E-4</v>
      </c>
      <c r="NZ35" s="215">
        <f t="shared" si="27"/>
        <v>0.91161889915743166</v>
      </c>
      <c r="OA35" s="215">
        <f t="shared" si="28"/>
        <v>0</v>
      </c>
      <c r="OB35" s="215">
        <f t="shared" si="29"/>
        <v>0.10898126491013106</v>
      </c>
      <c r="OC35" s="215">
        <f t="shared" si="30"/>
        <v>0</v>
      </c>
      <c r="OD35" s="215">
        <f t="shared" si="31"/>
        <v>2.6668518609016307</v>
      </c>
      <c r="OE35" s="215">
        <f t="shared" si="32"/>
        <v>0.81682827317621887</v>
      </c>
      <c r="OF35" s="215">
        <f t="shared" si="33"/>
        <v>0.51692455096907342</v>
      </c>
      <c r="OG35" s="215">
        <f t="shared" si="34"/>
        <v>1.4200244467964391</v>
      </c>
      <c r="OH35" s="215">
        <f t="shared" si="35"/>
        <v>3.9329017150070734E-5</v>
      </c>
      <c r="OI35" s="215">
        <f t="shared" si="112"/>
        <v>21.065579840000002</v>
      </c>
      <c r="OJ35" s="218">
        <f t="shared" si="113"/>
        <v>0.22474050495159761</v>
      </c>
      <c r="OK35" s="218">
        <f t="shared" si="114"/>
        <v>0.19978792197204875</v>
      </c>
      <c r="OL35" s="218">
        <f t="shared" si="115"/>
        <v>1.5284427342755242E-2</v>
      </c>
      <c r="OM35" s="218">
        <f t="shared" si="116"/>
        <v>2.4182215575482422E-2</v>
      </c>
      <c r="ON35" s="217">
        <f t="shared" si="36"/>
        <v>0.22313653616936205</v>
      </c>
      <c r="OO35" s="210"/>
      <c r="OP35" s="210"/>
      <c r="OQ35" s="218">
        <f t="shared" si="117"/>
        <v>0.1506519273550628</v>
      </c>
      <c r="OR35" s="218">
        <f t="shared" si="118"/>
        <v>0.14845198099817539</v>
      </c>
      <c r="OS35" s="218">
        <f t="shared" si="37"/>
        <v>0.9228894940220097</v>
      </c>
      <c r="OT35" s="218">
        <f t="shared" si="38"/>
        <v>0.99824592581649552</v>
      </c>
      <c r="OU35" s="209">
        <f t="shared" si="39"/>
        <v>1.0000000002461569</v>
      </c>
      <c r="OV35" s="209">
        <f t="shared" si="40"/>
        <v>1.0000000250123953</v>
      </c>
      <c r="OW35" s="209">
        <f t="shared" si="119"/>
        <v>9.1727113778479284E-3</v>
      </c>
      <c r="OX35" s="219">
        <f t="shared" si="41"/>
        <v>1.5378156892975343E-8</v>
      </c>
      <c r="OY35" s="208">
        <f t="shared" si="120"/>
        <v>6328076051</v>
      </c>
      <c r="OZ35" s="208">
        <f t="shared" si="42"/>
        <v>467660931</v>
      </c>
      <c r="PA35" s="209">
        <f t="shared" si="121"/>
        <v>7.3902545928805241E-2</v>
      </c>
      <c r="PB35" s="209">
        <f>IF(OR($CQ35="",$OZ35=""),"",IF($OZ35=0,0,
GuardLimitUpper(
  ($OZ35-$CQ35)/$OZ35,
  data_GuardLimitFlag,
  1)
))</f>
        <v>3.3003962864710627E-2</v>
      </c>
      <c r="PC35" s="209">
        <f t="shared" si="43"/>
        <v>0.95553614248781449</v>
      </c>
      <c r="PD35" s="209">
        <f t="shared" si="44"/>
        <v>1.1459894647474839E-2</v>
      </c>
      <c r="PE35" s="208">
        <f t="shared" si="122"/>
        <v>462677180</v>
      </c>
      <c r="PF35" s="209">
        <f t="shared" si="123"/>
        <v>7.311498412331581E-2</v>
      </c>
      <c r="PG35" s="209">
        <f t="shared" si="45"/>
        <v>3.6518892532927498E-2</v>
      </c>
      <c r="PH35" s="209">
        <f t="shared" si="46"/>
        <v>0.96587818880019016</v>
      </c>
      <c r="PI35" s="209">
        <f t="shared" si="47"/>
        <v>0</v>
      </c>
      <c r="PJ35" s="220">
        <f t="shared" si="48"/>
        <v>6.8282997315071304E-7</v>
      </c>
      <c r="PK35" s="220">
        <f t="shared" si="49"/>
        <v>1.5802591371226869E-10</v>
      </c>
      <c r="PL35" s="221">
        <f t="shared" si="124"/>
        <v>157660000</v>
      </c>
      <c r="PM35" s="221">
        <f t="shared" si="50"/>
        <v>0</v>
      </c>
      <c r="PN35" s="221">
        <f t="shared" si="125"/>
        <v>945960000</v>
      </c>
      <c r="PO35" s="221">
        <f t="shared" si="51"/>
        <v>0</v>
      </c>
      <c r="PP35" s="221">
        <f t="shared" si="52"/>
        <v>0</v>
      </c>
      <c r="PQ35" s="529">
        <f t="shared" si="126"/>
        <v>0</v>
      </c>
      <c r="PR35" s="221">
        <f t="shared" si="53"/>
        <v>0</v>
      </c>
      <c r="PS35" s="221">
        <f t="shared" si="54"/>
        <v>3547475631</v>
      </c>
      <c r="PT35" s="221">
        <f t="shared" si="127"/>
        <v>21504000</v>
      </c>
      <c r="PU35" s="221">
        <f t="shared" si="55"/>
        <v>0</v>
      </c>
      <c r="PV35" s="221">
        <f t="shared" si="128"/>
        <v>472980000</v>
      </c>
      <c r="PW35" s="221">
        <f t="shared" si="56"/>
        <v>0</v>
      </c>
      <c r="PX35" s="221">
        <f t="shared" si="162"/>
        <v>0</v>
      </c>
      <c r="PY35" s="221">
        <f t="shared" si="57"/>
        <v>1182496420</v>
      </c>
      <c r="PZ35" s="221">
        <f t="shared" si="58"/>
        <v>0</v>
      </c>
      <c r="QA35" s="221">
        <f t="shared" si="59"/>
        <v>0</v>
      </c>
      <c r="QB35" s="221">
        <f t="shared" si="60"/>
        <v>5362040</v>
      </c>
      <c r="QC35" s="221">
        <f t="shared" si="61"/>
        <v>8</v>
      </c>
      <c r="QD35" s="221">
        <f t="shared" si="129"/>
        <v>6664786000</v>
      </c>
      <c r="QE35" s="221">
        <f t="shared" si="130"/>
        <v>6650444000</v>
      </c>
      <c r="QF35" s="221">
        <f t="shared" si="131"/>
        <v>508816000</v>
      </c>
      <c r="QG35" s="222">
        <f t="shared" si="62"/>
        <v>0</v>
      </c>
      <c r="QH35" s="222">
        <f t="shared" si="63"/>
        <v>1282822009</v>
      </c>
      <c r="QI35" s="222">
        <f t="shared" si="64"/>
        <v>329660032</v>
      </c>
      <c r="QJ35" s="222">
        <f t="shared" si="65"/>
        <v>604708354</v>
      </c>
      <c r="QK35" s="222">
        <f t="shared" si="66"/>
        <v>2017</v>
      </c>
      <c r="QL35" s="222">
        <f t="shared" si="132"/>
        <v>0</v>
      </c>
      <c r="QM35" s="222">
        <f>IF(OR($O$8="Lv2",$O$8="Lv3",$O$8="Lv4"),IF(OR($AS35="",COUNT($PL35:$QL35)=0),"",
GuardLimitLower(
  $AS35-SUM($PL35:$QL35),
  data_GuardLimitFlag,
  0)
),"")</f>
        <v>2985969938</v>
      </c>
      <c r="QN35" s="222">
        <f t="shared" si="133"/>
        <v>25360646449</v>
      </c>
      <c r="QO35" s="222">
        <f t="shared" si="134"/>
        <v>61344368000</v>
      </c>
      <c r="QP35" s="222">
        <f t="shared" si="135"/>
        <v>0</v>
      </c>
      <c r="QQ35" s="222">
        <f t="shared" si="136"/>
        <v>0</v>
      </c>
      <c r="QR35" s="222">
        <f t="shared" si="67"/>
        <v>2.7907878689806536</v>
      </c>
      <c r="QS35" s="209">
        <f t="shared" si="68"/>
        <v>0</v>
      </c>
      <c r="QT35" s="209">
        <f t="shared" si="69"/>
        <v>0.75043606380007333</v>
      </c>
      <c r="QU35" s="209">
        <f t="shared" si="70"/>
        <v>0.24956393619992673</v>
      </c>
      <c r="QV35" s="208">
        <f t="shared" si="71"/>
        <v>27797236858</v>
      </c>
      <c r="QW35" s="208">
        <f t="shared" si="72"/>
        <v>516005000</v>
      </c>
      <c r="QX35" s="208">
        <f t="shared" si="73"/>
        <v>157662009</v>
      </c>
      <c r="QY35" s="208">
        <f t="shared" si="74"/>
        <v>1017640000</v>
      </c>
      <c r="QZ35" s="208">
        <f t="shared" si="75"/>
        <v>0</v>
      </c>
      <c r="RA35" s="209">
        <f t="shared" si="137"/>
        <v>0.99999932741516373</v>
      </c>
      <c r="RB35" s="209">
        <f t="shared" si="76"/>
        <v>7.4529831946062386E-2</v>
      </c>
      <c r="RC35" s="209">
        <f t="shared" si="77"/>
        <v>0.49754402691420857</v>
      </c>
      <c r="RD35" s="209">
        <f t="shared" si="78"/>
        <v>0</v>
      </c>
      <c r="RE35" s="209">
        <f t="shared" si="79"/>
        <v>0</v>
      </c>
      <c r="RF35" s="209">
        <f t="shared" si="80"/>
        <v>0.45837129747261934</v>
      </c>
      <c r="RG35" s="209">
        <f t="shared" si="81"/>
        <v>0</v>
      </c>
      <c r="RH35" s="209">
        <f t="shared" si="82"/>
        <v>0</v>
      </c>
      <c r="RI35" s="209">
        <f t="shared" si="83"/>
        <v>4.4084675613172065E-2</v>
      </c>
      <c r="RJ35" s="134"/>
      <c r="RK35" s="134"/>
      <c r="RL35" s="134"/>
      <c r="RM35" s="134"/>
      <c r="RN35" s="134"/>
      <c r="RO35" s="134"/>
      <c r="RP35" s="134"/>
      <c r="RQ35" s="134"/>
      <c r="RR35" s="222">
        <f t="shared" si="84"/>
        <v>1.9136110995366744</v>
      </c>
      <c r="RS35" s="224"/>
      <c r="RT35" s="224"/>
      <c r="RU35" s="208">
        <f t="shared" si="138"/>
        <v>21.065579840000002</v>
      </c>
      <c r="RV35" s="208">
        <f t="shared" si="139"/>
        <v>1</v>
      </c>
      <c r="RW35" s="208">
        <f t="shared" si="140"/>
        <v>0.99964022435653754</v>
      </c>
      <c r="RX35" s="208">
        <f t="shared" si="141"/>
        <v>0.99996147244503519</v>
      </c>
      <c r="RY35" s="208">
        <f t="shared" si="142"/>
        <v>0.99958215832772035</v>
      </c>
      <c r="RZ35" s="208">
        <f t="shared" si="85"/>
        <v>0.99967774875889703</v>
      </c>
      <c r="SA35" s="208">
        <f t="shared" si="86"/>
        <v>0.99962197714227219</v>
      </c>
      <c r="SB35" s="208">
        <f t="shared" si="87"/>
        <v>0.99994480041124278</v>
      </c>
      <c r="SC35" s="208">
        <f t="shared" si="88"/>
        <v>0.99990690765400858</v>
      </c>
      <c r="SD35" s="208">
        <f t="shared" si="89"/>
        <v>0.99948239686180695</v>
      </c>
      <c r="SE35" s="208">
        <f t="shared" si="90"/>
        <v>0.9995733292038137</v>
      </c>
      <c r="SF35" s="208">
        <f t="shared" si="91"/>
        <v>1.0001469966832659</v>
      </c>
      <c r="SG35" s="208">
        <f t="shared" si="92"/>
        <v>0.99902372463439981</v>
      </c>
      <c r="SH35" s="208">
        <f t="shared" si="93"/>
        <v>0.99859116717300811</v>
      </c>
      <c r="SI35" s="208">
        <f t="shared" si="94"/>
        <v>0.99842407196370941</v>
      </c>
      <c r="SJ35" s="208">
        <f t="shared" si="95"/>
        <v>0.99852048599849541</v>
      </c>
      <c r="SK35" s="208">
        <f t="shared" si="96"/>
        <v>0.99961018387396072</v>
      </c>
      <c r="SL35" s="208">
        <f t="shared" si="97"/>
        <v>0.99957528467169288</v>
      </c>
      <c r="SM35" s="222">
        <f t="shared" si="143"/>
        <v>1</v>
      </c>
      <c r="SN35" s="225">
        <f t="shared" si="98"/>
        <v>21.065579840000002</v>
      </c>
      <c r="SO35" s="209">
        <f t="shared" si="144"/>
        <v>0.99958250725597686</v>
      </c>
      <c r="SP35" s="209">
        <f t="shared" si="145"/>
        <v>0.99999991423720935</v>
      </c>
      <c r="SQ35" s="222">
        <f t="shared" si="146"/>
        <v>46343895989</v>
      </c>
      <c r="SR35" s="222">
        <f t="shared" si="147"/>
        <v>46327222584</v>
      </c>
      <c r="SS35" s="222">
        <f t="shared" si="148"/>
        <v>46342110472</v>
      </c>
      <c r="ST35" s="222">
        <f t="shared" si="149"/>
        <v>46324531578</v>
      </c>
      <c r="SU35" s="222">
        <f t="shared" si="150"/>
        <v>46328961611</v>
      </c>
      <c r="SV35" s="222">
        <f t="shared" si="151"/>
        <v>46326376937</v>
      </c>
      <c r="SW35" s="222">
        <f t="shared" si="152"/>
        <v>46341337825</v>
      </c>
      <c r="SX35" s="222">
        <f t="shared" si="153"/>
        <v>46339581727</v>
      </c>
      <c r="SY35" s="222">
        <f t="shared" si="154"/>
        <v>46319908243</v>
      </c>
      <c r="SZ35" s="222">
        <f t="shared" si="155"/>
        <v>46324122402</v>
      </c>
      <c r="TA35" s="222">
        <f t="shared" si="156"/>
        <v>46350708388</v>
      </c>
      <c r="TB35" s="222">
        <f t="shared" si="157"/>
        <v>46298651585</v>
      </c>
      <c r="TC35" s="222">
        <f t="shared" si="99"/>
        <v>46278605187</v>
      </c>
      <c r="TD35" s="222">
        <f t="shared" si="158"/>
        <v>46270861344</v>
      </c>
      <c r="TE35" s="222">
        <f t="shared" si="159"/>
        <v>46275329546</v>
      </c>
      <c r="TF35" s="222">
        <f t="shared" si="160"/>
        <v>46325830391</v>
      </c>
      <c r="TG35" s="222">
        <f t="shared" si="161"/>
        <v>46324213026</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x14ac:dyDescent="0.25">
      <c r="AB36" s="254">
        <v>6</v>
      </c>
      <c r="AC36" s="430" t="s">
        <v>1974</v>
      </c>
      <c r="AD36" s="430" t="s">
        <v>1964</v>
      </c>
      <c r="AE36" s="430">
        <v>0</v>
      </c>
      <c r="AF36" s="430">
        <v>0</v>
      </c>
      <c r="AG36" s="430">
        <v>6</v>
      </c>
      <c r="AH36" s="430" t="s">
        <v>1975</v>
      </c>
      <c r="AI36" s="430">
        <v>1</v>
      </c>
      <c r="AJ36" s="430">
        <v>1</v>
      </c>
      <c r="AK36" s="594">
        <v>2099645920</v>
      </c>
      <c r="AL36" s="594">
        <v>46191839608</v>
      </c>
      <c r="AM36" s="430">
        <v>11967860000</v>
      </c>
      <c r="AN36" s="430">
        <v>13472928000</v>
      </c>
      <c r="AO36" s="430">
        <v>466594748</v>
      </c>
      <c r="AP36" s="430">
        <v>208284258</v>
      </c>
      <c r="AQ36" s="595">
        <v>3482415</v>
      </c>
      <c r="AR36" s="595">
        <v>529217</v>
      </c>
      <c r="AS36" s="594">
        <v>25360648624</v>
      </c>
      <c r="AT36" s="594">
        <v>7209421049</v>
      </c>
      <c r="AU36" s="430" t="s">
        <v>1974</v>
      </c>
      <c r="AV36" s="430" t="s">
        <v>1964</v>
      </c>
      <c r="AW36" s="430">
        <v>0</v>
      </c>
      <c r="AX36" s="430">
        <v>0</v>
      </c>
      <c r="AY36" s="430">
        <v>6</v>
      </c>
      <c r="AZ36" s="430" t="s">
        <v>1975</v>
      </c>
      <c r="BA36" s="430">
        <v>1</v>
      </c>
      <c r="BB36" s="430">
        <v>1</v>
      </c>
      <c r="BC36" s="430">
        <v>2099641824</v>
      </c>
      <c r="BD36" s="430">
        <v>46191862306</v>
      </c>
      <c r="BE36" s="430">
        <v>34273471861</v>
      </c>
      <c r="BF36" s="595">
        <v>5863109615</v>
      </c>
      <c r="BG36" s="430">
        <v>9009238875</v>
      </c>
      <c r="BH36" s="595">
        <v>153323</v>
      </c>
      <c r="BI36" s="430">
        <v>23013945036</v>
      </c>
      <c r="BJ36" s="430">
        <v>239707503</v>
      </c>
      <c r="BK36" s="430">
        <v>0</v>
      </c>
      <c r="BL36" s="430">
        <v>0</v>
      </c>
      <c r="BM36" s="430" t="s">
        <v>1974</v>
      </c>
      <c r="BN36" s="430" t="s">
        <v>1964</v>
      </c>
      <c r="BO36" s="430">
        <v>0</v>
      </c>
      <c r="BP36" s="430">
        <v>0</v>
      </c>
      <c r="BQ36" s="430">
        <v>6</v>
      </c>
      <c r="BR36" s="430" t="s">
        <v>1975</v>
      </c>
      <c r="BS36" s="430">
        <v>1</v>
      </c>
      <c r="BT36" s="430">
        <v>1</v>
      </c>
      <c r="BU36" s="430">
        <v>2099680960</v>
      </c>
      <c r="BV36" s="430">
        <v>46192361432</v>
      </c>
      <c r="BW36" s="594">
        <v>9060796715</v>
      </c>
      <c r="BX36" s="594">
        <v>11604613155</v>
      </c>
      <c r="BY36" s="430">
        <v>21667716833</v>
      </c>
      <c r="BZ36" s="430">
        <v>424757945</v>
      </c>
      <c r="CA36" s="430">
        <v>10415922427</v>
      </c>
      <c r="CB36" s="430">
        <v>153800676286</v>
      </c>
      <c r="CC36" s="430">
        <v>9257072602</v>
      </c>
      <c r="CD36" s="430">
        <v>147847540812</v>
      </c>
      <c r="CE36" s="430" t="s">
        <v>1974</v>
      </c>
      <c r="CF36" s="430" t="s">
        <v>1964</v>
      </c>
      <c r="CG36" s="430">
        <v>0</v>
      </c>
      <c r="CH36" s="430">
        <v>0</v>
      </c>
      <c r="CI36" s="430">
        <v>6</v>
      </c>
      <c r="CJ36" s="430" t="s">
        <v>1975</v>
      </c>
      <c r="CK36" s="430">
        <v>1</v>
      </c>
      <c r="CL36" s="430">
        <v>1</v>
      </c>
      <c r="CM36" s="430">
        <v>2099558848</v>
      </c>
      <c r="CN36" s="430">
        <v>46190126623</v>
      </c>
      <c r="CO36" s="430">
        <v>3477513</v>
      </c>
      <c r="CP36" s="430">
        <v>467588401</v>
      </c>
      <c r="CQ36" s="430">
        <v>453037548</v>
      </c>
      <c r="CR36" s="430">
        <v>466347411</v>
      </c>
      <c r="CS36" s="430">
        <v>20136842</v>
      </c>
      <c r="CT36" s="430">
        <v>945960000</v>
      </c>
      <c r="CU36" s="430">
        <v>472980000</v>
      </c>
      <c r="CV36" s="430">
        <v>526862</v>
      </c>
      <c r="CW36" s="430" t="s">
        <v>1974</v>
      </c>
      <c r="CX36" s="430" t="s">
        <v>1964</v>
      </c>
      <c r="CY36" s="430">
        <v>0</v>
      </c>
      <c r="CZ36" s="430">
        <v>0</v>
      </c>
      <c r="DA36" s="430">
        <v>6</v>
      </c>
      <c r="DB36" s="430" t="s">
        <v>1975</v>
      </c>
      <c r="DC36" s="430">
        <v>1</v>
      </c>
      <c r="DD36" s="430">
        <v>1</v>
      </c>
      <c r="DE36" s="430">
        <v>2099576576</v>
      </c>
      <c r="DF36" s="430">
        <v>46190476091</v>
      </c>
      <c r="DG36" s="430">
        <v>13824046000</v>
      </c>
      <c r="DH36" s="430">
        <v>6650444000</v>
      </c>
      <c r="DI36" s="430">
        <v>508816000</v>
      </c>
      <c r="DJ36" s="430">
        <v>4651095333</v>
      </c>
      <c r="DK36" s="430">
        <v>1676980363</v>
      </c>
      <c r="DL36" s="430">
        <v>4170875019</v>
      </c>
      <c r="DM36" s="430">
        <v>1676958019</v>
      </c>
      <c r="DN36" s="430">
        <v>5362040</v>
      </c>
      <c r="DO36" s="595" t="s">
        <v>1974</v>
      </c>
      <c r="DP36" s="595" t="s">
        <v>1964</v>
      </c>
      <c r="DQ36" s="595">
        <v>0</v>
      </c>
      <c r="DR36" s="595">
        <v>0</v>
      </c>
      <c r="DS36" s="595">
        <v>6</v>
      </c>
      <c r="DT36" s="595" t="s">
        <v>1975</v>
      </c>
      <c r="DU36" s="595">
        <v>1</v>
      </c>
      <c r="DV36" s="595">
        <v>1</v>
      </c>
      <c r="DW36" s="595">
        <v>2099534240</v>
      </c>
      <c r="DX36" s="595">
        <v>46189561377</v>
      </c>
      <c r="DY36" s="595">
        <v>539032320</v>
      </c>
      <c r="DZ36" s="595">
        <v>483762155</v>
      </c>
      <c r="EA36" s="595">
        <v>43540440</v>
      </c>
      <c r="EB36" s="430">
        <v>546597105</v>
      </c>
      <c r="EC36" s="595">
        <v>478838287</v>
      </c>
      <c r="ED36" s="595">
        <v>0</v>
      </c>
      <c r="EE36" s="595">
        <v>0</v>
      </c>
      <c r="EF36" s="595">
        <v>19077374556</v>
      </c>
      <c r="EG36" s="595" t="s">
        <v>1974</v>
      </c>
      <c r="EH36" s="595" t="s">
        <v>1964</v>
      </c>
      <c r="EI36" s="595">
        <v>0</v>
      </c>
      <c r="EJ36" s="595">
        <v>0</v>
      </c>
      <c r="EK36" s="595">
        <v>6</v>
      </c>
      <c r="EL36" s="595" t="s">
        <v>1975</v>
      </c>
      <c r="EM36" s="595">
        <v>1</v>
      </c>
      <c r="EN36" s="595">
        <v>1</v>
      </c>
      <c r="EO36" s="595">
        <v>2099474944</v>
      </c>
      <c r="EP36" s="595">
        <v>46188237007</v>
      </c>
      <c r="EQ36" s="595">
        <v>1791577072</v>
      </c>
      <c r="ER36" s="595">
        <v>1140518740</v>
      </c>
      <c r="ES36" s="430">
        <v>3123240282</v>
      </c>
      <c r="ET36" s="595">
        <v>2026510</v>
      </c>
      <c r="EU36" s="595">
        <v>11967860000</v>
      </c>
      <c r="EV36" s="595">
        <v>0</v>
      </c>
      <c r="EW36" s="595">
        <v>13472928000</v>
      </c>
      <c r="EX36" s="595">
        <v>0</v>
      </c>
      <c r="EY36" s="595" t="s">
        <v>1974</v>
      </c>
      <c r="EZ36" s="595" t="s">
        <v>1964</v>
      </c>
      <c r="FA36" s="595">
        <v>0</v>
      </c>
      <c r="FB36" s="595">
        <v>0</v>
      </c>
      <c r="FC36" s="595">
        <v>6</v>
      </c>
      <c r="FD36" s="595" t="s">
        <v>1975</v>
      </c>
      <c r="FE36" s="595">
        <v>1</v>
      </c>
      <c r="FF36" s="595">
        <v>1</v>
      </c>
      <c r="FG36" s="595">
        <v>2099727040</v>
      </c>
      <c r="FH36" s="595">
        <v>46193782621</v>
      </c>
      <c r="FI36" s="595">
        <v>2020</v>
      </c>
      <c r="FJ36" s="595">
        <v>5024394646</v>
      </c>
      <c r="FK36" s="595">
        <v>1556595420</v>
      </c>
      <c r="FL36" s="595">
        <v>612087484</v>
      </c>
      <c r="FM36" s="595">
        <v>6984275897</v>
      </c>
      <c r="FN36" s="595">
        <v>6877850870</v>
      </c>
      <c r="FO36" s="430">
        <v>709337446</v>
      </c>
      <c r="FP36" s="430">
        <v>1117308923</v>
      </c>
      <c r="FQ36" s="595" t="s">
        <v>1974</v>
      </c>
      <c r="FR36" s="595" t="s">
        <v>1964</v>
      </c>
      <c r="FS36" s="595">
        <v>0</v>
      </c>
      <c r="FT36" s="595">
        <v>0</v>
      </c>
      <c r="FU36" s="595">
        <v>6</v>
      </c>
      <c r="FV36" s="595" t="s">
        <v>1975</v>
      </c>
      <c r="FW36" s="595">
        <v>1</v>
      </c>
      <c r="FX36" s="595">
        <v>1</v>
      </c>
      <c r="FY36" s="595">
        <v>2099668256</v>
      </c>
      <c r="FZ36" s="595">
        <v>46192511990</v>
      </c>
      <c r="GA36" s="595">
        <v>453036656</v>
      </c>
      <c r="GB36" s="595">
        <v>447673923</v>
      </c>
      <c r="GC36" s="595">
        <v>446220604</v>
      </c>
      <c r="GD36" s="595">
        <v>446220604</v>
      </c>
      <c r="GE36" s="595">
        <v>4154</v>
      </c>
      <c r="GF36" s="595">
        <v>1</v>
      </c>
      <c r="GG36" s="595">
        <v>455</v>
      </c>
      <c r="GH36" s="595">
        <v>521761</v>
      </c>
      <c r="GI36" s="595" t="s">
        <v>1974</v>
      </c>
      <c r="GJ36" s="595" t="s">
        <v>1964</v>
      </c>
      <c r="GK36" s="595">
        <v>0</v>
      </c>
      <c r="GL36" s="595">
        <v>0</v>
      </c>
      <c r="GM36" s="595">
        <v>6</v>
      </c>
      <c r="GN36" s="595" t="s">
        <v>1975</v>
      </c>
      <c r="GO36" s="595">
        <v>1</v>
      </c>
      <c r="GP36" s="595">
        <v>1</v>
      </c>
      <c r="GQ36" s="595">
        <v>2099601536</v>
      </c>
      <c r="GR36" s="595">
        <v>46191050634</v>
      </c>
      <c r="GS36" s="595">
        <v>0</v>
      </c>
      <c r="GT36" s="595">
        <v>0</v>
      </c>
      <c r="GU36" s="595">
        <v>0</v>
      </c>
      <c r="GV36" s="595">
        <v>0</v>
      </c>
      <c r="GW36" s="595">
        <v>0</v>
      </c>
      <c r="GX36" s="595">
        <v>8</v>
      </c>
      <c r="GY36" s="595">
        <v>329660032</v>
      </c>
      <c r="GZ36" s="595">
        <v>604708739</v>
      </c>
      <c r="HA36" s="595" t="s">
        <v>1974</v>
      </c>
      <c r="HB36" s="595" t="s">
        <v>1964</v>
      </c>
      <c r="HC36" s="595">
        <v>0</v>
      </c>
      <c r="HD36" s="595">
        <v>0</v>
      </c>
      <c r="HE36" s="595">
        <v>6</v>
      </c>
      <c r="HF36" s="595" t="s">
        <v>1975</v>
      </c>
      <c r="HG36" s="595">
        <v>1</v>
      </c>
      <c r="HH36" s="595">
        <v>1</v>
      </c>
      <c r="HI36" s="595">
        <v>2099476736</v>
      </c>
      <c r="HJ36" s="595">
        <v>46188290085</v>
      </c>
      <c r="HK36" s="595">
        <v>0</v>
      </c>
      <c r="HL36" s="595">
        <v>0</v>
      </c>
      <c r="HM36" s="595">
        <v>0</v>
      </c>
      <c r="HN36" s="595">
        <v>1282822017</v>
      </c>
      <c r="HO36" s="595">
        <v>1182474029</v>
      </c>
      <c r="HP36" s="595">
        <v>2017</v>
      </c>
      <c r="HQ36" s="595">
        <v>3067255029</v>
      </c>
      <c r="HR36" s="595">
        <v>0</v>
      </c>
      <c r="HS36" s="595" t="s">
        <v>1974</v>
      </c>
      <c r="HT36" s="595" t="s">
        <v>1964</v>
      </c>
      <c r="HU36" s="595">
        <v>0</v>
      </c>
      <c r="HV36" s="595">
        <v>0</v>
      </c>
      <c r="HW36" s="595">
        <v>6</v>
      </c>
      <c r="HX36" s="595" t="s">
        <v>1975</v>
      </c>
      <c r="HY36" s="595">
        <v>1</v>
      </c>
      <c r="HZ36" s="595">
        <v>1</v>
      </c>
      <c r="IA36" s="595">
        <v>2099824736</v>
      </c>
      <c r="IB36" s="595">
        <v>46195874343</v>
      </c>
      <c r="IC36" s="595">
        <v>27797235718</v>
      </c>
      <c r="ID36" s="595">
        <v>680786093</v>
      </c>
      <c r="IE36" s="595">
        <v>0</v>
      </c>
      <c r="IF36" s="595">
        <v>27797217017</v>
      </c>
      <c r="IG36" s="595">
        <v>45061623</v>
      </c>
      <c r="IH36" s="595">
        <v>604719797</v>
      </c>
      <c r="II36" s="595">
        <v>0</v>
      </c>
      <c r="IJ36" s="595">
        <v>0</v>
      </c>
      <c r="IK36" s="595" t="s">
        <v>1974</v>
      </c>
      <c r="IL36" s="595" t="s">
        <v>1964</v>
      </c>
      <c r="IM36" s="595">
        <v>0</v>
      </c>
      <c r="IN36" s="595">
        <v>0</v>
      </c>
      <c r="IO36" s="595">
        <v>6</v>
      </c>
      <c r="IP36" s="595" t="s">
        <v>1975</v>
      </c>
      <c r="IQ36" s="595">
        <v>1</v>
      </c>
      <c r="IR36" s="595">
        <v>1</v>
      </c>
      <c r="IS36" s="595">
        <v>2100262592</v>
      </c>
      <c r="IT36" s="595">
        <v>46205592566</v>
      </c>
      <c r="IU36" s="595">
        <v>0</v>
      </c>
      <c r="IV36" s="595">
        <v>0</v>
      </c>
      <c r="IW36" s="595">
        <v>1017640000</v>
      </c>
      <c r="IX36" s="595">
        <v>0</v>
      </c>
      <c r="IY36" s="595">
        <v>516005000</v>
      </c>
      <c r="IZ36" s="595">
        <v>157662009</v>
      </c>
      <c r="JA36" s="595">
        <v>0</v>
      </c>
      <c r="JB36" s="595">
        <v>0</v>
      </c>
      <c r="JC36" s="595" t="s">
        <v>1974</v>
      </c>
      <c r="JD36" s="595" t="s">
        <v>1964</v>
      </c>
      <c r="JE36" s="595">
        <v>0</v>
      </c>
      <c r="JF36" s="595">
        <v>0</v>
      </c>
      <c r="JG36" s="595">
        <v>6</v>
      </c>
      <c r="JH36" s="595" t="s">
        <v>1975</v>
      </c>
      <c r="JI36" s="595">
        <v>1</v>
      </c>
      <c r="JJ36" s="595">
        <v>1</v>
      </c>
      <c r="JK36" s="595">
        <v>2100737600</v>
      </c>
      <c r="JL36" s="595">
        <v>46216057468</v>
      </c>
      <c r="JM36" s="595">
        <v>448485530</v>
      </c>
      <c r="JN36" s="595">
        <v>0</v>
      </c>
      <c r="JO36" s="595">
        <v>0</v>
      </c>
      <c r="JP36" s="595">
        <v>412635196</v>
      </c>
      <c r="JQ36" s="595">
        <v>0</v>
      </c>
      <c r="JR36" s="595">
        <v>0</v>
      </c>
      <c r="JS36" s="595">
        <v>39620210</v>
      </c>
      <c r="JT36" s="595">
        <v>0</v>
      </c>
      <c r="JU36" s="595" t="s">
        <v>1974</v>
      </c>
      <c r="JV36" s="595" t="s">
        <v>1964</v>
      </c>
      <c r="JW36" s="595">
        <v>0</v>
      </c>
      <c r="JX36" s="595">
        <v>0</v>
      </c>
      <c r="JY36" s="595">
        <v>6</v>
      </c>
      <c r="JZ36" s="595" t="s">
        <v>1975</v>
      </c>
      <c r="KA36" s="595">
        <v>1</v>
      </c>
      <c r="KB36" s="595">
        <v>1</v>
      </c>
      <c r="KC36" s="595">
        <v>2100682624</v>
      </c>
      <c r="KD36" s="595">
        <v>46214665346</v>
      </c>
      <c r="KE36" s="595">
        <v>0</v>
      </c>
      <c r="KF36" s="595">
        <v>2839530132</v>
      </c>
      <c r="KG36" s="595">
        <v>944310050</v>
      </c>
      <c r="KH36" s="595">
        <v>65058730432</v>
      </c>
      <c r="KI36" s="595">
        <v>47270281456</v>
      </c>
      <c r="KJ36" s="595">
        <v>4066170644</v>
      </c>
      <c r="KK36" s="595">
        <v>2954392593</v>
      </c>
      <c r="KL36" s="595">
        <v>0</v>
      </c>
      <c r="KM36" s="595" t="s">
        <v>1974</v>
      </c>
      <c r="KN36" s="595" t="s">
        <v>1964</v>
      </c>
      <c r="KO36" s="595">
        <v>0</v>
      </c>
      <c r="KP36" s="595">
        <v>0</v>
      </c>
      <c r="KQ36" s="595">
        <v>6</v>
      </c>
      <c r="KR36" s="595" t="s">
        <v>1975</v>
      </c>
      <c r="KS36" s="595">
        <v>1</v>
      </c>
      <c r="KT36" s="595">
        <v>1</v>
      </c>
      <c r="KU36" s="595">
        <v>2099576448</v>
      </c>
      <c r="KV36" s="595">
        <v>46190432568</v>
      </c>
      <c r="KW36" s="595">
        <v>5590383202</v>
      </c>
      <c r="KX36" s="595">
        <v>44761613</v>
      </c>
      <c r="KY36" s="595">
        <v>10921586</v>
      </c>
      <c r="KZ36" s="595">
        <v>25360578501</v>
      </c>
      <c r="LA36" s="595">
        <v>2502524755</v>
      </c>
      <c r="LB36" s="595">
        <v>224714</v>
      </c>
      <c r="LC36" s="595">
        <v>11722</v>
      </c>
      <c r="LD36" s="595">
        <v>13178</v>
      </c>
      <c r="LE36" s="595" t="s">
        <v>1974</v>
      </c>
      <c r="LF36" s="595" t="s">
        <v>1964</v>
      </c>
      <c r="LG36" s="595">
        <v>0</v>
      </c>
      <c r="LH36" s="595">
        <v>0</v>
      </c>
      <c r="LI36" s="595">
        <v>6</v>
      </c>
      <c r="LJ36" s="595" t="s">
        <v>1975</v>
      </c>
      <c r="LK36" s="595">
        <v>1</v>
      </c>
      <c r="LL36" s="595">
        <v>1</v>
      </c>
      <c r="LM36" s="595">
        <v>2099582080</v>
      </c>
      <c r="LN36" s="595">
        <v>46190580600</v>
      </c>
      <c r="LO36" s="595">
        <v>5536489499</v>
      </c>
      <c r="LP36" s="595">
        <v>618</v>
      </c>
      <c r="LQ36" s="595">
        <v>0</v>
      </c>
      <c r="LR36" s="595">
        <v>2502910213</v>
      </c>
      <c r="LS36" s="595">
        <v>68</v>
      </c>
      <c r="LT36" s="595">
        <v>0</v>
      </c>
      <c r="LU36" s="595">
        <v>5536364071</v>
      </c>
      <c r="LV36" s="595">
        <v>25117</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20.9964592</v>
      </c>
      <c r="ND36" s="208">
        <f t="shared" si="103"/>
        <v>2.9216529994733591</v>
      </c>
      <c r="NE36" s="209">
        <f t="shared" si="15"/>
        <v>4.1500985474773343E-2</v>
      </c>
      <c r="NF36" s="208">
        <f t="shared" si="16"/>
        <v>8.1795719034378891</v>
      </c>
      <c r="NG36" s="210"/>
      <c r="NH36" s="211">
        <f t="shared" si="104"/>
        <v>25360648624</v>
      </c>
      <c r="NI36" s="208">
        <f t="shared" si="17"/>
        <v>61344368000</v>
      </c>
      <c r="NJ36" s="212">
        <f t="shared" si="105"/>
        <v>0.28427589356596261</v>
      </c>
      <c r="NK36" s="213">
        <f t="shared" si="106"/>
        <v>0.78037220955638498</v>
      </c>
      <c r="NL36" s="214">
        <f t="shared" si="18"/>
        <v>0.95831943945666309</v>
      </c>
      <c r="NM36" s="208">
        <f t="shared" si="107"/>
        <v>0.54902876437092085</v>
      </c>
      <c r="NN36" s="208">
        <f t="shared" si="19"/>
        <v>1.2078535900948479</v>
      </c>
      <c r="NO36" s="215">
        <f t="shared" si="20"/>
        <v>6.9692797674958512E-5</v>
      </c>
      <c r="NP36" s="216">
        <f t="shared" si="108"/>
        <v>0</v>
      </c>
      <c r="NQ36" s="215">
        <f t="shared" si="109"/>
        <v>0.21765540626595298</v>
      </c>
      <c r="NR36" s="215">
        <f t="shared" si="110"/>
        <v>3.0799694720089848E-2</v>
      </c>
      <c r="NS36" s="215">
        <f t="shared" si="21"/>
        <v>1.9791258164780692E-2</v>
      </c>
      <c r="NT36" s="215">
        <f t="shared" si="22"/>
        <v>7.5698720186149837E-3</v>
      </c>
      <c r="NU36" s="215">
        <f t="shared" si="23"/>
        <v>0.2001022867777062</v>
      </c>
      <c r="NV36" s="215">
        <f t="shared" si="111"/>
        <v>3.6191512146561036</v>
      </c>
      <c r="NW36" s="215">
        <f t="shared" si="24"/>
        <v>1.7893636962220558</v>
      </c>
      <c r="NX36" s="215">
        <f t="shared" si="25"/>
        <v>8.6715992062554825</v>
      </c>
      <c r="NY36" s="215">
        <f t="shared" si="26"/>
        <v>9.2114784746111255E-4</v>
      </c>
      <c r="NZ36" s="215">
        <f t="shared" si="27"/>
        <v>0.91298593916491555</v>
      </c>
      <c r="OA36" s="215">
        <f t="shared" si="28"/>
        <v>0</v>
      </c>
      <c r="OB36" s="215">
        <f t="shared" si="29"/>
        <v>0.1089587766202625</v>
      </c>
      <c r="OC36" s="215">
        <f t="shared" si="30"/>
        <v>0</v>
      </c>
      <c r="OD36" s="215">
        <f t="shared" si="31"/>
        <v>2.6650698991299335</v>
      </c>
      <c r="OE36" s="215">
        <f t="shared" si="32"/>
        <v>0.81435934855168857</v>
      </c>
      <c r="OF36" s="215">
        <f t="shared" si="33"/>
        <v>0.51842151400193448</v>
      </c>
      <c r="OG36" s="215">
        <f t="shared" si="34"/>
        <v>1.419665366994556</v>
      </c>
      <c r="OH36" s="215">
        <f t="shared" si="35"/>
        <v>0</v>
      </c>
      <c r="OI36" s="215">
        <f t="shared" si="112"/>
        <v>20.9964592</v>
      </c>
      <c r="OJ36" s="218">
        <f t="shared" si="113"/>
        <v>0.22549014824308841</v>
      </c>
      <c r="OK36" s="218">
        <f t="shared" si="114"/>
        <v>0.20040267081013777</v>
      </c>
      <c r="OL36" s="218">
        <f t="shared" si="115"/>
        <v>1.5355690869046314E-2</v>
      </c>
      <c r="OM36" s="218">
        <f t="shared" si="116"/>
        <v>2.4187430853347437E-2</v>
      </c>
      <c r="ON36" s="217">
        <f t="shared" si="36"/>
        <v>0.22368860596596313</v>
      </c>
      <c r="OO36" s="210"/>
      <c r="OP36" s="210"/>
      <c r="OQ36" s="218">
        <f t="shared" si="117"/>
        <v>0.15119515009850917</v>
      </c>
      <c r="OR36" s="218">
        <f t="shared" si="118"/>
        <v>0.148891268039896</v>
      </c>
      <c r="OS36" s="218">
        <f t="shared" si="37"/>
        <v>0.92286999401584546</v>
      </c>
      <c r="OT36" s="218">
        <f t="shared" si="38"/>
        <v>0.99820663594596704</v>
      </c>
      <c r="OU36" s="209">
        <f t="shared" si="39"/>
        <v>1.0000000019674531</v>
      </c>
      <c r="OV36" s="209">
        <f t="shared" si="40"/>
        <v>0.99999999932304184</v>
      </c>
      <c r="OW36" s="209">
        <f t="shared" si="119"/>
        <v>9.1954152555133659E-3</v>
      </c>
      <c r="OX36" s="219">
        <f t="shared" si="41"/>
        <v>1.7941181503118641E-8</v>
      </c>
      <c r="OY36" s="208">
        <f t="shared" si="120"/>
        <v>6328075696</v>
      </c>
      <c r="OZ36" s="208">
        <f t="shared" si="42"/>
        <v>467588401</v>
      </c>
      <c r="PA36" s="209">
        <f t="shared" si="121"/>
        <v>7.38910884545146E-2</v>
      </c>
      <c r="PB36" s="209">
        <f>IF(OR($CQ36="",$OZ36=""),"",IF($OZ36=0,0,
GuardLimitUpper(
  ($OZ36-$CQ36)/$OZ36,
  data_GuardLimitFlag,
  1)
))</f>
        <v>3.1118934877086484E-2</v>
      </c>
      <c r="PC36" s="209">
        <f t="shared" si="43"/>
        <v>0.95741023952388415</v>
      </c>
      <c r="PD36" s="209">
        <f t="shared" si="44"/>
        <v>1.1470825599029347E-2</v>
      </c>
      <c r="PE36" s="208">
        <f t="shared" si="122"/>
        <v>462583116</v>
      </c>
      <c r="PF36" s="209">
        <f t="shared" si="123"/>
        <v>7.3100123674626788E-2</v>
      </c>
      <c r="PG36" s="209">
        <f t="shared" si="45"/>
        <v>3.6031219969439622E-2</v>
      </c>
      <c r="PH36" s="209">
        <f t="shared" si="46"/>
        <v>0.96509725797600909</v>
      </c>
      <c r="PI36" s="209">
        <f t="shared" si="47"/>
        <v>0</v>
      </c>
      <c r="PJ36" s="220">
        <f t="shared" si="48"/>
        <v>6.5643968238650477E-7</v>
      </c>
      <c r="PK36" s="220">
        <f t="shared" si="49"/>
        <v>1.5802592257739642E-10</v>
      </c>
      <c r="PL36" s="221">
        <f t="shared" si="124"/>
        <v>157659990</v>
      </c>
      <c r="PM36" s="221">
        <f t="shared" si="50"/>
        <v>0</v>
      </c>
      <c r="PN36" s="221">
        <f t="shared" si="125"/>
        <v>945960000</v>
      </c>
      <c r="PO36" s="221">
        <f t="shared" si="51"/>
        <v>0</v>
      </c>
      <c r="PP36" s="221">
        <f t="shared" si="52"/>
        <v>0</v>
      </c>
      <c r="PQ36" s="529">
        <f t="shared" si="126"/>
        <v>0</v>
      </c>
      <c r="PR36" s="221">
        <f t="shared" si="53"/>
        <v>0</v>
      </c>
      <c r="PS36" s="221">
        <f t="shared" si="54"/>
        <v>3547475343</v>
      </c>
      <c r="PT36" s="221">
        <f t="shared" si="127"/>
        <v>21503990</v>
      </c>
      <c r="PU36" s="221">
        <f t="shared" si="55"/>
        <v>0</v>
      </c>
      <c r="PV36" s="221">
        <f t="shared" si="128"/>
        <v>472980000</v>
      </c>
      <c r="PW36" s="221">
        <f t="shared" si="56"/>
        <v>0</v>
      </c>
      <c r="PX36" s="221">
        <f t="shared" si="162"/>
        <v>0</v>
      </c>
      <c r="PY36" s="221">
        <f t="shared" si="57"/>
        <v>1182496373</v>
      </c>
      <c r="PZ36" s="221">
        <f t="shared" si="58"/>
        <v>0</v>
      </c>
      <c r="QA36" s="221">
        <f t="shared" si="59"/>
        <v>0</v>
      </c>
      <c r="QB36" s="221">
        <f t="shared" si="60"/>
        <v>5362040</v>
      </c>
      <c r="QC36" s="221">
        <f t="shared" si="61"/>
        <v>8</v>
      </c>
      <c r="QD36" s="221">
        <f t="shared" si="129"/>
        <v>6664786000</v>
      </c>
      <c r="QE36" s="221">
        <f t="shared" si="130"/>
        <v>6650444000</v>
      </c>
      <c r="QF36" s="221">
        <f t="shared" si="131"/>
        <v>508816000</v>
      </c>
      <c r="QG36" s="222">
        <f t="shared" si="62"/>
        <v>0</v>
      </c>
      <c r="QH36" s="222">
        <f t="shared" si="63"/>
        <v>1282822017</v>
      </c>
      <c r="QI36" s="222">
        <f t="shared" si="64"/>
        <v>329660032</v>
      </c>
      <c r="QJ36" s="222">
        <f t="shared" si="65"/>
        <v>604708739</v>
      </c>
      <c r="QK36" s="222">
        <f t="shared" si="66"/>
        <v>2017</v>
      </c>
      <c r="QL36" s="222">
        <f t="shared" si="132"/>
        <v>0</v>
      </c>
      <c r="QM36" s="222">
        <f>IF(OR($O$8="Lv2",$O$8="Lv3",$O$8="Lv4"),IF(OR($AS36="",COUNT($PL36:$QL36)=0),"",
GuardLimitLower(
  $AS36-SUM($PL36:$QL36),
  data_GuardLimitFlag,
  0)
),"")</f>
        <v>2985972075</v>
      </c>
      <c r="QN36" s="222">
        <f t="shared" si="133"/>
        <v>25360648624</v>
      </c>
      <c r="QO36" s="222">
        <f t="shared" si="134"/>
        <v>61344368000</v>
      </c>
      <c r="QP36" s="222">
        <f t="shared" si="135"/>
        <v>0</v>
      </c>
      <c r="QQ36" s="222">
        <f t="shared" si="136"/>
        <v>0</v>
      </c>
      <c r="QR36" s="222">
        <f t="shared" si="67"/>
        <v>2.7998768647421874</v>
      </c>
      <c r="QS36" s="209">
        <f t="shared" si="68"/>
        <v>0</v>
      </c>
      <c r="QT36" s="209">
        <f t="shared" si="69"/>
        <v>0.75043606373964977</v>
      </c>
      <c r="QU36" s="209">
        <f t="shared" si="70"/>
        <v>0.24956393626035023</v>
      </c>
      <c r="QV36" s="208">
        <f t="shared" si="71"/>
        <v>27797235718</v>
      </c>
      <c r="QW36" s="208">
        <f t="shared" si="72"/>
        <v>516005000</v>
      </c>
      <c r="QX36" s="208">
        <f t="shared" si="73"/>
        <v>157662009</v>
      </c>
      <c r="QY36" s="208">
        <f t="shared" si="74"/>
        <v>1017640000</v>
      </c>
      <c r="QZ36" s="208">
        <f t="shared" si="75"/>
        <v>0</v>
      </c>
      <c r="RA36" s="209">
        <f t="shared" si="137"/>
        <v>0.99999932723526219</v>
      </c>
      <c r="RB36" s="209">
        <f t="shared" si="76"/>
        <v>7.4517896127180003E-2</v>
      </c>
      <c r="RC36" s="209">
        <f t="shared" si="77"/>
        <v>0.49790734724640073</v>
      </c>
      <c r="RD36" s="209">
        <f t="shared" si="78"/>
        <v>0</v>
      </c>
      <c r="RE36" s="209">
        <f t="shared" si="79"/>
        <v>0</v>
      </c>
      <c r="RF36" s="209">
        <f t="shared" si="80"/>
        <v>0.45810640941048558</v>
      </c>
      <c r="RG36" s="209">
        <f t="shared" si="81"/>
        <v>0</v>
      </c>
      <c r="RH36" s="209">
        <f t="shared" si="82"/>
        <v>0</v>
      </c>
      <c r="RI36" s="209">
        <f t="shared" si="83"/>
        <v>4.3986243343113698E-2</v>
      </c>
      <c r="RJ36" s="134"/>
      <c r="RK36" s="134"/>
      <c r="RL36" s="134"/>
      <c r="RM36" s="134"/>
      <c r="RN36" s="134"/>
      <c r="RO36" s="134"/>
      <c r="RP36" s="134"/>
      <c r="RQ36" s="134"/>
      <c r="RR36" s="222">
        <f t="shared" si="84"/>
        <v>1.9143778855817748</v>
      </c>
      <c r="RS36" s="224"/>
      <c r="RT36" s="224"/>
      <c r="RU36" s="208">
        <f t="shared" si="138"/>
        <v>20.9964592</v>
      </c>
      <c r="RV36" s="208">
        <f t="shared" si="139"/>
        <v>1</v>
      </c>
      <c r="RW36" s="208">
        <f t="shared" si="140"/>
        <v>1.0000004913854956</v>
      </c>
      <c r="RX36" s="208">
        <f t="shared" si="141"/>
        <v>1.0000112968871651</v>
      </c>
      <c r="RY36" s="208">
        <f t="shared" si="142"/>
        <v>0.99996291585235542</v>
      </c>
      <c r="RZ36" s="208">
        <f t="shared" si="85"/>
        <v>0.9999704814311019</v>
      </c>
      <c r="SA36" s="208">
        <f t="shared" si="86"/>
        <v>0.99995067892902001</v>
      </c>
      <c r="SB36" s="208">
        <f t="shared" si="87"/>
        <v>0.99992200784747753</v>
      </c>
      <c r="SC36" s="208">
        <f t="shared" si="88"/>
        <v>1.0000420639882821</v>
      </c>
      <c r="SD36" s="208">
        <f t="shared" si="89"/>
        <v>1.000014556294049</v>
      </c>
      <c r="SE36" s="208">
        <f t="shared" si="90"/>
        <v>0.99998291962375396</v>
      </c>
      <c r="SF36" s="208">
        <f t="shared" si="91"/>
        <v>0.99992315692490008</v>
      </c>
      <c r="SG36" s="208">
        <f t="shared" si="92"/>
        <v>1.0000873473547327</v>
      </c>
      <c r="SH36" s="208">
        <f t="shared" si="93"/>
        <v>1.000524288709987</v>
      </c>
      <c r="SI36" s="208">
        <f t="shared" si="94"/>
        <v>1.0002977356631975</v>
      </c>
      <c r="SJ36" s="208">
        <f t="shared" si="95"/>
        <v>1.0004941508758627</v>
      </c>
      <c r="SK36" s="208">
        <f t="shared" si="96"/>
        <v>0.99996953920839826</v>
      </c>
      <c r="SL36" s="208">
        <f t="shared" si="97"/>
        <v>0.99997274393029845</v>
      </c>
      <c r="SM36" s="222">
        <f t="shared" si="143"/>
        <v>1</v>
      </c>
      <c r="SN36" s="225">
        <f t="shared" si="98"/>
        <v>20.9964592</v>
      </c>
      <c r="SO36" s="209">
        <f t="shared" si="144"/>
        <v>0.99630266482300733</v>
      </c>
      <c r="SP36" s="209">
        <f t="shared" si="145"/>
        <v>1</v>
      </c>
      <c r="SQ36" s="222">
        <f t="shared" si="146"/>
        <v>46191839608</v>
      </c>
      <c r="SR36" s="222">
        <f t="shared" si="147"/>
        <v>46191862306</v>
      </c>
      <c r="SS36" s="222">
        <f t="shared" si="148"/>
        <v>46192361432</v>
      </c>
      <c r="ST36" s="222">
        <f t="shared" si="149"/>
        <v>46190126623</v>
      </c>
      <c r="SU36" s="222">
        <f t="shared" si="150"/>
        <v>46190476091</v>
      </c>
      <c r="SV36" s="222">
        <f t="shared" si="151"/>
        <v>46189561377</v>
      </c>
      <c r="SW36" s="222">
        <f t="shared" si="152"/>
        <v>46188237007</v>
      </c>
      <c r="SX36" s="222">
        <f t="shared" si="153"/>
        <v>46193782621</v>
      </c>
      <c r="SY36" s="222">
        <f t="shared" si="154"/>
        <v>46192511990</v>
      </c>
      <c r="SZ36" s="222">
        <f t="shared" si="155"/>
        <v>46191050634</v>
      </c>
      <c r="TA36" s="222">
        <f t="shared" si="156"/>
        <v>46188290085</v>
      </c>
      <c r="TB36" s="222">
        <f t="shared" si="157"/>
        <v>46195874343</v>
      </c>
      <c r="TC36" s="222">
        <f t="shared" si="99"/>
        <v>46216057468</v>
      </c>
      <c r="TD36" s="222">
        <f t="shared" si="158"/>
        <v>46205592566</v>
      </c>
      <c r="TE36" s="222">
        <f t="shared" si="159"/>
        <v>46214665346</v>
      </c>
      <c r="TF36" s="222">
        <f t="shared" si="160"/>
        <v>46190432568</v>
      </c>
      <c r="TG36" s="222">
        <f t="shared" si="161"/>
        <v>46190580600</v>
      </c>
      <c r="VK36" s="2"/>
      <c r="WC36" s="239"/>
      <c r="WD36" s="239"/>
      <c r="WE36" s="239"/>
      <c r="WF36" s="239"/>
      <c r="WG36" s="239"/>
      <c r="WH36" s="239"/>
      <c r="WI36" s="239"/>
      <c r="WJ36" s="239"/>
      <c r="WK36" s="239"/>
      <c r="WL36" s="239"/>
      <c r="WM36" s="239"/>
      <c r="WN36" s="239"/>
      <c r="WO36" s="239"/>
      <c r="WP36" s="239"/>
      <c r="WQ36" s="239"/>
      <c r="WR36" s="239"/>
      <c r="WS36" s="239"/>
    </row>
    <row r="37" spans="28:617" ht="16.5" customHeight="1" x14ac:dyDescent="0.25">
      <c r="AB37" s="254">
        <v>7</v>
      </c>
      <c r="AC37" s="430" t="s">
        <v>1974</v>
      </c>
      <c r="AD37" s="430" t="s">
        <v>1964</v>
      </c>
      <c r="AE37" s="430">
        <v>0</v>
      </c>
      <c r="AF37" s="430">
        <v>0</v>
      </c>
      <c r="AG37" s="430">
        <v>7</v>
      </c>
      <c r="AH37" s="430" t="s">
        <v>1975</v>
      </c>
      <c r="AI37" s="430">
        <v>1</v>
      </c>
      <c r="AJ37" s="430">
        <v>1</v>
      </c>
      <c r="AK37" s="594">
        <v>2104462880</v>
      </c>
      <c r="AL37" s="594">
        <v>46297929460</v>
      </c>
      <c r="AM37" s="430">
        <v>11967860000</v>
      </c>
      <c r="AN37" s="430">
        <v>13472928000</v>
      </c>
      <c r="AO37" s="430">
        <v>467053777</v>
      </c>
      <c r="AP37" s="430">
        <v>208360750</v>
      </c>
      <c r="AQ37" s="595">
        <v>3919249</v>
      </c>
      <c r="AR37" s="595">
        <v>949321</v>
      </c>
      <c r="AS37" s="594">
        <v>25360604675</v>
      </c>
      <c r="AT37" s="594">
        <v>7209421049</v>
      </c>
      <c r="AU37" s="430" t="s">
        <v>1974</v>
      </c>
      <c r="AV37" s="430" t="s">
        <v>1964</v>
      </c>
      <c r="AW37" s="430">
        <v>0</v>
      </c>
      <c r="AX37" s="430">
        <v>0</v>
      </c>
      <c r="AY37" s="430">
        <v>7</v>
      </c>
      <c r="AZ37" s="430" t="s">
        <v>1975</v>
      </c>
      <c r="BA37" s="430">
        <v>1</v>
      </c>
      <c r="BB37" s="430">
        <v>1</v>
      </c>
      <c r="BC37" s="430">
        <v>2104827968</v>
      </c>
      <c r="BD37" s="430">
        <v>46305966982</v>
      </c>
      <c r="BE37" s="430">
        <v>34392038826</v>
      </c>
      <c r="BF37" s="595">
        <v>5856418779</v>
      </c>
      <c r="BG37" s="430">
        <v>9129383497</v>
      </c>
      <c r="BH37" s="595">
        <v>146008</v>
      </c>
      <c r="BI37" s="430">
        <v>23010528975</v>
      </c>
      <c r="BJ37" s="430">
        <v>239753498</v>
      </c>
      <c r="BK37" s="430">
        <v>0</v>
      </c>
      <c r="BL37" s="430">
        <v>0</v>
      </c>
      <c r="BM37" s="430" t="s">
        <v>1974</v>
      </c>
      <c r="BN37" s="430" t="s">
        <v>1964</v>
      </c>
      <c r="BO37" s="430">
        <v>0</v>
      </c>
      <c r="BP37" s="430">
        <v>0</v>
      </c>
      <c r="BQ37" s="430">
        <v>7</v>
      </c>
      <c r="BR37" s="430" t="s">
        <v>1975</v>
      </c>
      <c r="BS37" s="430">
        <v>1</v>
      </c>
      <c r="BT37" s="430">
        <v>1</v>
      </c>
      <c r="BU37" s="430">
        <v>2104085376</v>
      </c>
      <c r="BV37" s="430">
        <v>46289262631</v>
      </c>
      <c r="BW37" s="594">
        <v>9067133654</v>
      </c>
      <c r="BX37" s="594">
        <v>11609282877</v>
      </c>
      <c r="BY37" s="430">
        <v>21704974265</v>
      </c>
      <c r="BZ37" s="430">
        <v>426062856</v>
      </c>
      <c r="CA37" s="430">
        <v>10412020459</v>
      </c>
      <c r="CB37" s="430">
        <v>153758976628</v>
      </c>
      <c r="CC37" s="430">
        <v>9260574305</v>
      </c>
      <c r="CD37" s="430">
        <v>147902718472</v>
      </c>
      <c r="CE37" s="430" t="s">
        <v>1974</v>
      </c>
      <c r="CF37" s="430" t="s">
        <v>1964</v>
      </c>
      <c r="CG37" s="430">
        <v>0</v>
      </c>
      <c r="CH37" s="430">
        <v>0</v>
      </c>
      <c r="CI37" s="430">
        <v>7</v>
      </c>
      <c r="CJ37" s="430" t="s">
        <v>1975</v>
      </c>
      <c r="CK37" s="430">
        <v>1</v>
      </c>
      <c r="CL37" s="430">
        <v>1</v>
      </c>
      <c r="CM37" s="430">
        <v>2104627936</v>
      </c>
      <c r="CN37" s="430">
        <v>46301645154</v>
      </c>
      <c r="CO37" s="430">
        <v>3986370</v>
      </c>
      <c r="CP37" s="430">
        <v>467620580</v>
      </c>
      <c r="CQ37" s="430">
        <v>452435789</v>
      </c>
      <c r="CR37" s="430">
        <v>466657941</v>
      </c>
      <c r="CS37" s="430">
        <v>20861132</v>
      </c>
      <c r="CT37" s="430">
        <v>945960000</v>
      </c>
      <c r="CU37" s="430">
        <v>472980000</v>
      </c>
      <c r="CV37" s="430">
        <v>965390</v>
      </c>
      <c r="CW37" s="430" t="s">
        <v>1974</v>
      </c>
      <c r="CX37" s="430" t="s">
        <v>1964</v>
      </c>
      <c r="CY37" s="430">
        <v>0</v>
      </c>
      <c r="CZ37" s="430">
        <v>0</v>
      </c>
      <c r="DA37" s="430">
        <v>7</v>
      </c>
      <c r="DB37" s="430" t="s">
        <v>1975</v>
      </c>
      <c r="DC37" s="430">
        <v>1</v>
      </c>
      <c r="DD37" s="430">
        <v>1</v>
      </c>
      <c r="DE37" s="430">
        <v>2104187136</v>
      </c>
      <c r="DF37" s="430">
        <v>46291891951</v>
      </c>
      <c r="DG37" s="430">
        <v>13824046000</v>
      </c>
      <c r="DH37" s="430">
        <v>6650444000</v>
      </c>
      <c r="DI37" s="430">
        <v>508816000</v>
      </c>
      <c r="DJ37" s="430">
        <v>4651095627</v>
      </c>
      <c r="DK37" s="430">
        <v>1676980411</v>
      </c>
      <c r="DL37" s="430">
        <v>4170875019</v>
      </c>
      <c r="DM37" s="430">
        <v>1676958019</v>
      </c>
      <c r="DN37" s="430">
        <v>5362040</v>
      </c>
      <c r="DO37" s="595" t="s">
        <v>1974</v>
      </c>
      <c r="DP37" s="595" t="s">
        <v>1964</v>
      </c>
      <c r="DQ37" s="595">
        <v>0</v>
      </c>
      <c r="DR37" s="595">
        <v>0</v>
      </c>
      <c r="DS37" s="595">
        <v>7</v>
      </c>
      <c r="DT37" s="595" t="s">
        <v>1975</v>
      </c>
      <c r="DU37" s="595">
        <v>1</v>
      </c>
      <c r="DV37" s="595">
        <v>1</v>
      </c>
      <c r="DW37" s="595">
        <v>2104365568</v>
      </c>
      <c r="DX37" s="595">
        <v>46295830694</v>
      </c>
      <c r="DY37" s="595">
        <v>542757226</v>
      </c>
      <c r="DZ37" s="595">
        <v>501473763</v>
      </c>
      <c r="EA37" s="595">
        <v>45723980</v>
      </c>
      <c r="EB37" s="430">
        <v>640888395</v>
      </c>
      <c r="EC37" s="595">
        <v>480094687</v>
      </c>
      <c r="ED37" s="595">
        <v>0</v>
      </c>
      <c r="EE37" s="595">
        <v>0</v>
      </c>
      <c r="EF37" s="595">
        <v>19071162616</v>
      </c>
      <c r="EG37" s="595" t="s">
        <v>1974</v>
      </c>
      <c r="EH37" s="595" t="s">
        <v>1964</v>
      </c>
      <c r="EI37" s="595">
        <v>0</v>
      </c>
      <c r="EJ37" s="595">
        <v>0</v>
      </c>
      <c r="EK37" s="595">
        <v>7</v>
      </c>
      <c r="EL37" s="595" t="s">
        <v>1975</v>
      </c>
      <c r="EM37" s="595">
        <v>1</v>
      </c>
      <c r="EN37" s="595">
        <v>1</v>
      </c>
      <c r="EO37" s="595">
        <v>2104227776</v>
      </c>
      <c r="EP37" s="595">
        <v>46292791390</v>
      </c>
      <c r="EQ37" s="595">
        <v>1792062568</v>
      </c>
      <c r="ER37" s="595">
        <v>1140895143</v>
      </c>
      <c r="ES37" s="430">
        <v>3124606121</v>
      </c>
      <c r="ET37" s="595">
        <v>2037032</v>
      </c>
      <c r="EU37" s="595">
        <v>11967860000</v>
      </c>
      <c r="EV37" s="595">
        <v>0</v>
      </c>
      <c r="EW37" s="595">
        <v>13472928000</v>
      </c>
      <c r="EX37" s="595">
        <v>0</v>
      </c>
      <c r="EY37" s="595" t="s">
        <v>1974</v>
      </c>
      <c r="EZ37" s="595" t="s">
        <v>1964</v>
      </c>
      <c r="FA37" s="595">
        <v>0</v>
      </c>
      <c r="FB37" s="595">
        <v>0</v>
      </c>
      <c r="FC37" s="595">
        <v>7</v>
      </c>
      <c r="FD37" s="595" t="s">
        <v>1975</v>
      </c>
      <c r="FE37" s="595">
        <v>1</v>
      </c>
      <c r="FF37" s="595">
        <v>1</v>
      </c>
      <c r="FG37" s="595">
        <v>2104375008</v>
      </c>
      <c r="FH37" s="595">
        <v>46296047422</v>
      </c>
      <c r="FI37" s="595">
        <v>2019</v>
      </c>
      <c r="FJ37" s="595">
        <v>5035046670</v>
      </c>
      <c r="FK37" s="595">
        <v>1559756523</v>
      </c>
      <c r="FL37" s="595">
        <v>613237520</v>
      </c>
      <c r="FM37" s="595">
        <v>6985451596</v>
      </c>
      <c r="FN37" s="595">
        <v>6876382254</v>
      </c>
      <c r="FO37" s="430">
        <v>711357065</v>
      </c>
      <c r="FP37" s="430">
        <v>1115375457</v>
      </c>
      <c r="FQ37" s="595" t="s">
        <v>1974</v>
      </c>
      <c r="FR37" s="595" t="s">
        <v>1964</v>
      </c>
      <c r="FS37" s="595">
        <v>0</v>
      </c>
      <c r="FT37" s="595">
        <v>0</v>
      </c>
      <c r="FU37" s="595">
        <v>7</v>
      </c>
      <c r="FV37" s="595" t="s">
        <v>1975</v>
      </c>
      <c r="FW37" s="595">
        <v>1</v>
      </c>
      <c r="FX37" s="595">
        <v>1</v>
      </c>
      <c r="FY37" s="595">
        <v>2103862176</v>
      </c>
      <c r="FZ37" s="595">
        <v>46284774951</v>
      </c>
      <c r="GA37" s="595">
        <v>452436248</v>
      </c>
      <c r="GB37" s="595">
        <v>447073501</v>
      </c>
      <c r="GC37" s="595">
        <v>446385220</v>
      </c>
      <c r="GD37" s="595">
        <v>446385220</v>
      </c>
      <c r="GE37" s="595">
        <v>4496</v>
      </c>
      <c r="GF37" s="595">
        <v>2</v>
      </c>
      <c r="GG37" s="595">
        <v>449</v>
      </c>
      <c r="GH37" s="595">
        <v>957577</v>
      </c>
      <c r="GI37" s="595" t="s">
        <v>1974</v>
      </c>
      <c r="GJ37" s="595" t="s">
        <v>1964</v>
      </c>
      <c r="GK37" s="595">
        <v>0</v>
      </c>
      <c r="GL37" s="595">
        <v>0</v>
      </c>
      <c r="GM37" s="595">
        <v>7</v>
      </c>
      <c r="GN37" s="595" t="s">
        <v>1975</v>
      </c>
      <c r="GO37" s="595">
        <v>1</v>
      </c>
      <c r="GP37" s="595">
        <v>1</v>
      </c>
      <c r="GQ37" s="595">
        <v>2104386560</v>
      </c>
      <c r="GR37" s="595">
        <v>46296331549</v>
      </c>
      <c r="GS37" s="595">
        <v>0</v>
      </c>
      <c r="GT37" s="595">
        <v>0</v>
      </c>
      <c r="GU37" s="595">
        <v>0</v>
      </c>
      <c r="GV37" s="595">
        <v>0</v>
      </c>
      <c r="GW37" s="595">
        <v>0</v>
      </c>
      <c r="GX37" s="595">
        <v>8</v>
      </c>
      <c r="GY37" s="595">
        <v>329660032</v>
      </c>
      <c r="GZ37" s="595">
        <v>604708339</v>
      </c>
      <c r="HA37" s="595" t="s">
        <v>1974</v>
      </c>
      <c r="HB37" s="595" t="s">
        <v>1964</v>
      </c>
      <c r="HC37" s="595">
        <v>0</v>
      </c>
      <c r="HD37" s="595">
        <v>0</v>
      </c>
      <c r="HE37" s="595">
        <v>7</v>
      </c>
      <c r="HF37" s="595" t="s">
        <v>1975</v>
      </c>
      <c r="HG37" s="595">
        <v>1</v>
      </c>
      <c r="HH37" s="595">
        <v>1</v>
      </c>
      <c r="HI37" s="595">
        <v>2104350208</v>
      </c>
      <c r="HJ37" s="595">
        <v>46295525396</v>
      </c>
      <c r="HK37" s="595">
        <v>0</v>
      </c>
      <c r="HL37" s="595">
        <v>0</v>
      </c>
      <c r="HM37" s="595">
        <v>0</v>
      </c>
      <c r="HN37" s="595">
        <v>1282822001</v>
      </c>
      <c r="HO37" s="595">
        <v>1182474009</v>
      </c>
      <c r="HP37" s="595">
        <v>2017</v>
      </c>
      <c r="HQ37" s="595">
        <v>3067255009</v>
      </c>
      <c r="HR37" s="595">
        <v>0</v>
      </c>
      <c r="HS37" s="595" t="s">
        <v>1974</v>
      </c>
      <c r="HT37" s="595" t="s">
        <v>1964</v>
      </c>
      <c r="HU37" s="595">
        <v>0</v>
      </c>
      <c r="HV37" s="595">
        <v>0</v>
      </c>
      <c r="HW37" s="595">
        <v>7</v>
      </c>
      <c r="HX37" s="595" t="s">
        <v>1975</v>
      </c>
      <c r="HY37" s="595">
        <v>1</v>
      </c>
      <c r="HZ37" s="595">
        <v>1</v>
      </c>
      <c r="IA37" s="595">
        <v>2104133920</v>
      </c>
      <c r="IB37" s="595">
        <v>46290661699</v>
      </c>
      <c r="IC37" s="595">
        <v>27797236906</v>
      </c>
      <c r="ID37" s="595">
        <v>680177544</v>
      </c>
      <c r="IE37" s="595">
        <v>0</v>
      </c>
      <c r="IF37" s="595">
        <v>27797218210</v>
      </c>
      <c r="IG37" s="595">
        <v>45052447</v>
      </c>
      <c r="IH37" s="595">
        <v>604720163</v>
      </c>
      <c r="II37" s="595">
        <v>0</v>
      </c>
      <c r="IJ37" s="595">
        <v>0</v>
      </c>
      <c r="IK37" s="595" t="s">
        <v>1974</v>
      </c>
      <c r="IL37" s="595" t="s">
        <v>1964</v>
      </c>
      <c r="IM37" s="595">
        <v>0</v>
      </c>
      <c r="IN37" s="595">
        <v>0</v>
      </c>
      <c r="IO37" s="595">
        <v>7</v>
      </c>
      <c r="IP37" s="595" t="s">
        <v>1975</v>
      </c>
      <c r="IQ37" s="595">
        <v>1</v>
      </c>
      <c r="IR37" s="595">
        <v>1</v>
      </c>
      <c r="IS37" s="595">
        <v>2103128928</v>
      </c>
      <c r="IT37" s="595">
        <v>46268639506</v>
      </c>
      <c r="IU37" s="595">
        <v>0</v>
      </c>
      <c r="IV37" s="595">
        <v>0</v>
      </c>
      <c r="IW37" s="595">
        <v>1017640000</v>
      </c>
      <c r="IX37" s="595">
        <v>0</v>
      </c>
      <c r="IY37" s="595">
        <v>516005000</v>
      </c>
      <c r="IZ37" s="595">
        <v>157662001</v>
      </c>
      <c r="JA37" s="595">
        <v>0</v>
      </c>
      <c r="JB37" s="595">
        <v>0</v>
      </c>
      <c r="JC37" s="595" t="s">
        <v>1974</v>
      </c>
      <c r="JD37" s="595" t="s">
        <v>1964</v>
      </c>
      <c r="JE37" s="595">
        <v>0</v>
      </c>
      <c r="JF37" s="595">
        <v>0</v>
      </c>
      <c r="JG37" s="595">
        <v>7</v>
      </c>
      <c r="JH37" s="595" t="s">
        <v>1975</v>
      </c>
      <c r="JI37" s="595">
        <v>1</v>
      </c>
      <c r="JJ37" s="595">
        <v>1</v>
      </c>
      <c r="JK37" s="595">
        <v>2104157536</v>
      </c>
      <c r="JL37" s="595">
        <v>46291280067</v>
      </c>
      <c r="JM37" s="595">
        <v>447860099</v>
      </c>
      <c r="JN37" s="595">
        <v>0</v>
      </c>
      <c r="JO37" s="595">
        <v>0</v>
      </c>
      <c r="JP37" s="595">
        <v>411716365</v>
      </c>
      <c r="JQ37" s="595">
        <v>0</v>
      </c>
      <c r="JR37" s="595">
        <v>0</v>
      </c>
      <c r="JS37" s="595">
        <v>40053061</v>
      </c>
      <c r="JT37" s="595">
        <v>0</v>
      </c>
      <c r="JU37" s="595" t="s">
        <v>1974</v>
      </c>
      <c r="JV37" s="595" t="s">
        <v>1964</v>
      </c>
      <c r="JW37" s="595">
        <v>0</v>
      </c>
      <c r="JX37" s="595">
        <v>0</v>
      </c>
      <c r="JY37" s="595">
        <v>7</v>
      </c>
      <c r="JZ37" s="595" t="s">
        <v>1975</v>
      </c>
      <c r="KA37" s="595">
        <v>1</v>
      </c>
      <c r="KB37" s="595">
        <v>1</v>
      </c>
      <c r="KC37" s="595">
        <v>2103510880</v>
      </c>
      <c r="KD37" s="595">
        <v>46276880724</v>
      </c>
      <c r="KE37" s="595">
        <v>0</v>
      </c>
      <c r="KF37" s="595">
        <v>2839530056</v>
      </c>
      <c r="KG37" s="595">
        <v>944310036</v>
      </c>
      <c r="KH37" s="595">
        <v>65090510176</v>
      </c>
      <c r="KI37" s="595">
        <v>47237252464</v>
      </c>
      <c r="KJ37" s="595">
        <v>4068156884</v>
      </c>
      <c r="KK37" s="595">
        <v>2952328279</v>
      </c>
      <c r="KL37" s="595">
        <v>0</v>
      </c>
      <c r="KM37" s="595" t="s">
        <v>1974</v>
      </c>
      <c r="KN37" s="595" t="s">
        <v>1964</v>
      </c>
      <c r="KO37" s="595">
        <v>0</v>
      </c>
      <c r="KP37" s="595">
        <v>0</v>
      </c>
      <c r="KQ37" s="595">
        <v>7</v>
      </c>
      <c r="KR37" s="595" t="s">
        <v>1975</v>
      </c>
      <c r="KS37" s="595">
        <v>1</v>
      </c>
      <c r="KT37" s="595">
        <v>1</v>
      </c>
      <c r="KU37" s="595">
        <v>2104537568</v>
      </c>
      <c r="KV37" s="595">
        <v>46299610507</v>
      </c>
      <c r="KW37" s="595">
        <v>5601190076</v>
      </c>
      <c r="KX37" s="595">
        <v>44833306</v>
      </c>
      <c r="KY37" s="595">
        <v>10941915</v>
      </c>
      <c r="KZ37" s="595">
        <v>25360573915</v>
      </c>
      <c r="LA37" s="595">
        <v>2507375270</v>
      </c>
      <c r="LB37" s="595">
        <v>225502</v>
      </c>
      <c r="LC37" s="595">
        <v>13242</v>
      </c>
      <c r="LD37" s="595">
        <v>14706</v>
      </c>
      <c r="LE37" s="595" t="s">
        <v>1974</v>
      </c>
      <c r="LF37" s="595" t="s">
        <v>1964</v>
      </c>
      <c r="LG37" s="595">
        <v>0</v>
      </c>
      <c r="LH37" s="595">
        <v>0</v>
      </c>
      <c r="LI37" s="595">
        <v>7</v>
      </c>
      <c r="LJ37" s="595" t="s">
        <v>1975</v>
      </c>
      <c r="LK37" s="595">
        <v>1</v>
      </c>
      <c r="LL37" s="595">
        <v>1</v>
      </c>
      <c r="LM37" s="595">
        <v>2103789888</v>
      </c>
      <c r="LN37" s="595">
        <v>46283180104</v>
      </c>
      <c r="LO37" s="595">
        <v>5545718237</v>
      </c>
      <c r="LP37" s="595">
        <v>618</v>
      </c>
      <c r="LQ37" s="595">
        <v>0</v>
      </c>
      <c r="LR37" s="595">
        <v>2507084429</v>
      </c>
      <c r="LS37" s="595">
        <v>68</v>
      </c>
      <c r="LT37" s="595">
        <v>0</v>
      </c>
      <c r="LU37" s="595">
        <v>5545589926</v>
      </c>
      <c r="LV37" s="595">
        <v>25124</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21.044628800000002</v>
      </c>
      <c r="ND37" s="208">
        <f t="shared" si="103"/>
        <v>2.9149655516850932</v>
      </c>
      <c r="NE37" s="209">
        <f t="shared" si="15"/>
        <v>4.1405992786191177E-2</v>
      </c>
      <c r="NF37" s="208">
        <f t="shared" si="16"/>
        <v>8.1569395508653493</v>
      </c>
      <c r="NG37" s="210"/>
      <c r="NH37" s="211">
        <f t="shared" si="104"/>
        <v>25360604675</v>
      </c>
      <c r="NI37" s="208">
        <f t="shared" si="17"/>
        <v>61344368000</v>
      </c>
      <c r="NJ37" s="212">
        <f t="shared" si="105"/>
        <v>0.28427638620568496</v>
      </c>
      <c r="NK37" s="213">
        <f t="shared" si="106"/>
        <v>0.78037220955638498</v>
      </c>
      <c r="NL37" s="214">
        <f t="shared" si="18"/>
        <v>0.95838175746148868</v>
      </c>
      <c r="NM37" s="208">
        <f t="shared" si="107"/>
        <v>0.54776973767068327</v>
      </c>
      <c r="NN37" s="208">
        <f t="shared" si="19"/>
        <v>1.2050868141233262</v>
      </c>
      <c r="NO37" s="215">
        <f t="shared" si="20"/>
        <v>6.6356116977857522E-5</v>
      </c>
      <c r="NP37" s="216">
        <f t="shared" si="108"/>
        <v>0</v>
      </c>
      <c r="NQ37" s="215">
        <f t="shared" si="109"/>
        <v>0.2181881760658313</v>
      </c>
      <c r="NR37" s="215">
        <f t="shared" si="110"/>
        <v>7.3075763638646277E-2</v>
      </c>
      <c r="NS37" s="215">
        <f t="shared" si="21"/>
        <v>2.0780133729475223E-2</v>
      </c>
      <c r="NT37" s="215">
        <f t="shared" si="22"/>
        <v>7.6980508084511902E-3</v>
      </c>
      <c r="NU37" s="215">
        <f t="shared" si="23"/>
        <v>0.20712417068503908</v>
      </c>
      <c r="NV37" s="215">
        <f t="shared" si="111"/>
        <v>3.6220895892619596</v>
      </c>
      <c r="NW37" s="215">
        <f t="shared" si="24"/>
        <v>1.790320084765497</v>
      </c>
      <c r="NX37" s="215">
        <f t="shared" si="25"/>
        <v>8.6672531467525022</v>
      </c>
      <c r="NY37" s="215">
        <f t="shared" si="26"/>
        <v>9.2576799681961988E-4</v>
      </c>
      <c r="NZ37" s="215">
        <f t="shared" si="27"/>
        <v>0.91363541108789659</v>
      </c>
      <c r="OA37" s="215">
        <f t="shared" si="28"/>
        <v>0</v>
      </c>
      <c r="OB37" s="215">
        <f t="shared" si="29"/>
        <v>0.10896054434783388</v>
      </c>
      <c r="OC37" s="215">
        <f t="shared" si="30"/>
        <v>0</v>
      </c>
      <c r="OD37" s="215">
        <f t="shared" si="31"/>
        <v>2.661561075904372</v>
      </c>
      <c r="OE37" s="215">
        <f t="shared" si="32"/>
        <v>0.8144369719046064</v>
      </c>
      <c r="OF37" s="215">
        <f t="shared" si="33"/>
        <v>0.518501531206355</v>
      </c>
      <c r="OG37" s="215">
        <f t="shared" si="34"/>
        <v>1.4200367738398283</v>
      </c>
      <c r="OH37" s="215">
        <f t="shared" si="35"/>
        <v>0</v>
      </c>
      <c r="OI37" s="215">
        <f t="shared" si="112"/>
        <v>21.044628800000002</v>
      </c>
      <c r="OJ37" s="218">
        <f t="shared" si="113"/>
        <v>0.22493381547251201</v>
      </c>
      <c r="OK37" s="218">
        <f t="shared" si="114"/>
        <v>0.20005879935529966</v>
      </c>
      <c r="OL37" s="218">
        <f t="shared" si="115"/>
        <v>1.5365395203521441E-2</v>
      </c>
      <c r="OM37" s="218">
        <f t="shared" si="116"/>
        <v>2.4092239383485051E-2</v>
      </c>
      <c r="ON37" s="217">
        <f t="shared" si="36"/>
        <v>0.2233392298320277</v>
      </c>
      <c r="OO37" s="210"/>
      <c r="OP37" s="210"/>
      <c r="OQ37" s="218">
        <f t="shared" si="117"/>
        <v>0.15088656559221716</v>
      </c>
      <c r="OR37" s="218">
        <f t="shared" si="118"/>
        <v>0.14853065514038516</v>
      </c>
      <c r="OS37" s="218">
        <f t="shared" si="37"/>
        <v>0.9229655355645513</v>
      </c>
      <c r="OT37" s="218">
        <f t="shared" si="38"/>
        <v>0.99820158016646898</v>
      </c>
      <c r="OU37" s="209">
        <f t="shared" si="39"/>
        <v>1.0000000004916232</v>
      </c>
      <c r="OV37" s="209">
        <f t="shared" si="40"/>
        <v>1</v>
      </c>
      <c r="OW37" s="209">
        <f t="shared" si="119"/>
        <v>9.2043560813747979E-3</v>
      </c>
      <c r="OX37" s="219">
        <f t="shared" si="41"/>
        <v>1.7704625175700784E-8</v>
      </c>
      <c r="OY37" s="208">
        <f t="shared" si="120"/>
        <v>6328076038</v>
      </c>
      <c r="OZ37" s="208">
        <f t="shared" si="42"/>
        <v>467620580</v>
      </c>
      <c r="PA37" s="209">
        <f t="shared" si="121"/>
        <v>7.3896169576968665E-2</v>
      </c>
      <c r="PB37" s="209">
        <f>IF(OR($CQ37="",$OZ37=""),"",IF($OZ37=0,0,
GuardLimitUpper(
  ($OZ37-$CQ37)/$OZ37,
  data_GuardLimitFlag,
  1)
))</f>
        <v>3.2472460899817542E-2</v>
      </c>
      <c r="PC37" s="209">
        <f t="shared" si="43"/>
        <v>0.95606036201400713</v>
      </c>
      <c r="PD37" s="209">
        <f t="shared" si="44"/>
        <v>1.1467177086175291E-2</v>
      </c>
      <c r="PE37" s="208">
        <f t="shared" si="122"/>
        <v>462185207</v>
      </c>
      <c r="PF37" s="209">
        <f t="shared" si="123"/>
        <v>7.3037239790512132E-2</v>
      </c>
      <c r="PG37" s="209">
        <f t="shared" si="45"/>
        <v>3.650156654495449E-2</v>
      </c>
      <c r="PH37" s="209">
        <f t="shared" si="46"/>
        <v>0.96556975514760734</v>
      </c>
      <c r="PI37" s="209">
        <f t="shared" si="47"/>
        <v>0</v>
      </c>
      <c r="PJ37" s="220">
        <f t="shared" si="48"/>
        <v>7.1048450950993453E-7</v>
      </c>
      <c r="PK37" s="220">
        <f t="shared" si="49"/>
        <v>3.1605182807381429E-10</v>
      </c>
      <c r="PL37" s="221">
        <f t="shared" si="124"/>
        <v>157660010</v>
      </c>
      <c r="PM37" s="221">
        <f t="shared" si="50"/>
        <v>0</v>
      </c>
      <c r="PN37" s="221">
        <f t="shared" si="125"/>
        <v>945960000</v>
      </c>
      <c r="PO37" s="221">
        <f t="shared" si="51"/>
        <v>0</v>
      </c>
      <c r="PP37" s="221">
        <f t="shared" si="52"/>
        <v>0</v>
      </c>
      <c r="PQ37" s="529">
        <f t="shared" si="126"/>
        <v>0</v>
      </c>
      <c r="PR37" s="221">
        <f t="shared" si="53"/>
        <v>0</v>
      </c>
      <c r="PS37" s="221">
        <f t="shared" si="54"/>
        <v>3547475617</v>
      </c>
      <c r="PT37" s="221">
        <f t="shared" si="127"/>
        <v>21504010</v>
      </c>
      <c r="PU37" s="221">
        <f t="shared" si="55"/>
        <v>0</v>
      </c>
      <c r="PV37" s="221">
        <f t="shared" si="128"/>
        <v>472980000</v>
      </c>
      <c r="PW37" s="221">
        <f t="shared" si="56"/>
        <v>0</v>
      </c>
      <c r="PX37" s="221">
        <f t="shared" si="162"/>
        <v>0</v>
      </c>
      <c r="PY37" s="221">
        <f t="shared" si="57"/>
        <v>1182496401</v>
      </c>
      <c r="PZ37" s="221">
        <f t="shared" si="58"/>
        <v>0</v>
      </c>
      <c r="QA37" s="221">
        <f t="shared" si="59"/>
        <v>0</v>
      </c>
      <c r="QB37" s="221">
        <f t="shared" si="60"/>
        <v>5362040</v>
      </c>
      <c r="QC37" s="221">
        <f t="shared" si="61"/>
        <v>8</v>
      </c>
      <c r="QD37" s="221">
        <f t="shared" si="129"/>
        <v>6664786000</v>
      </c>
      <c r="QE37" s="221">
        <f t="shared" si="130"/>
        <v>6650444000</v>
      </c>
      <c r="QF37" s="221">
        <f t="shared" si="131"/>
        <v>508816000</v>
      </c>
      <c r="QG37" s="222">
        <f t="shared" si="62"/>
        <v>0</v>
      </c>
      <c r="QH37" s="222">
        <f t="shared" si="63"/>
        <v>1282822001</v>
      </c>
      <c r="QI37" s="222">
        <f t="shared" si="64"/>
        <v>329660032</v>
      </c>
      <c r="QJ37" s="222">
        <f t="shared" si="65"/>
        <v>604708339</v>
      </c>
      <c r="QK37" s="222">
        <f t="shared" si="66"/>
        <v>2017</v>
      </c>
      <c r="QL37" s="222">
        <f t="shared" si="132"/>
        <v>0</v>
      </c>
      <c r="QM37" s="222">
        <f>IF(OR($O$8="Lv2",$O$8="Lv3",$O$8="Lv4"),IF(OR($AS37="",COUNT($PL37:$QL37)=0),"",
GuardLimitLower(
  $AS37-SUM($PL37:$QL37),
  data_GuardLimitFlag,
  0)
),"")</f>
        <v>2985928200</v>
      </c>
      <c r="QN37" s="222">
        <f t="shared" si="133"/>
        <v>25360604675</v>
      </c>
      <c r="QO37" s="222">
        <f t="shared" si="134"/>
        <v>61344368000</v>
      </c>
      <c r="QP37" s="222">
        <f t="shared" si="135"/>
        <v>0</v>
      </c>
      <c r="QQ37" s="222">
        <f t="shared" si="136"/>
        <v>0</v>
      </c>
      <c r="QR37" s="222">
        <f t="shared" si="67"/>
        <v>2.7936498083636572</v>
      </c>
      <c r="QS37" s="209">
        <f t="shared" si="68"/>
        <v>0</v>
      </c>
      <c r="QT37" s="209">
        <f t="shared" si="69"/>
        <v>0.75043606150362652</v>
      </c>
      <c r="QU37" s="209">
        <f t="shared" si="70"/>
        <v>0.24956393849637343</v>
      </c>
      <c r="QV37" s="208">
        <f t="shared" si="71"/>
        <v>27797236906</v>
      </c>
      <c r="QW37" s="208">
        <f t="shared" si="72"/>
        <v>516005000</v>
      </c>
      <c r="QX37" s="208">
        <f t="shared" si="73"/>
        <v>157662001</v>
      </c>
      <c r="QY37" s="208">
        <f t="shared" si="74"/>
        <v>1017640000</v>
      </c>
      <c r="QZ37" s="208">
        <f t="shared" si="75"/>
        <v>0</v>
      </c>
      <c r="RA37" s="209">
        <f t="shared" si="137"/>
        <v>0.99999932741516495</v>
      </c>
      <c r="RB37" s="209">
        <f t="shared" si="76"/>
        <v>7.4502771161553308E-2</v>
      </c>
      <c r="RC37" s="209">
        <f t="shared" si="77"/>
        <v>0.49782725728126809</v>
      </c>
      <c r="RD37" s="209">
        <f t="shared" si="78"/>
        <v>0</v>
      </c>
      <c r="RE37" s="209">
        <f t="shared" si="79"/>
        <v>0</v>
      </c>
      <c r="RF37" s="209">
        <f t="shared" si="80"/>
        <v>0.45765101473298131</v>
      </c>
      <c r="RG37" s="209">
        <f t="shared" si="81"/>
        <v>0</v>
      </c>
      <c r="RH37" s="209">
        <f t="shared" si="82"/>
        <v>0</v>
      </c>
      <c r="RI37" s="209">
        <f t="shared" si="83"/>
        <v>4.4521727985750575E-2</v>
      </c>
      <c r="RJ37" s="134"/>
      <c r="RK37" s="134"/>
      <c r="RL37" s="134"/>
      <c r="RM37" s="134"/>
      <c r="RN37" s="134"/>
      <c r="RO37" s="134"/>
      <c r="RP37" s="134"/>
      <c r="RQ37" s="134"/>
      <c r="RR37" s="222">
        <f t="shared" si="84"/>
        <v>1.9140453244772839</v>
      </c>
      <c r="RS37" s="224"/>
      <c r="RT37" s="224"/>
      <c r="RU37" s="208">
        <f t="shared" si="138"/>
        <v>21.044628800000002</v>
      </c>
      <c r="RV37" s="208">
        <f t="shared" si="139"/>
        <v>1</v>
      </c>
      <c r="RW37" s="208">
        <f t="shared" si="140"/>
        <v>1.0001736043510745</v>
      </c>
      <c r="RX37" s="208">
        <f t="shared" si="141"/>
        <v>0.99981280309722087</v>
      </c>
      <c r="RY37" s="208">
        <f t="shared" si="142"/>
        <v>1.0000802561592568</v>
      </c>
      <c r="RZ37" s="208">
        <f t="shared" si="85"/>
        <v>0.99986959440583156</v>
      </c>
      <c r="SA37" s="208">
        <f t="shared" si="86"/>
        <v>0.99995466825353796</v>
      </c>
      <c r="SB37" s="208">
        <f t="shared" si="87"/>
        <v>0.99988902160291127</v>
      </c>
      <c r="SC37" s="208">
        <f t="shared" si="88"/>
        <v>0.99995934941320375</v>
      </c>
      <c r="SD37" s="208">
        <f t="shared" si="89"/>
        <v>0.99971587262857264</v>
      </c>
      <c r="SE37" s="208">
        <f t="shared" si="90"/>
        <v>0.99996548633991544</v>
      </c>
      <c r="SF37" s="208">
        <f t="shared" si="91"/>
        <v>0.99994807404935726</v>
      </c>
      <c r="SG37" s="208">
        <f t="shared" si="92"/>
        <v>0.99984302190001217</v>
      </c>
      <c r="SH37" s="208">
        <f t="shared" si="93"/>
        <v>0.99985637817765172</v>
      </c>
      <c r="SI37" s="208">
        <f t="shared" si="94"/>
        <v>0.99936735931084553</v>
      </c>
      <c r="SJ37" s="208">
        <f t="shared" si="95"/>
        <v>0.99954536334031552</v>
      </c>
      <c r="SK37" s="208">
        <f t="shared" si="96"/>
        <v>1.0000363093343396</v>
      </c>
      <c r="SL37" s="208">
        <f t="shared" si="97"/>
        <v>0.99968142514855352</v>
      </c>
      <c r="SM37" s="222">
        <f t="shared" si="143"/>
        <v>1</v>
      </c>
      <c r="SN37" s="225">
        <f t="shared" si="98"/>
        <v>21.044628800000002</v>
      </c>
      <c r="SO37" s="209">
        <f t="shared" si="144"/>
        <v>0.99858835977691929</v>
      </c>
      <c r="SP37" s="209">
        <f t="shared" si="145"/>
        <v>0.99999826703959149</v>
      </c>
      <c r="SQ37" s="222">
        <f t="shared" si="146"/>
        <v>46297929460</v>
      </c>
      <c r="SR37" s="222">
        <f t="shared" si="147"/>
        <v>46305966982</v>
      </c>
      <c r="SS37" s="222">
        <f t="shared" si="148"/>
        <v>46289262631</v>
      </c>
      <c r="ST37" s="222">
        <f t="shared" si="149"/>
        <v>46301645154</v>
      </c>
      <c r="SU37" s="222">
        <f t="shared" si="150"/>
        <v>46291891951</v>
      </c>
      <c r="SV37" s="222">
        <f t="shared" si="151"/>
        <v>46295830694</v>
      </c>
      <c r="SW37" s="222">
        <f t="shared" si="152"/>
        <v>46292791390</v>
      </c>
      <c r="SX37" s="222">
        <f t="shared" si="153"/>
        <v>46296047422</v>
      </c>
      <c r="SY37" s="222">
        <f t="shared" si="154"/>
        <v>46284774951</v>
      </c>
      <c r="SZ37" s="222">
        <f t="shared" si="155"/>
        <v>46296331549</v>
      </c>
      <c r="TA37" s="222">
        <f t="shared" si="156"/>
        <v>46295525396</v>
      </c>
      <c r="TB37" s="222">
        <f t="shared" si="157"/>
        <v>46290661699</v>
      </c>
      <c r="TC37" s="222">
        <f t="shared" si="99"/>
        <v>46291280067</v>
      </c>
      <c r="TD37" s="222">
        <f t="shared" si="158"/>
        <v>46268639506</v>
      </c>
      <c r="TE37" s="222">
        <f t="shared" si="159"/>
        <v>46276880724</v>
      </c>
      <c r="TF37" s="222">
        <f t="shared" si="160"/>
        <v>46299610507</v>
      </c>
      <c r="TG37" s="222">
        <f t="shared" si="161"/>
        <v>46283180104</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x14ac:dyDescent="0.25">
      <c r="AB38" s="254">
        <v>8</v>
      </c>
      <c r="AC38" s="430" t="s">
        <v>1974</v>
      </c>
      <c r="AD38" s="430" t="s">
        <v>1964</v>
      </c>
      <c r="AE38" s="430">
        <v>0</v>
      </c>
      <c r="AF38" s="430">
        <v>0</v>
      </c>
      <c r="AG38" s="430">
        <v>8</v>
      </c>
      <c r="AH38" s="430" t="s">
        <v>1975</v>
      </c>
      <c r="AI38" s="430">
        <v>1</v>
      </c>
      <c r="AJ38" s="430">
        <v>1</v>
      </c>
      <c r="AK38" s="594">
        <v>2104351456</v>
      </c>
      <c r="AL38" s="594">
        <v>46295368810</v>
      </c>
      <c r="AM38" s="430">
        <v>11967860000</v>
      </c>
      <c r="AN38" s="430">
        <v>13472928000</v>
      </c>
      <c r="AO38" s="430">
        <v>467402987</v>
      </c>
      <c r="AP38" s="430">
        <v>207780234</v>
      </c>
      <c r="AQ38" s="595">
        <v>3959875</v>
      </c>
      <c r="AR38" s="595">
        <v>864445</v>
      </c>
      <c r="AS38" s="594">
        <v>25360635074</v>
      </c>
      <c r="AT38" s="594">
        <v>7209421049</v>
      </c>
      <c r="AU38" s="430" t="s">
        <v>1974</v>
      </c>
      <c r="AV38" s="430" t="s">
        <v>1964</v>
      </c>
      <c r="AW38" s="430">
        <v>0</v>
      </c>
      <c r="AX38" s="430">
        <v>0</v>
      </c>
      <c r="AY38" s="430">
        <v>8</v>
      </c>
      <c r="AZ38" s="430" t="s">
        <v>1975</v>
      </c>
      <c r="BA38" s="430">
        <v>1</v>
      </c>
      <c r="BB38" s="430">
        <v>1</v>
      </c>
      <c r="BC38" s="430">
        <v>2104661120</v>
      </c>
      <c r="BD38" s="430">
        <v>46302272764</v>
      </c>
      <c r="BE38" s="430">
        <v>34388641098</v>
      </c>
      <c r="BF38" s="595">
        <v>5856341316</v>
      </c>
      <c r="BG38" s="430">
        <v>9129274543</v>
      </c>
      <c r="BH38" s="595">
        <v>267522</v>
      </c>
      <c r="BI38" s="430">
        <v>23007228447</v>
      </c>
      <c r="BJ38" s="430">
        <v>239713898</v>
      </c>
      <c r="BK38" s="430">
        <v>0</v>
      </c>
      <c r="BL38" s="430">
        <v>0</v>
      </c>
      <c r="BM38" s="430" t="s">
        <v>1974</v>
      </c>
      <c r="BN38" s="430" t="s">
        <v>1964</v>
      </c>
      <c r="BO38" s="430">
        <v>0</v>
      </c>
      <c r="BP38" s="430">
        <v>0</v>
      </c>
      <c r="BQ38" s="430">
        <v>8</v>
      </c>
      <c r="BR38" s="430" t="s">
        <v>1975</v>
      </c>
      <c r="BS38" s="430">
        <v>1</v>
      </c>
      <c r="BT38" s="430">
        <v>1</v>
      </c>
      <c r="BU38" s="430">
        <v>2104600960</v>
      </c>
      <c r="BV38" s="430">
        <v>46300608224</v>
      </c>
      <c r="BW38" s="594">
        <v>9067708330</v>
      </c>
      <c r="BX38" s="594">
        <v>11610711172</v>
      </c>
      <c r="BY38" s="430">
        <v>21708046946</v>
      </c>
      <c r="BZ38" s="430">
        <v>426556284</v>
      </c>
      <c r="CA38" s="430">
        <v>10411746692</v>
      </c>
      <c r="CB38" s="430">
        <v>153749052676</v>
      </c>
      <c r="CC38" s="430">
        <v>9261021765</v>
      </c>
      <c r="CD38" s="430">
        <v>147909681286</v>
      </c>
      <c r="CE38" s="430" t="s">
        <v>1974</v>
      </c>
      <c r="CF38" s="430" t="s">
        <v>1964</v>
      </c>
      <c r="CG38" s="430">
        <v>0</v>
      </c>
      <c r="CH38" s="430">
        <v>0</v>
      </c>
      <c r="CI38" s="430">
        <v>8</v>
      </c>
      <c r="CJ38" s="430" t="s">
        <v>1975</v>
      </c>
      <c r="CK38" s="430">
        <v>1</v>
      </c>
      <c r="CL38" s="430">
        <v>1</v>
      </c>
      <c r="CM38" s="430">
        <v>2104682752</v>
      </c>
      <c r="CN38" s="430">
        <v>46302823995</v>
      </c>
      <c r="CO38" s="430">
        <v>4004328</v>
      </c>
      <c r="CP38" s="430">
        <v>467674559</v>
      </c>
      <c r="CQ38" s="430">
        <v>452455719</v>
      </c>
      <c r="CR38" s="430">
        <v>467392125</v>
      </c>
      <c r="CS38" s="430">
        <v>21431477</v>
      </c>
      <c r="CT38" s="430">
        <v>945960000</v>
      </c>
      <c r="CU38" s="430">
        <v>472980000</v>
      </c>
      <c r="CV38" s="430">
        <v>872496</v>
      </c>
      <c r="CW38" s="430" t="s">
        <v>1974</v>
      </c>
      <c r="CX38" s="430" t="s">
        <v>1964</v>
      </c>
      <c r="CY38" s="430">
        <v>0</v>
      </c>
      <c r="CZ38" s="430">
        <v>0</v>
      </c>
      <c r="DA38" s="430">
        <v>8</v>
      </c>
      <c r="DB38" s="430" t="s">
        <v>1975</v>
      </c>
      <c r="DC38" s="430">
        <v>1</v>
      </c>
      <c r="DD38" s="430">
        <v>1</v>
      </c>
      <c r="DE38" s="430">
        <v>2104276544</v>
      </c>
      <c r="DF38" s="430">
        <v>46293861130</v>
      </c>
      <c r="DG38" s="430">
        <v>13824046000</v>
      </c>
      <c r="DH38" s="430">
        <v>6650444000</v>
      </c>
      <c r="DI38" s="430">
        <v>508816000</v>
      </c>
      <c r="DJ38" s="430">
        <v>4651095624</v>
      </c>
      <c r="DK38" s="430">
        <v>1676980411</v>
      </c>
      <c r="DL38" s="430">
        <v>4170875019</v>
      </c>
      <c r="DM38" s="430">
        <v>1676958019</v>
      </c>
      <c r="DN38" s="430">
        <v>5362040</v>
      </c>
      <c r="DO38" s="595" t="s">
        <v>1974</v>
      </c>
      <c r="DP38" s="595" t="s">
        <v>1964</v>
      </c>
      <c r="DQ38" s="595">
        <v>0</v>
      </c>
      <c r="DR38" s="595">
        <v>0</v>
      </c>
      <c r="DS38" s="595">
        <v>8</v>
      </c>
      <c r="DT38" s="595" t="s">
        <v>1975</v>
      </c>
      <c r="DU38" s="595">
        <v>1</v>
      </c>
      <c r="DV38" s="595">
        <v>1</v>
      </c>
      <c r="DW38" s="595">
        <v>2104474400</v>
      </c>
      <c r="DX38" s="595">
        <v>46298227932</v>
      </c>
      <c r="DY38" s="595">
        <v>547976781</v>
      </c>
      <c r="DZ38" s="595">
        <v>509210310</v>
      </c>
      <c r="EA38" s="595">
        <v>45655700</v>
      </c>
      <c r="EB38" s="430">
        <v>636126229</v>
      </c>
      <c r="EC38" s="595">
        <v>485365268</v>
      </c>
      <c r="ED38" s="595">
        <v>0</v>
      </c>
      <c r="EE38" s="595">
        <v>0</v>
      </c>
      <c r="EF38" s="595">
        <v>19070347061</v>
      </c>
      <c r="EG38" s="595" t="s">
        <v>1974</v>
      </c>
      <c r="EH38" s="595" t="s">
        <v>1964</v>
      </c>
      <c r="EI38" s="595">
        <v>0</v>
      </c>
      <c r="EJ38" s="595">
        <v>0</v>
      </c>
      <c r="EK38" s="595">
        <v>8</v>
      </c>
      <c r="EL38" s="595" t="s">
        <v>1975</v>
      </c>
      <c r="EM38" s="595">
        <v>1</v>
      </c>
      <c r="EN38" s="595">
        <v>1</v>
      </c>
      <c r="EO38" s="595">
        <v>2104193696</v>
      </c>
      <c r="EP38" s="595">
        <v>46292024540</v>
      </c>
      <c r="EQ38" s="595">
        <v>1791889614</v>
      </c>
      <c r="ER38" s="595">
        <v>1140531606</v>
      </c>
      <c r="ES38" s="430">
        <v>3124944026</v>
      </c>
      <c r="ET38" s="595">
        <v>2057219</v>
      </c>
      <c r="EU38" s="595">
        <v>11967860000</v>
      </c>
      <c r="EV38" s="595">
        <v>0</v>
      </c>
      <c r="EW38" s="595">
        <v>13472928000</v>
      </c>
      <c r="EX38" s="595">
        <v>0</v>
      </c>
      <c r="EY38" s="595" t="s">
        <v>1974</v>
      </c>
      <c r="EZ38" s="595" t="s">
        <v>1964</v>
      </c>
      <c r="FA38" s="595">
        <v>0</v>
      </c>
      <c r="FB38" s="595">
        <v>0</v>
      </c>
      <c r="FC38" s="595">
        <v>8</v>
      </c>
      <c r="FD38" s="595" t="s">
        <v>1975</v>
      </c>
      <c r="FE38" s="595">
        <v>1</v>
      </c>
      <c r="FF38" s="595">
        <v>1</v>
      </c>
      <c r="FG38" s="595">
        <v>2104248224</v>
      </c>
      <c r="FH38" s="595">
        <v>46293261779</v>
      </c>
      <c r="FI38" s="595">
        <v>2019</v>
      </c>
      <c r="FJ38" s="595">
        <v>5034738296</v>
      </c>
      <c r="FK38" s="595">
        <v>1559679139</v>
      </c>
      <c r="FL38" s="595">
        <v>613212534</v>
      </c>
      <c r="FM38" s="595">
        <v>6985448946</v>
      </c>
      <c r="FN38" s="595">
        <v>6876520958</v>
      </c>
      <c r="FO38" s="430">
        <v>711498167</v>
      </c>
      <c r="FP38" s="430">
        <v>1115313902</v>
      </c>
      <c r="FQ38" s="595" t="s">
        <v>1974</v>
      </c>
      <c r="FR38" s="595" t="s">
        <v>1964</v>
      </c>
      <c r="FS38" s="595">
        <v>0</v>
      </c>
      <c r="FT38" s="595">
        <v>0</v>
      </c>
      <c r="FU38" s="595">
        <v>8</v>
      </c>
      <c r="FV38" s="595" t="s">
        <v>1975</v>
      </c>
      <c r="FW38" s="595">
        <v>1</v>
      </c>
      <c r="FX38" s="595">
        <v>1</v>
      </c>
      <c r="FY38" s="595">
        <v>2104448896</v>
      </c>
      <c r="FZ38" s="595">
        <v>46297695848</v>
      </c>
      <c r="GA38" s="595">
        <v>452456238</v>
      </c>
      <c r="GB38" s="595">
        <v>447093527</v>
      </c>
      <c r="GC38" s="595">
        <v>445072600</v>
      </c>
      <c r="GD38" s="595">
        <v>445072600</v>
      </c>
      <c r="GE38" s="595">
        <v>4384</v>
      </c>
      <c r="GF38" s="595">
        <v>1</v>
      </c>
      <c r="GG38" s="595">
        <v>409</v>
      </c>
      <c r="GH38" s="595">
        <v>837655</v>
      </c>
      <c r="GI38" s="595" t="s">
        <v>1974</v>
      </c>
      <c r="GJ38" s="595" t="s">
        <v>1964</v>
      </c>
      <c r="GK38" s="595">
        <v>0</v>
      </c>
      <c r="GL38" s="595">
        <v>0</v>
      </c>
      <c r="GM38" s="595">
        <v>8</v>
      </c>
      <c r="GN38" s="595" t="s">
        <v>1975</v>
      </c>
      <c r="GO38" s="595">
        <v>1</v>
      </c>
      <c r="GP38" s="595">
        <v>1</v>
      </c>
      <c r="GQ38" s="595">
        <v>2104488000</v>
      </c>
      <c r="GR38" s="595">
        <v>46298558751</v>
      </c>
      <c r="GS38" s="595">
        <v>0</v>
      </c>
      <c r="GT38" s="595">
        <v>0</v>
      </c>
      <c r="GU38" s="595">
        <v>0</v>
      </c>
      <c r="GV38" s="595">
        <v>0</v>
      </c>
      <c r="GW38" s="595">
        <v>0</v>
      </c>
      <c r="GX38" s="595">
        <v>8</v>
      </c>
      <c r="GY38" s="595">
        <v>329660032</v>
      </c>
      <c r="GZ38" s="595">
        <v>604708802</v>
      </c>
      <c r="HA38" s="595" t="s">
        <v>1974</v>
      </c>
      <c r="HB38" s="595" t="s">
        <v>1964</v>
      </c>
      <c r="HC38" s="595">
        <v>0</v>
      </c>
      <c r="HD38" s="595">
        <v>0</v>
      </c>
      <c r="HE38" s="595">
        <v>8</v>
      </c>
      <c r="HF38" s="595" t="s">
        <v>1975</v>
      </c>
      <c r="HG38" s="595">
        <v>1</v>
      </c>
      <c r="HH38" s="595">
        <v>1</v>
      </c>
      <c r="HI38" s="595">
        <v>2104401024</v>
      </c>
      <c r="HJ38" s="595">
        <v>46296645660</v>
      </c>
      <c r="HK38" s="595">
        <v>0</v>
      </c>
      <c r="HL38" s="595">
        <v>0</v>
      </c>
      <c r="HM38" s="595">
        <v>0</v>
      </c>
      <c r="HN38" s="595">
        <v>1282822001</v>
      </c>
      <c r="HO38" s="595">
        <v>1182474009</v>
      </c>
      <c r="HP38" s="595">
        <v>2017</v>
      </c>
      <c r="HQ38" s="595">
        <v>3067255009</v>
      </c>
      <c r="HR38" s="595">
        <v>0</v>
      </c>
      <c r="HS38" s="595" t="s">
        <v>1974</v>
      </c>
      <c r="HT38" s="595" t="s">
        <v>1964</v>
      </c>
      <c r="HU38" s="595">
        <v>0</v>
      </c>
      <c r="HV38" s="595">
        <v>0</v>
      </c>
      <c r="HW38" s="595">
        <v>8</v>
      </c>
      <c r="HX38" s="595" t="s">
        <v>1975</v>
      </c>
      <c r="HY38" s="595">
        <v>1</v>
      </c>
      <c r="HZ38" s="595">
        <v>1</v>
      </c>
      <c r="IA38" s="595">
        <v>2104832096</v>
      </c>
      <c r="IB38" s="595">
        <v>46306034418</v>
      </c>
      <c r="IC38" s="595">
        <v>27797233489</v>
      </c>
      <c r="ID38" s="595">
        <v>680138129</v>
      </c>
      <c r="IE38" s="595">
        <v>0</v>
      </c>
      <c r="IF38" s="595">
        <v>27797214812</v>
      </c>
      <c r="IG38" s="595">
        <v>45052682</v>
      </c>
      <c r="IH38" s="595">
        <v>604719427</v>
      </c>
      <c r="II38" s="595">
        <v>0</v>
      </c>
      <c r="IJ38" s="595">
        <v>0</v>
      </c>
      <c r="IK38" s="595" t="s">
        <v>1974</v>
      </c>
      <c r="IL38" s="595" t="s">
        <v>1964</v>
      </c>
      <c r="IM38" s="595">
        <v>0</v>
      </c>
      <c r="IN38" s="595">
        <v>0</v>
      </c>
      <c r="IO38" s="595">
        <v>8</v>
      </c>
      <c r="IP38" s="595" t="s">
        <v>1975</v>
      </c>
      <c r="IQ38" s="595">
        <v>1</v>
      </c>
      <c r="IR38" s="595">
        <v>1</v>
      </c>
      <c r="IS38" s="595">
        <v>2104822464</v>
      </c>
      <c r="IT38" s="595">
        <v>46305912437</v>
      </c>
      <c r="IU38" s="595">
        <v>0</v>
      </c>
      <c r="IV38" s="595">
        <v>0</v>
      </c>
      <c r="IW38" s="595">
        <v>1017640000</v>
      </c>
      <c r="IX38" s="595">
        <v>0</v>
      </c>
      <c r="IY38" s="595">
        <v>516005000</v>
      </c>
      <c r="IZ38" s="595">
        <v>157662001</v>
      </c>
      <c r="JA38" s="595">
        <v>0</v>
      </c>
      <c r="JB38" s="595">
        <v>0</v>
      </c>
      <c r="JC38" s="595" t="s">
        <v>1974</v>
      </c>
      <c r="JD38" s="595" t="s">
        <v>1964</v>
      </c>
      <c r="JE38" s="595">
        <v>0</v>
      </c>
      <c r="JF38" s="595">
        <v>0</v>
      </c>
      <c r="JG38" s="595">
        <v>8</v>
      </c>
      <c r="JH38" s="595" t="s">
        <v>1975</v>
      </c>
      <c r="JI38" s="595">
        <v>1</v>
      </c>
      <c r="JJ38" s="595">
        <v>1</v>
      </c>
      <c r="JK38" s="595">
        <v>2104320640</v>
      </c>
      <c r="JL38" s="595">
        <v>46294882172</v>
      </c>
      <c r="JM38" s="595">
        <v>447688419</v>
      </c>
      <c r="JN38" s="595">
        <v>0</v>
      </c>
      <c r="JO38" s="595">
        <v>0</v>
      </c>
      <c r="JP38" s="595">
        <v>411629020</v>
      </c>
      <c r="JQ38" s="595">
        <v>0</v>
      </c>
      <c r="JR38" s="595">
        <v>0</v>
      </c>
      <c r="JS38" s="595">
        <v>39707361</v>
      </c>
      <c r="JT38" s="595">
        <v>0</v>
      </c>
      <c r="JU38" s="595" t="s">
        <v>1974</v>
      </c>
      <c r="JV38" s="595" t="s">
        <v>1964</v>
      </c>
      <c r="JW38" s="595">
        <v>0</v>
      </c>
      <c r="JX38" s="595">
        <v>0</v>
      </c>
      <c r="JY38" s="595">
        <v>8</v>
      </c>
      <c r="JZ38" s="595" t="s">
        <v>1975</v>
      </c>
      <c r="KA38" s="595">
        <v>1</v>
      </c>
      <c r="KB38" s="595">
        <v>1</v>
      </c>
      <c r="KC38" s="595">
        <v>2104472512</v>
      </c>
      <c r="KD38" s="595">
        <v>46298043149</v>
      </c>
      <c r="KE38" s="595">
        <v>0</v>
      </c>
      <c r="KF38" s="595">
        <v>2839530165</v>
      </c>
      <c r="KG38" s="595">
        <v>944310064</v>
      </c>
      <c r="KH38" s="595">
        <v>65095259376</v>
      </c>
      <c r="KI38" s="595">
        <v>47233716320</v>
      </c>
      <c r="KJ38" s="595">
        <v>4068453707</v>
      </c>
      <c r="KK38" s="595">
        <v>2952107272</v>
      </c>
      <c r="KL38" s="595">
        <v>0</v>
      </c>
      <c r="KM38" s="595" t="s">
        <v>1974</v>
      </c>
      <c r="KN38" s="595" t="s">
        <v>1964</v>
      </c>
      <c r="KO38" s="595">
        <v>0</v>
      </c>
      <c r="KP38" s="595">
        <v>0</v>
      </c>
      <c r="KQ38" s="595">
        <v>8</v>
      </c>
      <c r="KR38" s="595" t="s">
        <v>1975</v>
      </c>
      <c r="KS38" s="595">
        <v>1</v>
      </c>
      <c r="KT38" s="595">
        <v>1</v>
      </c>
      <c r="KU38" s="595">
        <v>2104640224</v>
      </c>
      <c r="KV38" s="595">
        <v>46301862334</v>
      </c>
      <c r="KW38" s="595">
        <v>5601353236</v>
      </c>
      <c r="KX38" s="595">
        <v>44837199</v>
      </c>
      <c r="KY38" s="595">
        <v>10942985</v>
      </c>
      <c r="KZ38" s="595">
        <v>25360573990</v>
      </c>
      <c r="LA38" s="595">
        <v>2507450989</v>
      </c>
      <c r="LB38" s="595">
        <v>225516</v>
      </c>
      <c r="LC38" s="595">
        <v>13269</v>
      </c>
      <c r="LD38" s="595">
        <v>14735</v>
      </c>
      <c r="LE38" s="595" t="s">
        <v>1974</v>
      </c>
      <c r="LF38" s="595" t="s">
        <v>1964</v>
      </c>
      <c r="LG38" s="595">
        <v>0</v>
      </c>
      <c r="LH38" s="595">
        <v>0</v>
      </c>
      <c r="LI38" s="595">
        <v>8</v>
      </c>
      <c r="LJ38" s="595" t="s">
        <v>1975</v>
      </c>
      <c r="LK38" s="595">
        <v>1</v>
      </c>
      <c r="LL38" s="595">
        <v>1</v>
      </c>
      <c r="LM38" s="595">
        <v>2104131808</v>
      </c>
      <c r="LN38" s="595">
        <v>46290682793</v>
      </c>
      <c r="LO38" s="595">
        <v>5546237995</v>
      </c>
      <c r="LP38" s="595">
        <v>618</v>
      </c>
      <c r="LQ38" s="595">
        <v>0</v>
      </c>
      <c r="LR38" s="595">
        <v>2507325372</v>
      </c>
      <c r="LS38" s="595">
        <v>68</v>
      </c>
      <c r="LT38" s="595">
        <v>0</v>
      </c>
      <c r="LU38" s="595">
        <v>5546109387</v>
      </c>
      <c r="LV38" s="595">
        <v>25140</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21.043514559999998</v>
      </c>
      <c r="ND38" s="208">
        <f t="shared" si="103"/>
        <v>2.9151198971584718</v>
      </c>
      <c r="NE38" s="209">
        <f t="shared" si="15"/>
        <v>4.1408185205773496E-2</v>
      </c>
      <c r="NF38" s="208">
        <f t="shared" si="16"/>
        <v>8.1550958689288446</v>
      </c>
      <c r="NG38" s="210"/>
      <c r="NH38" s="211">
        <f t="shared" si="104"/>
        <v>25360635074</v>
      </c>
      <c r="NI38" s="208">
        <f t="shared" si="17"/>
        <v>61344368000</v>
      </c>
      <c r="NJ38" s="212">
        <f t="shared" si="105"/>
        <v>0.28427604545247281</v>
      </c>
      <c r="NK38" s="213">
        <f t="shared" si="106"/>
        <v>0.78037220955638498</v>
      </c>
      <c r="NL38" s="214">
        <f t="shared" si="18"/>
        <v>0.95836388832790098</v>
      </c>
      <c r="NM38" s="208">
        <f t="shared" si="107"/>
        <v>0.54780069207531601</v>
      </c>
      <c r="NN38" s="208">
        <f t="shared" si="19"/>
        <v>1.2051520672409963</v>
      </c>
      <c r="NO38" s="215">
        <f t="shared" si="20"/>
        <v>1.2158373155490833E-4</v>
      </c>
      <c r="NP38" s="216">
        <f t="shared" si="108"/>
        <v>0</v>
      </c>
      <c r="NQ38" s="215">
        <f t="shared" si="109"/>
        <v>0.22058941115343089</v>
      </c>
      <c r="NR38" s="215">
        <f t="shared" si="110"/>
        <v>6.851802921323856E-2</v>
      </c>
      <c r="NS38" s="215">
        <f t="shared" si="21"/>
        <v>2.0749659365403326E-2</v>
      </c>
      <c r="NT38" s="215">
        <f t="shared" si="22"/>
        <v>7.7060989977916772E-3</v>
      </c>
      <c r="NU38" s="215">
        <f t="shared" si="23"/>
        <v>0.21067687615702721</v>
      </c>
      <c r="NV38" s="215">
        <f t="shared" si="111"/>
        <v>3.6207223992428523</v>
      </c>
      <c r="NW38" s="215">
        <f t="shared" si="24"/>
        <v>1.7892387526967481</v>
      </c>
      <c r="NX38" s="215">
        <f t="shared" si="25"/>
        <v>8.6671150698767168</v>
      </c>
      <c r="NY38" s="215">
        <f t="shared" si="26"/>
        <v>9.3496745181950258E-4</v>
      </c>
      <c r="NZ38" s="215">
        <f t="shared" si="27"/>
        <v>0.91367409245068743</v>
      </c>
      <c r="OA38" s="215">
        <f t="shared" si="28"/>
        <v>0</v>
      </c>
      <c r="OB38" s="215">
        <f t="shared" si="29"/>
        <v>0.10894547074413573</v>
      </c>
      <c r="OC38" s="215">
        <f t="shared" si="30"/>
        <v>0</v>
      </c>
      <c r="OD38" s="215">
        <f t="shared" si="31"/>
        <v>2.6615972909086452</v>
      </c>
      <c r="OE38" s="215">
        <f t="shared" si="32"/>
        <v>0.81438022220454509</v>
      </c>
      <c r="OF38" s="215">
        <f t="shared" si="33"/>
        <v>0.51835022395837538</v>
      </c>
      <c r="OG38" s="215">
        <f t="shared" si="34"/>
        <v>1.4202284506743315</v>
      </c>
      <c r="OH38" s="215">
        <f t="shared" si="35"/>
        <v>0</v>
      </c>
      <c r="OI38" s="215">
        <f t="shared" si="112"/>
        <v>21.043514559999998</v>
      </c>
      <c r="OJ38" s="218">
        <f t="shared" si="113"/>
        <v>0.22487278442711803</v>
      </c>
      <c r="OK38" s="218">
        <f t="shared" si="114"/>
        <v>0.20001944078565115</v>
      </c>
      <c r="OL38" s="218">
        <f t="shared" si="115"/>
        <v>1.5369367801228401E-2</v>
      </c>
      <c r="OM38" s="218">
        <f t="shared" si="116"/>
        <v>2.4092359430718264E-2</v>
      </c>
      <c r="ON38" s="217">
        <f t="shared" si="36"/>
        <v>0.22330613241578656</v>
      </c>
      <c r="OO38" s="210"/>
      <c r="OP38" s="210"/>
      <c r="OQ38" s="218">
        <f t="shared" si="117"/>
        <v>0.15089558777145418</v>
      </c>
      <c r="OR38" s="218">
        <f t="shared" si="118"/>
        <v>0.14854258900200015</v>
      </c>
      <c r="OS38" s="218">
        <f t="shared" si="37"/>
        <v>0.92293023221871517</v>
      </c>
      <c r="OT38" s="218">
        <f t="shared" si="38"/>
        <v>0.99820034062677743</v>
      </c>
      <c r="OU38" s="209">
        <f t="shared" si="39"/>
        <v>1.0000000009831744</v>
      </c>
      <c r="OV38" s="209">
        <f t="shared" si="40"/>
        <v>0.99999999932251782</v>
      </c>
      <c r="OW38" s="209">
        <f t="shared" si="119"/>
        <v>9.2127576799065428E-3</v>
      </c>
      <c r="OX38" s="219">
        <f t="shared" si="41"/>
        <v>1.6127356385460207E-8</v>
      </c>
      <c r="OY38" s="208">
        <f t="shared" si="120"/>
        <v>6328076035</v>
      </c>
      <c r="OZ38" s="208">
        <f t="shared" si="42"/>
        <v>467674559</v>
      </c>
      <c r="PA38" s="209">
        <f t="shared" si="121"/>
        <v>7.3904699692819029E-2</v>
      </c>
      <c r="PB38" s="209">
        <f>IF(OR($CQ38="",$OZ38=""),"",IF($OZ38=0,0,
GuardLimitUpper(
  ($OZ38-$CQ38)/$OZ38,
  data_GuardLimitFlag,
  1)
))</f>
        <v>3.2541517829281795E-2</v>
      </c>
      <c r="PC38" s="209">
        <f t="shared" si="43"/>
        <v>0.95599283389712886</v>
      </c>
      <c r="PD38" s="209">
        <f t="shared" si="44"/>
        <v>1.1465648273589327E-2</v>
      </c>
      <c r="PE38" s="208">
        <f t="shared" si="122"/>
        <v>462578667</v>
      </c>
      <c r="PF38" s="209">
        <f t="shared" si="123"/>
        <v>7.3099416701303904E-2</v>
      </c>
      <c r="PG38" s="209">
        <f t="shared" si="45"/>
        <v>3.774871107351517E-2</v>
      </c>
      <c r="PH38" s="209">
        <f t="shared" si="46"/>
        <v>0.96406572206034313</v>
      </c>
      <c r="PI38" s="209">
        <f t="shared" si="47"/>
        <v>0</v>
      </c>
      <c r="PJ38" s="220">
        <f t="shared" si="48"/>
        <v>6.9278560746623515E-7</v>
      </c>
      <c r="PK38" s="220">
        <f t="shared" si="49"/>
        <v>1.5802591411182373E-10</v>
      </c>
      <c r="PL38" s="221">
        <f t="shared" si="124"/>
        <v>157660010</v>
      </c>
      <c r="PM38" s="221">
        <f t="shared" si="50"/>
        <v>0</v>
      </c>
      <c r="PN38" s="221">
        <f t="shared" si="125"/>
        <v>945960000</v>
      </c>
      <c r="PO38" s="221">
        <f t="shared" si="51"/>
        <v>0</v>
      </c>
      <c r="PP38" s="221">
        <f t="shared" si="52"/>
        <v>0</v>
      </c>
      <c r="PQ38" s="529">
        <f t="shared" si="126"/>
        <v>0</v>
      </c>
      <c r="PR38" s="221">
        <f t="shared" si="53"/>
        <v>0</v>
      </c>
      <c r="PS38" s="221">
        <f t="shared" si="54"/>
        <v>3547475614</v>
      </c>
      <c r="PT38" s="221">
        <f t="shared" si="127"/>
        <v>21504010</v>
      </c>
      <c r="PU38" s="221">
        <f t="shared" si="55"/>
        <v>0</v>
      </c>
      <c r="PV38" s="221">
        <f t="shared" si="128"/>
        <v>472980000</v>
      </c>
      <c r="PW38" s="221">
        <f t="shared" si="56"/>
        <v>0</v>
      </c>
      <c r="PX38" s="221">
        <f t="shared" si="162"/>
        <v>0</v>
      </c>
      <c r="PY38" s="221">
        <f t="shared" si="57"/>
        <v>1182496401</v>
      </c>
      <c r="PZ38" s="221">
        <f t="shared" si="58"/>
        <v>0</v>
      </c>
      <c r="QA38" s="221">
        <f t="shared" si="59"/>
        <v>0</v>
      </c>
      <c r="QB38" s="221">
        <f t="shared" si="60"/>
        <v>5362040</v>
      </c>
      <c r="QC38" s="221">
        <f t="shared" si="61"/>
        <v>8</v>
      </c>
      <c r="QD38" s="221">
        <f t="shared" si="129"/>
        <v>6664786000</v>
      </c>
      <c r="QE38" s="221">
        <f t="shared" si="130"/>
        <v>6650444000</v>
      </c>
      <c r="QF38" s="221">
        <f t="shared" si="131"/>
        <v>508816000</v>
      </c>
      <c r="QG38" s="222">
        <f t="shared" si="62"/>
        <v>0</v>
      </c>
      <c r="QH38" s="222">
        <f t="shared" si="63"/>
        <v>1282822001</v>
      </c>
      <c r="QI38" s="222">
        <f t="shared" si="64"/>
        <v>329660032</v>
      </c>
      <c r="QJ38" s="222">
        <f t="shared" si="65"/>
        <v>604708802</v>
      </c>
      <c r="QK38" s="222">
        <f t="shared" si="66"/>
        <v>2017</v>
      </c>
      <c r="QL38" s="222">
        <f t="shared" si="132"/>
        <v>0</v>
      </c>
      <c r="QM38" s="222">
        <f>IF(OR($O$8="Lv2",$O$8="Lv3",$O$8="Lv4"),IF(OR($AS38="",COUNT($PL38:$QL38)=0),"",
GuardLimitLower(
  $AS38-SUM($PL38:$QL38),
  data_GuardLimitFlag,
  0)
),"")</f>
        <v>2985958139</v>
      </c>
      <c r="QN38" s="222">
        <f t="shared" si="133"/>
        <v>25360635074</v>
      </c>
      <c r="QO38" s="222">
        <f t="shared" si="134"/>
        <v>61344368000</v>
      </c>
      <c r="QP38" s="222">
        <f t="shared" si="135"/>
        <v>0</v>
      </c>
      <c r="QQ38" s="222">
        <f t="shared" si="136"/>
        <v>0</v>
      </c>
      <c r="QR38" s="222">
        <f t="shared" si="67"/>
        <v>2.793745639582824</v>
      </c>
      <c r="QS38" s="209">
        <f t="shared" si="68"/>
        <v>0</v>
      </c>
      <c r="QT38" s="209">
        <f t="shared" si="69"/>
        <v>0.75043606313959932</v>
      </c>
      <c r="QU38" s="209">
        <f t="shared" si="70"/>
        <v>0.24956393686040065</v>
      </c>
      <c r="QV38" s="208">
        <f t="shared" si="71"/>
        <v>27797233489</v>
      </c>
      <c r="QW38" s="208">
        <f t="shared" si="72"/>
        <v>516005000</v>
      </c>
      <c r="QX38" s="208">
        <f t="shared" si="73"/>
        <v>157662001</v>
      </c>
      <c r="QY38" s="208">
        <f t="shared" si="74"/>
        <v>1017640000</v>
      </c>
      <c r="QZ38" s="208">
        <f t="shared" si="75"/>
        <v>0</v>
      </c>
      <c r="RA38" s="209">
        <f t="shared" si="137"/>
        <v>0.99999932809860348</v>
      </c>
      <c r="RB38" s="209">
        <f t="shared" si="76"/>
        <v>7.4503102734727517E-2</v>
      </c>
      <c r="RC38" s="209">
        <f t="shared" si="77"/>
        <v>0.49797115607934284</v>
      </c>
      <c r="RD38" s="209">
        <f t="shared" si="78"/>
        <v>0</v>
      </c>
      <c r="RE38" s="209">
        <f t="shared" si="79"/>
        <v>0</v>
      </c>
      <c r="RF38" s="209">
        <f t="shared" si="80"/>
        <v>0.45786169636254753</v>
      </c>
      <c r="RG38" s="209">
        <f t="shared" si="81"/>
        <v>0</v>
      </c>
      <c r="RH38" s="209">
        <f t="shared" si="82"/>
        <v>0</v>
      </c>
      <c r="RI38" s="209">
        <f t="shared" si="83"/>
        <v>4.4167147558109632E-2</v>
      </c>
      <c r="RJ38" s="134"/>
      <c r="RK38" s="134"/>
      <c r="RL38" s="134"/>
      <c r="RM38" s="134"/>
      <c r="RN38" s="134"/>
      <c r="RO38" s="134"/>
      <c r="RP38" s="134"/>
      <c r="RQ38" s="134"/>
      <c r="RR38" s="222">
        <f t="shared" si="84"/>
        <v>1.914029439006409</v>
      </c>
      <c r="RS38" s="224"/>
      <c r="RT38" s="224"/>
      <c r="RU38" s="208">
        <f t="shared" si="138"/>
        <v>21.043514559999998</v>
      </c>
      <c r="RV38" s="208">
        <f t="shared" si="139"/>
        <v>1</v>
      </c>
      <c r="RW38" s="208">
        <f t="shared" si="140"/>
        <v>1.0001491283939941</v>
      </c>
      <c r="RX38" s="208">
        <f t="shared" si="141"/>
        <v>1.0001131736096867</v>
      </c>
      <c r="RY38" s="208">
        <f t="shared" si="142"/>
        <v>1.000161035222132</v>
      </c>
      <c r="RZ38" s="208">
        <f t="shared" si="85"/>
        <v>0.99996743345957162</v>
      </c>
      <c r="SA38" s="208">
        <f t="shared" si="86"/>
        <v>1.0000617582724469</v>
      </c>
      <c r="SB38" s="208">
        <f t="shared" si="87"/>
        <v>0.99992776232081171</v>
      </c>
      <c r="SC38" s="208">
        <f t="shared" si="88"/>
        <v>0.99995448721861036</v>
      </c>
      <c r="SD38" s="208">
        <f t="shared" si="89"/>
        <v>1.0000502650277947</v>
      </c>
      <c r="SE38" s="208">
        <f t="shared" si="90"/>
        <v>1.0000689041060045</v>
      </c>
      <c r="SF38" s="208">
        <f t="shared" si="91"/>
        <v>1.0000275805125398</v>
      </c>
      <c r="SG38" s="208">
        <f t="shared" si="92"/>
        <v>1.0002303817481997</v>
      </c>
      <c r="SH38" s="208">
        <f t="shared" si="93"/>
        <v>0.9999894884086139</v>
      </c>
      <c r="SI38" s="208">
        <f t="shared" si="94"/>
        <v>1.0002277469058141</v>
      </c>
      <c r="SJ38" s="208">
        <f t="shared" si="95"/>
        <v>1.0000577668796846</v>
      </c>
      <c r="SK38" s="208">
        <f t="shared" si="96"/>
        <v>1.000140262928386</v>
      </c>
      <c r="SL38" s="208">
        <f t="shared" si="97"/>
        <v>0.99989878000498855</v>
      </c>
      <c r="SM38" s="222">
        <f t="shared" si="143"/>
        <v>1</v>
      </c>
      <c r="SN38" s="225">
        <f t="shared" si="98"/>
        <v>21.043514559999998</v>
      </c>
      <c r="SO38" s="209">
        <f t="shared" si="144"/>
        <v>0.99853548799169678</v>
      </c>
      <c r="SP38" s="209">
        <f t="shared" si="145"/>
        <v>0.99999946570767173</v>
      </c>
      <c r="SQ38" s="222">
        <f t="shared" si="146"/>
        <v>46295368810</v>
      </c>
      <c r="SR38" s="222">
        <f t="shared" si="147"/>
        <v>46302272764</v>
      </c>
      <c r="SS38" s="222">
        <f t="shared" si="148"/>
        <v>46300608224</v>
      </c>
      <c r="ST38" s="222">
        <f t="shared" si="149"/>
        <v>46302823995</v>
      </c>
      <c r="SU38" s="222">
        <f t="shared" si="150"/>
        <v>46293861130</v>
      </c>
      <c r="SV38" s="222">
        <f t="shared" si="151"/>
        <v>46298227932</v>
      </c>
      <c r="SW38" s="222">
        <f t="shared" si="152"/>
        <v>46292024540</v>
      </c>
      <c r="SX38" s="222">
        <f t="shared" si="153"/>
        <v>46293261779</v>
      </c>
      <c r="SY38" s="222">
        <f t="shared" si="154"/>
        <v>46297695848</v>
      </c>
      <c r="SZ38" s="222">
        <f t="shared" si="155"/>
        <v>46298558751</v>
      </c>
      <c r="TA38" s="222">
        <f t="shared" si="156"/>
        <v>46296645660</v>
      </c>
      <c r="TB38" s="222">
        <f t="shared" si="157"/>
        <v>46306034418</v>
      </c>
      <c r="TC38" s="222">
        <f t="shared" si="99"/>
        <v>46294882172</v>
      </c>
      <c r="TD38" s="222">
        <f t="shared" si="158"/>
        <v>46305912437</v>
      </c>
      <c r="TE38" s="222">
        <f t="shared" si="159"/>
        <v>46298043149</v>
      </c>
      <c r="TF38" s="222">
        <f t="shared" si="160"/>
        <v>46301862334</v>
      </c>
      <c r="TG38" s="222">
        <f t="shared" si="161"/>
        <v>46290682793</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x14ac:dyDescent="0.25">
      <c r="AB39" s="254">
        <v>9</v>
      </c>
      <c r="AC39" s="430" t="s">
        <v>1974</v>
      </c>
      <c r="AD39" s="430" t="s">
        <v>1964</v>
      </c>
      <c r="AE39" s="430">
        <v>0</v>
      </c>
      <c r="AF39" s="430">
        <v>0</v>
      </c>
      <c r="AG39" s="430">
        <v>9</v>
      </c>
      <c r="AH39" s="430" t="s">
        <v>1975</v>
      </c>
      <c r="AI39" s="430">
        <v>1</v>
      </c>
      <c r="AJ39" s="430">
        <v>1</v>
      </c>
      <c r="AK39" s="594">
        <v>2101364000</v>
      </c>
      <c r="AL39" s="594">
        <v>46229665912</v>
      </c>
      <c r="AM39" s="430">
        <v>11967860000</v>
      </c>
      <c r="AN39" s="430">
        <v>13472928000</v>
      </c>
      <c r="AO39" s="430">
        <v>466586068</v>
      </c>
      <c r="AP39" s="430">
        <v>210526279</v>
      </c>
      <c r="AQ39" s="595">
        <v>3406135</v>
      </c>
      <c r="AR39" s="595">
        <v>666046</v>
      </c>
      <c r="AS39" s="594">
        <v>25360633050</v>
      </c>
      <c r="AT39" s="594">
        <v>7209421049</v>
      </c>
      <c r="AU39" s="430" t="s">
        <v>1974</v>
      </c>
      <c r="AV39" s="430" t="s">
        <v>1964</v>
      </c>
      <c r="AW39" s="430">
        <v>0</v>
      </c>
      <c r="AX39" s="430">
        <v>0</v>
      </c>
      <c r="AY39" s="430">
        <v>9</v>
      </c>
      <c r="AZ39" s="430" t="s">
        <v>1975</v>
      </c>
      <c r="BA39" s="430">
        <v>1</v>
      </c>
      <c r="BB39" s="430">
        <v>1</v>
      </c>
      <c r="BC39" s="430">
        <v>2101891232</v>
      </c>
      <c r="BD39" s="430">
        <v>46241329717</v>
      </c>
      <c r="BE39" s="430">
        <v>34325752654</v>
      </c>
      <c r="BF39" s="595">
        <v>5858313878</v>
      </c>
      <c r="BG39" s="430">
        <v>9065504456</v>
      </c>
      <c r="BH39" s="595">
        <v>367093</v>
      </c>
      <c r="BI39" s="430">
        <v>23007854401</v>
      </c>
      <c r="BJ39" s="430">
        <v>239837610</v>
      </c>
      <c r="BK39" s="430">
        <v>0</v>
      </c>
      <c r="BL39" s="430">
        <v>0</v>
      </c>
      <c r="BM39" s="430" t="s">
        <v>1974</v>
      </c>
      <c r="BN39" s="430" t="s">
        <v>1964</v>
      </c>
      <c r="BO39" s="430">
        <v>0</v>
      </c>
      <c r="BP39" s="430">
        <v>0</v>
      </c>
      <c r="BQ39" s="430">
        <v>9</v>
      </c>
      <c r="BR39" s="430" t="s">
        <v>1975</v>
      </c>
      <c r="BS39" s="430">
        <v>1</v>
      </c>
      <c r="BT39" s="430">
        <v>1</v>
      </c>
      <c r="BU39" s="430">
        <v>2101195840</v>
      </c>
      <c r="BV39" s="430">
        <v>46225686126</v>
      </c>
      <c r="BW39" s="594">
        <v>9065956269</v>
      </c>
      <c r="BX39" s="594">
        <v>11606818453</v>
      </c>
      <c r="BY39" s="430">
        <v>21682073140</v>
      </c>
      <c r="BZ39" s="430">
        <v>426181211</v>
      </c>
      <c r="CA39" s="430">
        <v>10411659923</v>
      </c>
      <c r="CB39" s="430">
        <v>153741856780</v>
      </c>
      <c r="CC39" s="430">
        <v>9261084446</v>
      </c>
      <c r="CD39" s="430">
        <v>147910555152</v>
      </c>
      <c r="CE39" s="430" t="s">
        <v>1974</v>
      </c>
      <c r="CF39" s="430" t="s">
        <v>1964</v>
      </c>
      <c r="CG39" s="430">
        <v>0</v>
      </c>
      <c r="CH39" s="430">
        <v>0</v>
      </c>
      <c r="CI39" s="430">
        <v>9</v>
      </c>
      <c r="CJ39" s="430" t="s">
        <v>1975</v>
      </c>
      <c r="CK39" s="430">
        <v>1</v>
      </c>
      <c r="CL39" s="430">
        <v>1</v>
      </c>
      <c r="CM39" s="430">
        <v>2101352480</v>
      </c>
      <c r="CN39" s="430">
        <v>46229591495</v>
      </c>
      <c r="CO39" s="430">
        <v>3427224</v>
      </c>
      <c r="CP39" s="430">
        <v>468011559</v>
      </c>
      <c r="CQ39" s="430">
        <v>452927122</v>
      </c>
      <c r="CR39" s="430">
        <v>467100119</v>
      </c>
      <c r="CS39" s="430">
        <v>21647499</v>
      </c>
      <c r="CT39" s="430">
        <v>945960000</v>
      </c>
      <c r="CU39" s="430">
        <v>472980000</v>
      </c>
      <c r="CV39" s="430">
        <v>660422</v>
      </c>
      <c r="CW39" s="430" t="s">
        <v>1974</v>
      </c>
      <c r="CX39" s="430" t="s">
        <v>1964</v>
      </c>
      <c r="CY39" s="430">
        <v>0</v>
      </c>
      <c r="CZ39" s="430">
        <v>0</v>
      </c>
      <c r="DA39" s="430">
        <v>9</v>
      </c>
      <c r="DB39" s="430" t="s">
        <v>1975</v>
      </c>
      <c r="DC39" s="430">
        <v>1</v>
      </c>
      <c r="DD39" s="430">
        <v>1</v>
      </c>
      <c r="DE39" s="430">
        <v>2101453952</v>
      </c>
      <c r="DF39" s="430">
        <v>46231776759</v>
      </c>
      <c r="DG39" s="430">
        <v>13824046000</v>
      </c>
      <c r="DH39" s="430">
        <v>6650444000</v>
      </c>
      <c r="DI39" s="430">
        <v>508816000</v>
      </c>
      <c r="DJ39" s="430">
        <v>4651094707</v>
      </c>
      <c r="DK39" s="430">
        <v>1676980140</v>
      </c>
      <c r="DL39" s="430">
        <v>4170875009</v>
      </c>
      <c r="DM39" s="430">
        <v>1676958009</v>
      </c>
      <c r="DN39" s="430">
        <v>5362040</v>
      </c>
      <c r="DO39" s="595" t="s">
        <v>1974</v>
      </c>
      <c r="DP39" s="595" t="s">
        <v>1964</v>
      </c>
      <c r="DQ39" s="595">
        <v>0</v>
      </c>
      <c r="DR39" s="595">
        <v>0</v>
      </c>
      <c r="DS39" s="595">
        <v>9</v>
      </c>
      <c r="DT39" s="595" t="s">
        <v>1975</v>
      </c>
      <c r="DU39" s="595">
        <v>1</v>
      </c>
      <c r="DV39" s="595">
        <v>1</v>
      </c>
      <c r="DW39" s="595">
        <v>2101644704</v>
      </c>
      <c r="DX39" s="595">
        <v>46235976797</v>
      </c>
      <c r="DY39" s="595">
        <v>542717863</v>
      </c>
      <c r="DZ39" s="595">
        <v>501921826</v>
      </c>
      <c r="EA39" s="595">
        <v>46389878</v>
      </c>
      <c r="EB39" s="430">
        <v>579949622</v>
      </c>
      <c r="EC39" s="595">
        <v>479566476</v>
      </c>
      <c r="ED39" s="595">
        <v>0</v>
      </c>
      <c r="EE39" s="595">
        <v>0</v>
      </c>
      <c r="EF39" s="595">
        <v>19070640439</v>
      </c>
      <c r="EG39" s="595" t="s">
        <v>1974</v>
      </c>
      <c r="EH39" s="595" t="s">
        <v>1964</v>
      </c>
      <c r="EI39" s="595">
        <v>0</v>
      </c>
      <c r="EJ39" s="595">
        <v>0</v>
      </c>
      <c r="EK39" s="595">
        <v>9</v>
      </c>
      <c r="EL39" s="595" t="s">
        <v>1975</v>
      </c>
      <c r="EM39" s="595">
        <v>1</v>
      </c>
      <c r="EN39" s="595">
        <v>1</v>
      </c>
      <c r="EO39" s="595">
        <v>2101429024</v>
      </c>
      <c r="EP39" s="595">
        <v>46231200629</v>
      </c>
      <c r="EQ39" s="595">
        <v>1792503012</v>
      </c>
      <c r="ER39" s="595">
        <v>1141086449</v>
      </c>
      <c r="ES39" s="430">
        <v>3123703692</v>
      </c>
      <c r="ET39" s="595">
        <v>2061381</v>
      </c>
      <c r="EU39" s="595">
        <v>11967860000</v>
      </c>
      <c r="EV39" s="595">
        <v>0</v>
      </c>
      <c r="EW39" s="595">
        <v>13472928000</v>
      </c>
      <c r="EX39" s="595">
        <v>0</v>
      </c>
      <c r="EY39" s="595" t="s">
        <v>1974</v>
      </c>
      <c r="EZ39" s="595" t="s">
        <v>1964</v>
      </c>
      <c r="FA39" s="595">
        <v>0</v>
      </c>
      <c r="FB39" s="595">
        <v>0</v>
      </c>
      <c r="FC39" s="595">
        <v>9</v>
      </c>
      <c r="FD39" s="595" t="s">
        <v>1975</v>
      </c>
      <c r="FE39" s="595">
        <v>1</v>
      </c>
      <c r="FF39" s="595">
        <v>1</v>
      </c>
      <c r="FG39" s="595">
        <v>2101344192</v>
      </c>
      <c r="FH39" s="595">
        <v>46229378680</v>
      </c>
      <c r="FI39" s="595">
        <v>2018</v>
      </c>
      <c r="FJ39" s="595">
        <v>5028126388</v>
      </c>
      <c r="FK39" s="595">
        <v>1557751740</v>
      </c>
      <c r="FL39" s="595">
        <v>612528166</v>
      </c>
      <c r="FM39" s="595">
        <v>6985259099</v>
      </c>
      <c r="FN39" s="595">
        <v>6876748439</v>
      </c>
      <c r="FO39" s="430">
        <v>711463193</v>
      </c>
      <c r="FP39" s="430">
        <v>1115219381</v>
      </c>
      <c r="FQ39" s="595" t="s">
        <v>1974</v>
      </c>
      <c r="FR39" s="595" t="s">
        <v>1964</v>
      </c>
      <c r="FS39" s="595">
        <v>0</v>
      </c>
      <c r="FT39" s="595">
        <v>0</v>
      </c>
      <c r="FU39" s="595">
        <v>9</v>
      </c>
      <c r="FV39" s="595" t="s">
        <v>1975</v>
      </c>
      <c r="FW39" s="595">
        <v>1</v>
      </c>
      <c r="FX39" s="595">
        <v>1</v>
      </c>
      <c r="FY39" s="595">
        <v>2101217312</v>
      </c>
      <c r="FZ39" s="595">
        <v>46226584840</v>
      </c>
      <c r="GA39" s="595">
        <v>452928595</v>
      </c>
      <c r="GB39" s="595">
        <v>447565859</v>
      </c>
      <c r="GC39" s="595">
        <v>445211162</v>
      </c>
      <c r="GD39" s="595">
        <v>445211162</v>
      </c>
      <c r="GE39" s="595">
        <v>4101</v>
      </c>
      <c r="GF39" s="595">
        <v>1</v>
      </c>
      <c r="GG39" s="595">
        <v>437</v>
      </c>
      <c r="GH39" s="595">
        <v>665830</v>
      </c>
      <c r="GI39" s="595" t="s">
        <v>1974</v>
      </c>
      <c r="GJ39" s="595" t="s">
        <v>1964</v>
      </c>
      <c r="GK39" s="595">
        <v>0</v>
      </c>
      <c r="GL39" s="595">
        <v>0</v>
      </c>
      <c r="GM39" s="595">
        <v>9</v>
      </c>
      <c r="GN39" s="595" t="s">
        <v>1975</v>
      </c>
      <c r="GO39" s="595">
        <v>1</v>
      </c>
      <c r="GP39" s="595">
        <v>1</v>
      </c>
      <c r="GQ39" s="595">
        <v>2101637664</v>
      </c>
      <c r="GR39" s="595">
        <v>46235838970</v>
      </c>
      <c r="GS39" s="595">
        <v>0</v>
      </c>
      <c r="GT39" s="595">
        <v>0</v>
      </c>
      <c r="GU39" s="595">
        <v>0</v>
      </c>
      <c r="GV39" s="595">
        <v>0</v>
      </c>
      <c r="GW39" s="595">
        <v>0</v>
      </c>
      <c r="GX39" s="595">
        <v>8</v>
      </c>
      <c r="GY39" s="595">
        <v>329660032</v>
      </c>
      <c r="GZ39" s="595">
        <v>604708788</v>
      </c>
      <c r="HA39" s="595" t="s">
        <v>1974</v>
      </c>
      <c r="HB39" s="595" t="s">
        <v>1964</v>
      </c>
      <c r="HC39" s="595">
        <v>0</v>
      </c>
      <c r="HD39" s="595">
        <v>0</v>
      </c>
      <c r="HE39" s="595">
        <v>9</v>
      </c>
      <c r="HF39" s="595" t="s">
        <v>1975</v>
      </c>
      <c r="HG39" s="595">
        <v>1</v>
      </c>
      <c r="HH39" s="595">
        <v>1</v>
      </c>
      <c r="HI39" s="595">
        <v>2101454592</v>
      </c>
      <c r="HJ39" s="595">
        <v>46231815522</v>
      </c>
      <c r="HK39" s="595">
        <v>0</v>
      </c>
      <c r="HL39" s="595">
        <v>0</v>
      </c>
      <c r="HM39" s="595">
        <v>0</v>
      </c>
      <c r="HN39" s="595">
        <v>1282822001</v>
      </c>
      <c r="HO39" s="595">
        <v>1182474009</v>
      </c>
      <c r="HP39" s="595">
        <v>2017</v>
      </c>
      <c r="HQ39" s="595">
        <v>3067255009</v>
      </c>
      <c r="HR39" s="595">
        <v>0</v>
      </c>
      <c r="HS39" s="595" t="s">
        <v>1974</v>
      </c>
      <c r="HT39" s="595" t="s">
        <v>1964</v>
      </c>
      <c r="HU39" s="595">
        <v>0</v>
      </c>
      <c r="HV39" s="595">
        <v>0</v>
      </c>
      <c r="HW39" s="595">
        <v>9</v>
      </c>
      <c r="HX39" s="595" t="s">
        <v>1975</v>
      </c>
      <c r="HY39" s="595">
        <v>1</v>
      </c>
      <c r="HZ39" s="595">
        <v>1</v>
      </c>
      <c r="IA39" s="595">
        <v>2102545472</v>
      </c>
      <c r="IB39" s="595">
        <v>46255716876</v>
      </c>
      <c r="IC39" s="595">
        <v>27797236607</v>
      </c>
      <c r="ID39" s="595">
        <v>680335279</v>
      </c>
      <c r="IE39" s="595">
        <v>0</v>
      </c>
      <c r="IF39" s="595">
        <v>27797217895</v>
      </c>
      <c r="IG39" s="595">
        <v>45052260</v>
      </c>
      <c r="IH39" s="595">
        <v>604719987</v>
      </c>
      <c r="II39" s="595">
        <v>0</v>
      </c>
      <c r="IJ39" s="595">
        <v>0</v>
      </c>
      <c r="IK39" s="595" t="s">
        <v>1974</v>
      </c>
      <c r="IL39" s="595" t="s">
        <v>1964</v>
      </c>
      <c r="IM39" s="595">
        <v>0</v>
      </c>
      <c r="IN39" s="595">
        <v>0</v>
      </c>
      <c r="IO39" s="595">
        <v>9</v>
      </c>
      <c r="IP39" s="595" t="s">
        <v>1975</v>
      </c>
      <c r="IQ39" s="595">
        <v>1</v>
      </c>
      <c r="IR39" s="595">
        <v>1</v>
      </c>
      <c r="IS39" s="595">
        <v>2101689568</v>
      </c>
      <c r="IT39" s="595">
        <v>46236969105</v>
      </c>
      <c r="IU39" s="595">
        <v>0</v>
      </c>
      <c r="IV39" s="595">
        <v>0</v>
      </c>
      <c r="IW39" s="595">
        <v>1017640000</v>
      </c>
      <c r="IX39" s="595">
        <v>0</v>
      </c>
      <c r="IY39" s="595">
        <v>516005000</v>
      </c>
      <c r="IZ39" s="595">
        <v>157662009</v>
      </c>
      <c r="JA39" s="595">
        <v>0</v>
      </c>
      <c r="JB39" s="595">
        <v>0</v>
      </c>
      <c r="JC39" s="595" t="s">
        <v>1974</v>
      </c>
      <c r="JD39" s="595" t="s">
        <v>1964</v>
      </c>
      <c r="JE39" s="595">
        <v>0</v>
      </c>
      <c r="JF39" s="595">
        <v>0</v>
      </c>
      <c r="JG39" s="595">
        <v>9</v>
      </c>
      <c r="JH39" s="595" t="s">
        <v>1975</v>
      </c>
      <c r="JI39" s="595">
        <v>1</v>
      </c>
      <c r="JJ39" s="595">
        <v>1</v>
      </c>
      <c r="JK39" s="595">
        <v>2101968512</v>
      </c>
      <c r="JL39" s="595">
        <v>46243106266</v>
      </c>
      <c r="JM39" s="595">
        <v>448110305</v>
      </c>
      <c r="JN39" s="595">
        <v>0</v>
      </c>
      <c r="JO39" s="595">
        <v>0</v>
      </c>
      <c r="JP39" s="595">
        <v>411838163</v>
      </c>
      <c r="JQ39" s="595">
        <v>0</v>
      </c>
      <c r="JR39" s="595">
        <v>0</v>
      </c>
      <c r="JS39" s="595">
        <v>40045980</v>
      </c>
      <c r="JT39" s="595">
        <v>0</v>
      </c>
      <c r="JU39" s="595" t="s">
        <v>1974</v>
      </c>
      <c r="JV39" s="595" t="s">
        <v>1964</v>
      </c>
      <c r="JW39" s="595">
        <v>0</v>
      </c>
      <c r="JX39" s="595">
        <v>0</v>
      </c>
      <c r="JY39" s="595">
        <v>9</v>
      </c>
      <c r="JZ39" s="595" t="s">
        <v>1975</v>
      </c>
      <c r="KA39" s="595">
        <v>1</v>
      </c>
      <c r="KB39" s="595">
        <v>1</v>
      </c>
      <c r="KC39" s="595">
        <v>2101719168</v>
      </c>
      <c r="KD39" s="595">
        <v>46237446870</v>
      </c>
      <c r="KE39" s="595">
        <v>0</v>
      </c>
      <c r="KF39" s="595">
        <v>2839530125</v>
      </c>
      <c r="KG39" s="595">
        <v>944310060</v>
      </c>
      <c r="KH39" s="595">
        <v>65088986608</v>
      </c>
      <c r="KI39" s="595">
        <v>47238162432</v>
      </c>
      <c r="KJ39" s="595">
        <v>4068061661</v>
      </c>
      <c r="KK39" s="595">
        <v>2952385152</v>
      </c>
      <c r="KL39" s="595">
        <v>0</v>
      </c>
      <c r="KM39" s="595" t="s">
        <v>1974</v>
      </c>
      <c r="KN39" s="595" t="s">
        <v>1964</v>
      </c>
      <c r="KO39" s="595">
        <v>0</v>
      </c>
      <c r="KP39" s="595">
        <v>0</v>
      </c>
      <c r="KQ39" s="595">
        <v>9</v>
      </c>
      <c r="KR39" s="595" t="s">
        <v>1975</v>
      </c>
      <c r="KS39" s="595">
        <v>1</v>
      </c>
      <c r="KT39" s="595">
        <v>1</v>
      </c>
      <c r="KU39" s="595">
        <v>2101742112</v>
      </c>
      <c r="KV39" s="595">
        <v>46238089134</v>
      </c>
      <c r="KW39" s="595">
        <v>5595660234</v>
      </c>
      <c r="KX39" s="595">
        <v>44803813</v>
      </c>
      <c r="KY39" s="595">
        <v>10931805</v>
      </c>
      <c r="KZ39" s="595">
        <v>25360576864</v>
      </c>
      <c r="LA39" s="595">
        <v>2504891511</v>
      </c>
      <c r="LB39" s="595">
        <v>225179</v>
      </c>
      <c r="LC39" s="595">
        <v>11993</v>
      </c>
      <c r="LD39" s="595">
        <v>13703</v>
      </c>
      <c r="LE39" s="595" t="s">
        <v>1974</v>
      </c>
      <c r="LF39" s="595" t="s">
        <v>1964</v>
      </c>
      <c r="LG39" s="595">
        <v>0</v>
      </c>
      <c r="LH39" s="595">
        <v>0</v>
      </c>
      <c r="LI39" s="595">
        <v>9</v>
      </c>
      <c r="LJ39" s="595" t="s">
        <v>1975</v>
      </c>
      <c r="LK39" s="595">
        <v>1</v>
      </c>
      <c r="LL39" s="595">
        <v>1</v>
      </c>
      <c r="LM39" s="595">
        <v>2101309088</v>
      </c>
      <c r="LN39" s="595">
        <v>46228584476</v>
      </c>
      <c r="LO39" s="595">
        <v>5540648768</v>
      </c>
      <c r="LP39" s="595">
        <v>618</v>
      </c>
      <c r="LQ39" s="595">
        <v>0</v>
      </c>
      <c r="LR39" s="595">
        <v>2504788861</v>
      </c>
      <c r="LS39" s="595">
        <v>68</v>
      </c>
      <c r="LT39" s="595">
        <v>0</v>
      </c>
      <c r="LU39" s="595">
        <v>5540522266</v>
      </c>
      <c r="LV39" s="595">
        <v>25111</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21.013639999999999</v>
      </c>
      <c r="ND39" s="208">
        <f t="shared" si="103"/>
        <v>2.9192642493161589</v>
      </c>
      <c r="NE39" s="209">
        <f t="shared" si="15"/>
        <v>4.1467054174377745E-2</v>
      </c>
      <c r="NF39" s="208">
        <f t="shared" si="16"/>
        <v>8.1993544429237399</v>
      </c>
      <c r="NG39" s="210"/>
      <c r="NH39" s="211">
        <f t="shared" si="104"/>
        <v>25360633050</v>
      </c>
      <c r="NI39" s="208">
        <f t="shared" si="17"/>
        <v>61344368000</v>
      </c>
      <c r="NJ39" s="212">
        <f t="shared" si="105"/>
        <v>0.28427606814018391</v>
      </c>
      <c r="NK39" s="213">
        <f t="shared" si="106"/>
        <v>0.78037220955638498</v>
      </c>
      <c r="NL39" s="214">
        <f t="shared" si="18"/>
        <v>0.95834497679229214</v>
      </c>
      <c r="NM39" s="208">
        <f t="shared" si="107"/>
        <v>0.5485791980040472</v>
      </c>
      <c r="NN39" s="208">
        <f t="shared" si="19"/>
        <v>1.2068653051065881</v>
      </c>
      <c r="NO39" s="215">
        <f t="shared" si="20"/>
        <v>1.6681960046845422E-4</v>
      </c>
      <c r="NP39" s="216">
        <f t="shared" si="108"/>
        <v>0</v>
      </c>
      <c r="NQ39" s="215">
        <f t="shared" si="109"/>
        <v>0.21793139047703045</v>
      </c>
      <c r="NR39" s="215">
        <f t="shared" si="110"/>
        <v>4.5617531005730176E-2</v>
      </c>
      <c r="NS39" s="215">
        <f t="shared" si="21"/>
        <v>2.1081145414759569E-2</v>
      </c>
      <c r="NT39" s="215">
        <f t="shared" si="22"/>
        <v>7.617002325373678E-3</v>
      </c>
      <c r="NU39" s="215">
        <f t="shared" si="23"/>
        <v>0.20700927984455347</v>
      </c>
      <c r="NV39" s="215">
        <f t="shared" si="111"/>
        <v>3.6202517676422605</v>
      </c>
      <c r="NW39" s="215">
        <f t="shared" si="24"/>
        <v>1.7892045342724043</v>
      </c>
      <c r="NX39" s="215">
        <f t="shared" si="25"/>
        <v>8.6663505398128713</v>
      </c>
      <c r="NY39" s="215">
        <f t="shared" si="26"/>
        <v>9.3676195087692401E-4</v>
      </c>
      <c r="NZ39" s="215">
        <f t="shared" si="27"/>
        <v>0.91363752586081015</v>
      </c>
      <c r="OA39" s="215">
        <f t="shared" si="28"/>
        <v>0</v>
      </c>
      <c r="OB39" s="215">
        <f t="shared" si="29"/>
        <v>0.10899040373286591</v>
      </c>
      <c r="OC39" s="215">
        <f t="shared" si="30"/>
        <v>0</v>
      </c>
      <c r="OD39" s="215">
        <f t="shared" si="31"/>
        <v>2.6622179680537648</v>
      </c>
      <c r="OE39" s="215">
        <f t="shared" si="32"/>
        <v>0.81457460725304165</v>
      </c>
      <c r="OF39" s="215">
        <f t="shared" si="33"/>
        <v>0.51854866620215356</v>
      </c>
      <c r="OG39" s="215">
        <f t="shared" si="34"/>
        <v>1.4195176750340526</v>
      </c>
      <c r="OH39" s="215">
        <f t="shared" si="35"/>
        <v>0</v>
      </c>
      <c r="OI39" s="215">
        <f t="shared" si="112"/>
        <v>21.013639999999999</v>
      </c>
      <c r="OJ39" s="218">
        <f t="shared" si="113"/>
        <v>0.22523537875934047</v>
      </c>
      <c r="OK39" s="218">
        <f t="shared" si="114"/>
        <v>0.20034498613512261</v>
      </c>
      <c r="OL39" s="218">
        <f t="shared" si="115"/>
        <v>1.5389849773338982E-2</v>
      </c>
      <c r="OM39" s="218">
        <f t="shared" si="116"/>
        <v>2.4123607386539941E-2</v>
      </c>
      <c r="ON39" s="217">
        <f t="shared" si="36"/>
        <v>0.22360700786193885</v>
      </c>
      <c r="OO39" s="210"/>
      <c r="OP39" s="210"/>
      <c r="OQ39" s="218">
        <f t="shared" si="117"/>
        <v>0.15109999957715201</v>
      </c>
      <c r="OR39" s="218">
        <f t="shared" si="118"/>
        <v>0.14875277659691014</v>
      </c>
      <c r="OS39" s="218">
        <f t="shared" si="37"/>
        <v>0.92289472762392299</v>
      </c>
      <c r="OT39" s="218">
        <f t="shared" si="38"/>
        <v>0.9981994820264054</v>
      </c>
      <c r="OU39" s="209">
        <f t="shared" si="39"/>
        <v>1.0000000004916347</v>
      </c>
      <c r="OV39" s="209">
        <f t="shared" si="40"/>
        <v>1</v>
      </c>
      <c r="OW39" s="209">
        <f t="shared" si="119"/>
        <v>9.2195756670508579E-3</v>
      </c>
      <c r="OX39" s="219">
        <f t="shared" si="41"/>
        <v>1.7231431058460899E-8</v>
      </c>
      <c r="OY39" s="208">
        <f t="shared" si="120"/>
        <v>6328074847</v>
      </c>
      <c r="OZ39" s="208">
        <f t="shared" si="42"/>
        <v>468011559</v>
      </c>
      <c r="PA39" s="209">
        <f t="shared" si="121"/>
        <v>7.3957968310358072E-2</v>
      </c>
      <c r="PB39" s="209">
        <f>IF(OR($CQ39="",$OZ39=""),"",IF($OZ39=0,0,
GuardLimitUpper(
  ($OZ39-$CQ39)/$OZ39,
  data_GuardLimitFlag,
  1)
))</f>
        <v>3.2230906929373512E-2</v>
      </c>
      <c r="PC39" s="209">
        <f t="shared" si="43"/>
        <v>0.95631368583355869</v>
      </c>
      <c r="PD39" s="209">
        <f t="shared" si="44"/>
        <v>1.1455407237067835E-2</v>
      </c>
      <c r="PE39" s="208">
        <f t="shared" si="122"/>
        <v>462513887</v>
      </c>
      <c r="PF39" s="209">
        <f t="shared" si="123"/>
        <v>7.3089193503971847E-2</v>
      </c>
      <c r="PG39" s="209">
        <f t="shared" si="45"/>
        <v>3.9372578092217642E-2</v>
      </c>
      <c r="PH39" s="209">
        <f t="shared" si="46"/>
        <v>0.96206622805484332</v>
      </c>
      <c r="PI39" s="209">
        <f t="shared" si="47"/>
        <v>0</v>
      </c>
      <c r="PJ39" s="220">
        <f t="shared" si="48"/>
        <v>6.4806439543681966E-7</v>
      </c>
      <c r="PK39" s="220">
        <f t="shared" si="49"/>
        <v>1.5802594377879046E-10</v>
      </c>
      <c r="PL39" s="221">
        <f t="shared" si="124"/>
        <v>157660000</v>
      </c>
      <c r="PM39" s="221">
        <f t="shared" si="50"/>
        <v>0</v>
      </c>
      <c r="PN39" s="221">
        <f t="shared" si="125"/>
        <v>945960000</v>
      </c>
      <c r="PO39" s="221">
        <f t="shared" si="51"/>
        <v>0</v>
      </c>
      <c r="PP39" s="221">
        <f t="shared" si="52"/>
        <v>0</v>
      </c>
      <c r="PQ39" s="529">
        <f t="shared" si="126"/>
        <v>0</v>
      </c>
      <c r="PR39" s="221">
        <f t="shared" si="53"/>
        <v>0</v>
      </c>
      <c r="PS39" s="221">
        <f t="shared" si="54"/>
        <v>3547474707</v>
      </c>
      <c r="PT39" s="221">
        <f t="shared" si="127"/>
        <v>21504000</v>
      </c>
      <c r="PU39" s="221">
        <f t="shared" si="55"/>
        <v>0</v>
      </c>
      <c r="PV39" s="221">
        <f t="shared" si="128"/>
        <v>472980000</v>
      </c>
      <c r="PW39" s="221">
        <f t="shared" si="56"/>
        <v>0</v>
      </c>
      <c r="PX39" s="221">
        <f t="shared" si="162"/>
        <v>0</v>
      </c>
      <c r="PY39" s="221">
        <f t="shared" si="57"/>
        <v>1182496140</v>
      </c>
      <c r="PZ39" s="221">
        <f t="shared" si="58"/>
        <v>0</v>
      </c>
      <c r="QA39" s="221">
        <f t="shared" si="59"/>
        <v>0</v>
      </c>
      <c r="QB39" s="221">
        <f t="shared" si="60"/>
        <v>5362040</v>
      </c>
      <c r="QC39" s="221">
        <f t="shared" si="61"/>
        <v>8</v>
      </c>
      <c r="QD39" s="221">
        <f t="shared" si="129"/>
        <v>6664786000</v>
      </c>
      <c r="QE39" s="221">
        <f t="shared" si="130"/>
        <v>6650444000</v>
      </c>
      <c r="QF39" s="221">
        <f t="shared" si="131"/>
        <v>508816000</v>
      </c>
      <c r="QG39" s="222">
        <f t="shared" si="62"/>
        <v>0</v>
      </c>
      <c r="QH39" s="222">
        <f t="shared" si="63"/>
        <v>1282822001</v>
      </c>
      <c r="QI39" s="222">
        <f t="shared" si="64"/>
        <v>329660032</v>
      </c>
      <c r="QJ39" s="222">
        <f t="shared" si="65"/>
        <v>604708788</v>
      </c>
      <c r="QK39" s="222">
        <f t="shared" si="66"/>
        <v>2017</v>
      </c>
      <c r="QL39" s="222">
        <f t="shared" si="132"/>
        <v>0</v>
      </c>
      <c r="QM39" s="222">
        <f>IF(OR($O$8="Lv2",$O$8="Lv3",$O$8="Lv4"),IF(OR($AS39="",COUNT($PL39:$QL39)=0),"",
GuardLimitLower(
  $AS39-SUM($PL39:$QL39),
  data_GuardLimitFlag,
  0)
),"")</f>
        <v>2985957317</v>
      </c>
      <c r="QN39" s="222">
        <f t="shared" si="133"/>
        <v>25360633050</v>
      </c>
      <c r="QO39" s="222">
        <f t="shared" si="134"/>
        <v>61344368000</v>
      </c>
      <c r="QP39" s="222">
        <f t="shared" si="135"/>
        <v>0</v>
      </c>
      <c r="QQ39" s="222">
        <f t="shared" si="136"/>
        <v>0</v>
      </c>
      <c r="QR39" s="222">
        <f t="shared" si="67"/>
        <v>2.7976622292614621</v>
      </c>
      <c r="QS39" s="209">
        <f t="shared" si="68"/>
        <v>0</v>
      </c>
      <c r="QT39" s="209">
        <f t="shared" si="69"/>
        <v>0.75043606129469764</v>
      </c>
      <c r="QU39" s="209">
        <f t="shared" si="70"/>
        <v>0.24956393870530238</v>
      </c>
      <c r="QV39" s="208">
        <f t="shared" si="71"/>
        <v>27797236607</v>
      </c>
      <c r="QW39" s="208">
        <f t="shared" si="72"/>
        <v>516005000</v>
      </c>
      <c r="QX39" s="208">
        <f t="shared" si="73"/>
        <v>157662009</v>
      </c>
      <c r="QY39" s="208">
        <f t="shared" si="74"/>
        <v>1017640000</v>
      </c>
      <c r="QZ39" s="208">
        <f t="shared" si="75"/>
        <v>0</v>
      </c>
      <c r="RA39" s="209">
        <f t="shared" si="137"/>
        <v>0.99999932683956094</v>
      </c>
      <c r="RB39" s="209">
        <f t="shared" si="76"/>
        <v>7.4502406603027566E-2</v>
      </c>
      <c r="RC39" s="209">
        <f t="shared" si="77"/>
        <v>0.49790341039970504</v>
      </c>
      <c r="RD39" s="209">
        <f t="shared" si="78"/>
        <v>0</v>
      </c>
      <c r="RE39" s="209">
        <f t="shared" si="79"/>
        <v>0</v>
      </c>
      <c r="RF39" s="209">
        <f t="shared" si="80"/>
        <v>0.45760078177726715</v>
      </c>
      <c r="RG39" s="209">
        <f t="shared" si="81"/>
        <v>0</v>
      </c>
      <c r="RH39" s="209">
        <f t="shared" si="82"/>
        <v>0</v>
      </c>
      <c r="RI39" s="209">
        <f t="shared" si="83"/>
        <v>4.4495807823027818E-2</v>
      </c>
      <c r="RJ39" s="134"/>
      <c r="RK39" s="134"/>
      <c r="RL39" s="134"/>
      <c r="RM39" s="134"/>
      <c r="RN39" s="134"/>
      <c r="RO39" s="134"/>
      <c r="RP39" s="134"/>
      <c r="RQ39" s="134"/>
      <c r="RR39" s="222">
        <f t="shared" si="84"/>
        <v>1.9142333790813966</v>
      </c>
      <c r="RS39" s="224"/>
      <c r="RT39" s="224"/>
      <c r="RU39" s="208">
        <f t="shared" si="138"/>
        <v>21.013639999999999</v>
      </c>
      <c r="RV39" s="208">
        <f t="shared" si="139"/>
        <v>1</v>
      </c>
      <c r="RW39" s="208">
        <f t="shared" si="140"/>
        <v>1.0002523013041495</v>
      </c>
      <c r="RX39" s="208">
        <f t="shared" si="141"/>
        <v>0.99991391272418939</v>
      </c>
      <c r="RY39" s="208">
        <f t="shared" si="142"/>
        <v>0.99999839027605908</v>
      </c>
      <c r="RZ39" s="208">
        <f t="shared" si="85"/>
        <v>1.0000456600098304</v>
      </c>
      <c r="SA39" s="208">
        <f t="shared" si="86"/>
        <v>1.0001365115856995</v>
      </c>
      <c r="SB39" s="208">
        <f t="shared" si="87"/>
        <v>1.0000331976658219</v>
      </c>
      <c r="SC39" s="208">
        <f t="shared" si="88"/>
        <v>0.99999378684672857</v>
      </c>
      <c r="SD39" s="208">
        <f t="shared" si="89"/>
        <v>0.99993335292524366</v>
      </c>
      <c r="SE39" s="208">
        <f t="shared" si="90"/>
        <v>1.0001335302316861</v>
      </c>
      <c r="SF39" s="208">
        <f t="shared" si="91"/>
        <v>1.0000464984973954</v>
      </c>
      <c r="SG39" s="208">
        <f t="shared" si="92"/>
        <v>1.0005635118378227</v>
      </c>
      <c r="SH39" s="208">
        <f t="shared" si="93"/>
        <v>1.0002907300698556</v>
      </c>
      <c r="SI39" s="208">
        <f t="shared" si="94"/>
        <v>1.0001579763309105</v>
      </c>
      <c r="SJ39" s="208">
        <f t="shared" si="95"/>
        <v>1.0001683109286321</v>
      </c>
      <c r="SK39" s="208">
        <f t="shared" si="96"/>
        <v>1.0001822038259163</v>
      </c>
      <c r="SL39" s="208">
        <f t="shared" si="97"/>
        <v>0.99997660731526683</v>
      </c>
      <c r="SM39" s="222">
        <f t="shared" si="143"/>
        <v>1</v>
      </c>
      <c r="SN39" s="225">
        <f t="shared" si="98"/>
        <v>21.013639999999999</v>
      </c>
      <c r="SO39" s="209">
        <f t="shared" si="144"/>
        <v>0.9971179107014071</v>
      </c>
      <c r="SP39" s="209">
        <f t="shared" si="145"/>
        <v>0.9999993858989874</v>
      </c>
      <c r="SQ39" s="222">
        <f t="shared" si="146"/>
        <v>46229665912</v>
      </c>
      <c r="SR39" s="222">
        <f t="shared" si="147"/>
        <v>46241329717</v>
      </c>
      <c r="SS39" s="222">
        <f t="shared" si="148"/>
        <v>46225686126</v>
      </c>
      <c r="ST39" s="222">
        <f t="shared" si="149"/>
        <v>46229591495</v>
      </c>
      <c r="SU39" s="222">
        <f t="shared" si="150"/>
        <v>46231776759</v>
      </c>
      <c r="SV39" s="222">
        <f t="shared" si="151"/>
        <v>46235976797</v>
      </c>
      <c r="SW39" s="222">
        <f t="shared" si="152"/>
        <v>46231200629</v>
      </c>
      <c r="SX39" s="222">
        <f t="shared" si="153"/>
        <v>46229378680</v>
      </c>
      <c r="SY39" s="222">
        <f t="shared" si="154"/>
        <v>46226584840</v>
      </c>
      <c r="SZ39" s="222">
        <f t="shared" si="155"/>
        <v>46235838970</v>
      </c>
      <c r="TA39" s="222">
        <f t="shared" si="156"/>
        <v>46231815522</v>
      </c>
      <c r="TB39" s="222">
        <f t="shared" si="157"/>
        <v>46255716876</v>
      </c>
      <c r="TC39" s="222">
        <f t="shared" si="99"/>
        <v>46243106266</v>
      </c>
      <c r="TD39" s="222">
        <f t="shared" si="158"/>
        <v>46236969105</v>
      </c>
      <c r="TE39" s="222">
        <f t="shared" si="159"/>
        <v>46237446870</v>
      </c>
      <c r="TF39" s="222">
        <f t="shared" si="160"/>
        <v>46238089134</v>
      </c>
      <c r="TG39" s="222">
        <f t="shared" si="161"/>
        <v>46228584476</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x14ac:dyDescent="0.25">
      <c r="AB40" s="254">
        <v>10</v>
      </c>
      <c r="AC40" s="430" t="s">
        <v>1974</v>
      </c>
      <c r="AD40" s="430" t="s">
        <v>1964</v>
      </c>
      <c r="AE40" s="430">
        <v>0</v>
      </c>
      <c r="AF40" s="430">
        <v>0</v>
      </c>
      <c r="AG40" s="430">
        <v>10</v>
      </c>
      <c r="AH40" s="430" t="s">
        <v>1975</v>
      </c>
      <c r="AI40" s="430">
        <v>1</v>
      </c>
      <c r="AJ40" s="430">
        <v>1</v>
      </c>
      <c r="AK40" s="594">
        <v>2105956416</v>
      </c>
      <c r="AL40" s="594">
        <v>46330688263</v>
      </c>
      <c r="AM40" s="430">
        <v>11967860000</v>
      </c>
      <c r="AN40" s="430">
        <v>13472928000</v>
      </c>
      <c r="AO40" s="430">
        <v>467291498</v>
      </c>
      <c r="AP40" s="430">
        <v>209925332</v>
      </c>
      <c r="AQ40" s="595">
        <v>3867016</v>
      </c>
      <c r="AR40" s="595">
        <v>1118169</v>
      </c>
      <c r="AS40" s="594">
        <v>25360637869</v>
      </c>
      <c r="AT40" s="594">
        <v>7209421049</v>
      </c>
      <c r="AU40" s="430" t="s">
        <v>1974</v>
      </c>
      <c r="AV40" s="430" t="s">
        <v>1964</v>
      </c>
      <c r="AW40" s="430">
        <v>0</v>
      </c>
      <c r="AX40" s="430">
        <v>0</v>
      </c>
      <c r="AY40" s="430">
        <v>10</v>
      </c>
      <c r="AZ40" s="430" t="s">
        <v>1975</v>
      </c>
      <c r="BA40" s="430">
        <v>1</v>
      </c>
      <c r="BB40" s="430">
        <v>1</v>
      </c>
      <c r="BC40" s="430">
        <v>2105647232</v>
      </c>
      <c r="BD40" s="430">
        <v>46323964254</v>
      </c>
      <c r="BE40" s="430">
        <v>34409515804</v>
      </c>
      <c r="BF40" s="595">
        <v>5857184060</v>
      </c>
      <c r="BG40" s="430">
        <v>9152831304</v>
      </c>
      <c r="BH40" s="595">
        <v>327876</v>
      </c>
      <c r="BI40" s="430">
        <v>23004910477</v>
      </c>
      <c r="BJ40" s="430">
        <v>239794561</v>
      </c>
      <c r="BK40" s="430">
        <v>0</v>
      </c>
      <c r="BL40" s="430">
        <v>0</v>
      </c>
      <c r="BM40" s="430" t="s">
        <v>1974</v>
      </c>
      <c r="BN40" s="430" t="s">
        <v>1964</v>
      </c>
      <c r="BO40" s="430">
        <v>0</v>
      </c>
      <c r="BP40" s="430">
        <v>0</v>
      </c>
      <c r="BQ40" s="430">
        <v>10</v>
      </c>
      <c r="BR40" s="430" t="s">
        <v>1975</v>
      </c>
      <c r="BS40" s="430">
        <v>1</v>
      </c>
      <c r="BT40" s="430">
        <v>1</v>
      </c>
      <c r="BU40" s="430">
        <v>2105872288</v>
      </c>
      <c r="BV40" s="430">
        <v>46328588364</v>
      </c>
      <c r="BW40" s="594">
        <v>9069100823</v>
      </c>
      <c r="BX40" s="594">
        <v>11612430573</v>
      </c>
      <c r="BY40" s="430">
        <v>21714531721</v>
      </c>
      <c r="BZ40" s="430">
        <v>426753692</v>
      </c>
      <c r="CA40" s="430">
        <v>10411759020</v>
      </c>
      <c r="CB40" s="430">
        <v>153747788752</v>
      </c>
      <c r="CC40" s="430">
        <v>9260956658</v>
      </c>
      <c r="CD40" s="430">
        <v>147908661034</v>
      </c>
      <c r="CE40" s="430" t="s">
        <v>1974</v>
      </c>
      <c r="CF40" s="430" t="s">
        <v>1964</v>
      </c>
      <c r="CG40" s="430">
        <v>0</v>
      </c>
      <c r="CH40" s="430">
        <v>0</v>
      </c>
      <c r="CI40" s="430">
        <v>10</v>
      </c>
      <c r="CJ40" s="430" t="s">
        <v>1975</v>
      </c>
      <c r="CK40" s="430">
        <v>1</v>
      </c>
      <c r="CL40" s="430">
        <v>1</v>
      </c>
      <c r="CM40" s="430">
        <v>2105142432</v>
      </c>
      <c r="CN40" s="430">
        <v>46312939423</v>
      </c>
      <c r="CO40" s="430">
        <v>3868423</v>
      </c>
      <c r="CP40" s="430">
        <v>467649166</v>
      </c>
      <c r="CQ40" s="430">
        <v>452133505</v>
      </c>
      <c r="CR40" s="430">
        <v>467107991</v>
      </c>
      <c r="CS40" s="430">
        <v>21503582</v>
      </c>
      <c r="CT40" s="430">
        <v>945960000</v>
      </c>
      <c r="CU40" s="430">
        <v>472980000</v>
      </c>
      <c r="CV40" s="430">
        <v>1109603</v>
      </c>
      <c r="CW40" s="430" t="s">
        <v>1974</v>
      </c>
      <c r="CX40" s="430" t="s">
        <v>1964</v>
      </c>
      <c r="CY40" s="430">
        <v>0</v>
      </c>
      <c r="CZ40" s="430">
        <v>0</v>
      </c>
      <c r="DA40" s="430">
        <v>10</v>
      </c>
      <c r="DB40" s="430" t="s">
        <v>1975</v>
      </c>
      <c r="DC40" s="430">
        <v>1</v>
      </c>
      <c r="DD40" s="430">
        <v>1</v>
      </c>
      <c r="DE40" s="430">
        <v>2106069600</v>
      </c>
      <c r="DF40" s="430">
        <v>46333331557</v>
      </c>
      <c r="DG40" s="430">
        <v>13824046000</v>
      </c>
      <c r="DH40" s="430">
        <v>6650444000</v>
      </c>
      <c r="DI40" s="430">
        <v>508816000</v>
      </c>
      <c r="DJ40" s="430">
        <v>4651095629</v>
      </c>
      <c r="DK40" s="430">
        <v>1676980411</v>
      </c>
      <c r="DL40" s="430">
        <v>4170875019</v>
      </c>
      <c r="DM40" s="430">
        <v>1676958019</v>
      </c>
      <c r="DN40" s="430">
        <v>5362040</v>
      </c>
      <c r="DO40" s="595" t="s">
        <v>1974</v>
      </c>
      <c r="DP40" s="595" t="s">
        <v>1964</v>
      </c>
      <c r="DQ40" s="595">
        <v>0</v>
      </c>
      <c r="DR40" s="595">
        <v>0</v>
      </c>
      <c r="DS40" s="595">
        <v>10</v>
      </c>
      <c r="DT40" s="595" t="s">
        <v>1975</v>
      </c>
      <c r="DU40" s="595">
        <v>1</v>
      </c>
      <c r="DV40" s="595">
        <v>1</v>
      </c>
      <c r="DW40" s="595">
        <v>2105491328</v>
      </c>
      <c r="DX40" s="595">
        <v>46320582386</v>
      </c>
      <c r="DY40" s="595">
        <v>539665068</v>
      </c>
      <c r="DZ40" s="595">
        <v>509125684</v>
      </c>
      <c r="EA40" s="595">
        <v>44975754</v>
      </c>
      <c r="EB40" s="430">
        <v>660164332</v>
      </c>
      <c r="EC40" s="595">
        <v>477910912</v>
      </c>
      <c r="ED40" s="595">
        <v>0</v>
      </c>
      <c r="EE40" s="595">
        <v>0</v>
      </c>
      <c r="EF40" s="595">
        <v>19068476440</v>
      </c>
      <c r="EG40" s="595" t="s">
        <v>1974</v>
      </c>
      <c r="EH40" s="595" t="s">
        <v>1964</v>
      </c>
      <c r="EI40" s="595">
        <v>0</v>
      </c>
      <c r="EJ40" s="595">
        <v>0</v>
      </c>
      <c r="EK40" s="595">
        <v>10</v>
      </c>
      <c r="EL40" s="595" t="s">
        <v>1975</v>
      </c>
      <c r="EM40" s="595">
        <v>1</v>
      </c>
      <c r="EN40" s="595">
        <v>1</v>
      </c>
      <c r="EO40" s="595">
        <v>2105540832</v>
      </c>
      <c r="EP40" s="595">
        <v>46321693734</v>
      </c>
      <c r="EQ40" s="595">
        <v>1792206001</v>
      </c>
      <c r="ER40" s="595">
        <v>1141010563</v>
      </c>
      <c r="ES40" s="430">
        <v>3124058136</v>
      </c>
      <c r="ET40" s="595">
        <v>2023869</v>
      </c>
      <c r="EU40" s="595">
        <v>11967860000</v>
      </c>
      <c r="EV40" s="595">
        <v>0</v>
      </c>
      <c r="EW40" s="595">
        <v>13472928000</v>
      </c>
      <c r="EX40" s="595">
        <v>0</v>
      </c>
      <c r="EY40" s="595" t="s">
        <v>1974</v>
      </c>
      <c r="EZ40" s="595" t="s">
        <v>1964</v>
      </c>
      <c r="FA40" s="595">
        <v>0</v>
      </c>
      <c r="FB40" s="595">
        <v>0</v>
      </c>
      <c r="FC40" s="595">
        <v>10</v>
      </c>
      <c r="FD40" s="595" t="s">
        <v>1975</v>
      </c>
      <c r="FE40" s="595">
        <v>1</v>
      </c>
      <c r="FF40" s="595">
        <v>1</v>
      </c>
      <c r="FG40" s="595">
        <v>2105551680</v>
      </c>
      <c r="FH40" s="595">
        <v>46321913363</v>
      </c>
      <c r="FI40" s="595">
        <v>2019</v>
      </c>
      <c r="FJ40" s="595">
        <v>5037838984</v>
      </c>
      <c r="FK40" s="595">
        <v>1560444625</v>
      </c>
      <c r="FL40" s="595">
        <v>613448437</v>
      </c>
      <c r="FM40" s="595">
        <v>6985070454</v>
      </c>
      <c r="FN40" s="595">
        <v>6876837185</v>
      </c>
      <c r="FO40" s="430">
        <v>711390863</v>
      </c>
      <c r="FP40" s="430">
        <v>1115397121</v>
      </c>
      <c r="FQ40" s="595" t="s">
        <v>1974</v>
      </c>
      <c r="FR40" s="595" t="s">
        <v>1964</v>
      </c>
      <c r="FS40" s="595">
        <v>0</v>
      </c>
      <c r="FT40" s="595">
        <v>0</v>
      </c>
      <c r="FU40" s="595">
        <v>10</v>
      </c>
      <c r="FV40" s="595" t="s">
        <v>1975</v>
      </c>
      <c r="FW40" s="595">
        <v>1</v>
      </c>
      <c r="FX40" s="595">
        <v>1</v>
      </c>
      <c r="FY40" s="595">
        <v>2105746208</v>
      </c>
      <c r="FZ40" s="595">
        <v>46326240112</v>
      </c>
      <c r="GA40" s="595">
        <v>452134677</v>
      </c>
      <c r="GB40" s="595">
        <v>446772000</v>
      </c>
      <c r="GC40" s="595">
        <v>445724033</v>
      </c>
      <c r="GD40" s="595">
        <v>445724033</v>
      </c>
      <c r="GE40" s="595">
        <v>4447</v>
      </c>
      <c r="GF40" s="595">
        <v>1</v>
      </c>
      <c r="GG40" s="595">
        <v>415</v>
      </c>
      <c r="GH40" s="595">
        <v>1132858</v>
      </c>
      <c r="GI40" s="595" t="s">
        <v>1974</v>
      </c>
      <c r="GJ40" s="595" t="s">
        <v>1964</v>
      </c>
      <c r="GK40" s="595">
        <v>0</v>
      </c>
      <c r="GL40" s="595">
        <v>0</v>
      </c>
      <c r="GM40" s="595">
        <v>10</v>
      </c>
      <c r="GN40" s="595" t="s">
        <v>1975</v>
      </c>
      <c r="GO40" s="595">
        <v>1</v>
      </c>
      <c r="GP40" s="595">
        <v>1</v>
      </c>
      <c r="GQ40" s="595">
        <v>2105376896</v>
      </c>
      <c r="GR40" s="595">
        <v>46318097605</v>
      </c>
      <c r="GS40" s="595">
        <v>0</v>
      </c>
      <c r="GT40" s="595">
        <v>0</v>
      </c>
      <c r="GU40" s="595">
        <v>0</v>
      </c>
      <c r="GV40" s="595">
        <v>0</v>
      </c>
      <c r="GW40" s="595">
        <v>0</v>
      </c>
      <c r="GX40" s="595">
        <v>8</v>
      </c>
      <c r="GY40" s="595">
        <v>329660032</v>
      </c>
      <c r="GZ40" s="595">
        <v>604708947</v>
      </c>
      <c r="HA40" s="595" t="s">
        <v>1974</v>
      </c>
      <c r="HB40" s="595" t="s">
        <v>1964</v>
      </c>
      <c r="HC40" s="595">
        <v>0</v>
      </c>
      <c r="HD40" s="595">
        <v>0</v>
      </c>
      <c r="HE40" s="595">
        <v>10</v>
      </c>
      <c r="HF40" s="595" t="s">
        <v>1975</v>
      </c>
      <c r="HG40" s="595">
        <v>1</v>
      </c>
      <c r="HH40" s="595">
        <v>1</v>
      </c>
      <c r="HI40" s="595">
        <v>2105594112</v>
      </c>
      <c r="HJ40" s="595">
        <v>46322890798</v>
      </c>
      <c r="HK40" s="595">
        <v>0</v>
      </c>
      <c r="HL40" s="595">
        <v>0</v>
      </c>
      <c r="HM40" s="595">
        <v>0</v>
      </c>
      <c r="HN40" s="595">
        <v>1282822001</v>
      </c>
      <c r="HO40" s="595">
        <v>1182474009</v>
      </c>
      <c r="HP40" s="595">
        <v>2017</v>
      </c>
      <c r="HQ40" s="595">
        <v>3067255009</v>
      </c>
      <c r="HR40" s="595">
        <v>0</v>
      </c>
      <c r="HS40" s="595" t="s">
        <v>1974</v>
      </c>
      <c r="HT40" s="595" t="s">
        <v>1964</v>
      </c>
      <c r="HU40" s="595">
        <v>0</v>
      </c>
      <c r="HV40" s="595">
        <v>0</v>
      </c>
      <c r="HW40" s="595">
        <v>10</v>
      </c>
      <c r="HX40" s="595" t="s">
        <v>1975</v>
      </c>
      <c r="HY40" s="595">
        <v>1</v>
      </c>
      <c r="HZ40" s="595">
        <v>1</v>
      </c>
      <c r="IA40" s="595">
        <v>2107098080</v>
      </c>
      <c r="IB40" s="595">
        <v>46355871820</v>
      </c>
      <c r="IC40" s="595">
        <v>27797236490</v>
      </c>
      <c r="ID40" s="595">
        <v>680300895</v>
      </c>
      <c r="IE40" s="595">
        <v>0</v>
      </c>
      <c r="IF40" s="595">
        <v>27797217826</v>
      </c>
      <c r="IG40" s="595">
        <v>45058699</v>
      </c>
      <c r="IH40" s="595">
        <v>604720115</v>
      </c>
      <c r="II40" s="595">
        <v>0</v>
      </c>
      <c r="IJ40" s="595">
        <v>0</v>
      </c>
      <c r="IK40" s="595" t="s">
        <v>1974</v>
      </c>
      <c r="IL40" s="595" t="s">
        <v>1964</v>
      </c>
      <c r="IM40" s="595">
        <v>0</v>
      </c>
      <c r="IN40" s="595">
        <v>0</v>
      </c>
      <c r="IO40" s="595">
        <v>10</v>
      </c>
      <c r="IP40" s="595" t="s">
        <v>1975</v>
      </c>
      <c r="IQ40" s="595">
        <v>1</v>
      </c>
      <c r="IR40" s="595">
        <v>1</v>
      </c>
      <c r="IS40" s="595">
        <v>2106954752</v>
      </c>
      <c r="IT40" s="595">
        <v>46352812971</v>
      </c>
      <c r="IU40" s="595">
        <v>0</v>
      </c>
      <c r="IV40" s="595">
        <v>0</v>
      </c>
      <c r="IW40" s="595">
        <v>1017640000</v>
      </c>
      <c r="IX40" s="595">
        <v>0</v>
      </c>
      <c r="IY40" s="595">
        <v>516005000</v>
      </c>
      <c r="IZ40" s="595">
        <v>157662009</v>
      </c>
      <c r="JA40" s="595">
        <v>0</v>
      </c>
      <c r="JB40" s="595">
        <v>0</v>
      </c>
      <c r="JC40" s="595" t="s">
        <v>1974</v>
      </c>
      <c r="JD40" s="595" t="s">
        <v>1964</v>
      </c>
      <c r="JE40" s="595">
        <v>0</v>
      </c>
      <c r="JF40" s="595">
        <v>0</v>
      </c>
      <c r="JG40" s="595">
        <v>10</v>
      </c>
      <c r="JH40" s="595" t="s">
        <v>1975</v>
      </c>
      <c r="JI40" s="595">
        <v>1</v>
      </c>
      <c r="JJ40" s="595">
        <v>1</v>
      </c>
      <c r="JK40" s="595">
        <v>2105865056</v>
      </c>
      <c r="JL40" s="595">
        <v>46328859183</v>
      </c>
      <c r="JM40" s="595">
        <v>447663981</v>
      </c>
      <c r="JN40" s="595">
        <v>0</v>
      </c>
      <c r="JO40" s="595">
        <v>0</v>
      </c>
      <c r="JP40" s="595">
        <v>412038327</v>
      </c>
      <c r="JQ40" s="595">
        <v>0</v>
      </c>
      <c r="JR40" s="595">
        <v>0</v>
      </c>
      <c r="JS40" s="595">
        <v>40545234</v>
      </c>
      <c r="JT40" s="595">
        <v>0</v>
      </c>
      <c r="JU40" s="595" t="s">
        <v>1974</v>
      </c>
      <c r="JV40" s="595" t="s">
        <v>1964</v>
      </c>
      <c r="JW40" s="595">
        <v>0</v>
      </c>
      <c r="JX40" s="595">
        <v>0</v>
      </c>
      <c r="JY40" s="595">
        <v>10</v>
      </c>
      <c r="JZ40" s="595" t="s">
        <v>1975</v>
      </c>
      <c r="KA40" s="595">
        <v>1</v>
      </c>
      <c r="KB40" s="595">
        <v>1</v>
      </c>
      <c r="KC40" s="595">
        <v>2106098400</v>
      </c>
      <c r="KD40" s="595">
        <v>46333811259</v>
      </c>
      <c r="KE40" s="595">
        <v>0</v>
      </c>
      <c r="KF40" s="595">
        <v>2839530100</v>
      </c>
      <c r="KG40" s="595">
        <v>944310056</v>
      </c>
      <c r="KH40" s="595">
        <v>65078235040</v>
      </c>
      <c r="KI40" s="595">
        <v>47249799152</v>
      </c>
      <c r="KJ40" s="595">
        <v>4067389688</v>
      </c>
      <c r="KK40" s="595">
        <v>2953112447</v>
      </c>
      <c r="KL40" s="595">
        <v>0</v>
      </c>
      <c r="KM40" s="595" t="s">
        <v>1974</v>
      </c>
      <c r="KN40" s="595" t="s">
        <v>1964</v>
      </c>
      <c r="KO40" s="595">
        <v>0</v>
      </c>
      <c r="KP40" s="595">
        <v>0</v>
      </c>
      <c r="KQ40" s="595">
        <v>10</v>
      </c>
      <c r="KR40" s="595" t="s">
        <v>1975</v>
      </c>
      <c r="KS40" s="595">
        <v>1</v>
      </c>
      <c r="KT40" s="595">
        <v>1</v>
      </c>
      <c r="KU40" s="595">
        <v>2105609344</v>
      </c>
      <c r="KV40" s="595">
        <v>46323189822</v>
      </c>
      <c r="KW40" s="595">
        <v>5602606195</v>
      </c>
      <c r="KX40" s="595">
        <v>44844117</v>
      </c>
      <c r="KY40" s="595">
        <v>10945561</v>
      </c>
      <c r="KZ40" s="595">
        <v>25360575379</v>
      </c>
      <c r="LA40" s="595">
        <v>2508016202</v>
      </c>
      <c r="LB40" s="595">
        <v>225778</v>
      </c>
      <c r="LC40" s="595">
        <v>13288</v>
      </c>
      <c r="LD40" s="595">
        <v>14759</v>
      </c>
      <c r="LE40" s="595" t="s">
        <v>1974</v>
      </c>
      <c r="LF40" s="595" t="s">
        <v>1964</v>
      </c>
      <c r="LG40" s="595">
        <v>0</v>
      </c>
      <c r="LH40" s="595">
        <v>0</v>
      </c>
      <c r="LI40" s="595">
        <v>10</v>
      </c>
      <c r="LJ40" s="595" t="s">
        <v>1975</v>
      </c>
      <c r="LK40" s="595">
        <v>1</v>
      </c>
      <c r="LL40" s="595">
        <v>1</v>
      </c>
      <c r="LM40" s="595">
        <v>2105581408</v>
      </c>
      <c r="LN40" s="595">
        <v>46322572858</v>
      </c>
      <c r="LO40" s="595">
        <v>5548103662</v>
      </c>
      <c r="LP40" s="595">
        <v>618</v>
      </c>
      <c r="LQ40" s="595">
        <v>0</v>
      </c>
      <c r="LR40" s="595">
        <v>2508173774</v>
      </c>
      <c r="LS40" s="595">
        <v>68</v>
      </c>
      <c r="LT40" s="595">
        <v>0</v>
      </c>
      <c r="LU40" s="595">
        <v>5547974934</v>
      </c>
      <c r="LV40" s="595">
        <v>25140</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21.059564160000001</v>
      </c>
      <c r="ND40" s="208">
        <f t="shared" si="103"/>
        <v>2.9128982695907797</v>
      </c>
      <c r="NE40" s="209">
        <f t="shared" si="15"/>
        <v>4.137662781910445E-2</v>
      </c>
      <c r="NF40" s="208">
        <f t="shared" si="16"/>
        <v>8.1716458998171397</v>
      </c>
      <c r="NG40" s="210"/>
      <c r="NH40" s="211">
        <f t="shared" si="104"/>
        <v>25360637869</v>
      </c>
      <c r="NI40" s="208">
        <f t="shared" si="17"/>
        <v>61344368000</v>
      </c>
      <c r="NJ40" s="212">
        <f t="shared" si="105"/>
        <v>0.28427601412236386</v>
      </c>
      <c r="NK40" s="213">
        <f t="shared" si="106"/>
        <v>0.78037220955638498</v>
      </c>
      <c r="NL40" s="214">
        <f t="shared" si="18"/>
        <v>0.95835920267525154</v>
      </c>
      <c r="NM40" s="208">
        <f t="shared" si="107"/>
        <v>0.54738314537954269</v>
      </c>
      <c r="NN40" s="208">
        <f t="shared" si="19"/>
        <v>1.204233747494611</v>
      </c>
      <c r="NO40" s="215">
        <f t="shared" si="20"/>
        <v>1.4905731341695202E-4</v>
      </c>
      <c r="NP40" s="216">
        <f t="shared" si="108"/>
        <v>0</v>
      </c>
      <c r="NQ40" s="215">
        <f t="shared" si="109"/>
        <v>0.2172654192297252</v>
      </c>
      <c r="NR40" s="215">
        <f t="shared" si="110"/>
        <v>8.2855119454462639E-2</v>
      </c>
      <c r="NS40" s="215">
        <f t="shared" si="21"/>
        <v>2.0446647696512502E-2</v>
      </c>
      <c r="NT40" s="215">
        <f t="shared" si="22"/>
        <v>7.6277114688163049E-3</v>
      </c>
      <c r="NU40" s="215">
        <f t="shared" si="23"/>
        <v>0.21100947183833629</v>
      </c>
      <c r="NV40" s="215">
        <f t="shared" si="111"/>
        <v>3.6216600181207204</v>
      </c>
      <c r="NW40" s="215">
        <f t="shared" si="24"/>
        <v>1.7895615476529747</v>
      </c>
      <c r="NX40" s="215">
        <f t="shared" si="25"/>
        <v>8.6688134206250105</v>
      </c>
      <c r="NY40" s="215">
        <f t="shared" si="26"/>
        <v>9.2008099357029276E-4</v>
      </c>
      <c r="NZ40" s="215">
        <f t="shared" si="27"/>
        <v>0.91375575150348509</v>
      </c>
      <c r="OA40" s="215">
        <f t="shared" si="28"/>
        <v>0</v>
      </c>
      <c r="OB40" s="215">
        <f t="shared" si="29"/>
        <v>0.10901417924659755</v>
      </c>
      <c r="OC40" s="215">
        <f t="shared" si="30"/>
        <v>0</v>
      </c>
      <c r="OD40" s="215">
        <f t="shared" si="31"/>
        <v>2.6627631182892175</v>
      </c>
      <c r="OE40" s="215">
        <f t="shared" si="32"/>
        <v>0.81476354353108871</v>
      </c>
      <c r="OF40" s="215">
        <f t="shared" si="33"/>
        <v>0.51872039765382005</v>
      </c>
      <c r="OG40" s="215">
        <f t="shared" si="34"/>
        <v>1.4202433624618178</v>
      </c>
      <c r="OH40" s="215">
        <f t="shared" si="35"/>
        <v>0</v>
      </c>
      <c r="OI40" s="215">
        <f t="shared" si="112"/>
        <v>21.059564160000001</v>
      </c>
      <c r="OJ40" s="218">
        <f t="shared" si="113"/>
        <v>0.22473723866126991</v>
      </c>
      <c r="OK40" s="218">
        <f t="shared" si="114"/>
        <v>0.19989723376066215</v>
      </c>
      <c r="OL40" s="218">
        <f t="shared" si="115"/>
        <v>1.53575448713703E-2</v>
      </c>
      <c r="OM40" s="218">
        <f t="shared" si="116"/>
        <v>2.4079254072672491E-2</v>
      </c>
      <c r="ON40" s="217">
        <f t="shared" si="36"/>
        <v>0.22320485175920823</v>
      </c>
      <c r="OO40" s="210"/>
      <c r="OP40" s="210"/>
      <c r="OQ40" s="218">
        <f t="shared" si="117"/>
        <v>0.15079408312134579</v>
      </c>
      <c r="OR40" s="218">
        <f t="shared" si="118"/>
        <v>0.14845753738862025</v>
      </c>
      <c r="OS40" s="218">
        <f t="shared" si="37"/>
        <v>0.92292155230845907</v>
      </c>
      <c r="OT40" s="218">
        <f t="shared" si="38"/>
        <v>0.99820047280314139</v>
      </c>
      <c r="OU40" s="209">
        <f t="shared" si="39"/>
        <v>1.0000000004917158</v>
      </c>
      <c r="OV40" s="209">
        <f t="shared" si="40"/>
        <v>1</v>
      </c>
      <c r="OW40" s="209">
        <f t="shared" si="119"/>
        <v>9.2114546777689512E-3</v>
      </c>
      <c r="OX40" s="219">
        <f t="shared" si="41"/>
        <v>1.636394171722637E-8</v>
      </c>
      <c r="OY40" s="208">
        <f t="shared" si="120"/>
        <v>6328076040</v>
      </c>
      <c r="OZ40" s="208">
        <f t="shared" si="42"/>
        <v>467649166</v>
      </c>
      <c r="PA40" s="209">
        <f t="shared" si="121"/>
        <v>7.3900686882390876E-2</v>
      </c>
      <c r="PB40" s="209">
        <f>IF(OR($CQ40="",$OZ40=""),"",IF($OZ40=0,0,
GuardLimitUpper(
  ($OZ40-$CQ40)/$OZ40,
  data_GuardLimitFlag,
  1)
))</f>
        <v>3.3177993521750451E-2</v>
      </c>
      <c r="PC40" s="209">
        <f t="shared" si="43"/>
        <v>0.95535720467851748</v>
      </c>
      <c r="PD40" s="209">
        <f t="shared" si="44"/>
        <v>1.1464801799732067E-2</v>
      </c>
      <c r="PE40" s="208">
        <f t="shared" si="122"/>
        <v>462306313</v>
      </c>
      <c r="PF40" s="209">
        <f t="shared" si="123"/>
        <v>7.3056377653767893E-2</v>
      </c>
      <c r="PG40" s="209">
        <f t="shared" si="45"/>
        <v>3.8152648827662859E-2</v>
      </c>
      <c r="PH40" s="209">
        <f t="shared" si="46"/>
        <v>0.9642982240817114</v>
      </c>
      <c r="PI40" s="209">
        <f t="shared" si="47"/>
        <v>0</v>
      </c>
      <c r="PJ40" s="220">
        <f t="shared" si="48"/>
        <v>7.0274123950002351E-7</v>
      </c>
      <c r="PK40" s="220">
        <f t="shared" si="49"/>
        <v>1.5802591398696278E-10</v>
      </c>
      <c r="PL40" s="221">
        <f t="shared" si="124"/>
        <v>157660010</v>
      </c>
      <c r="PM40" s="221">
        <f t="shared" si="50"/>
        <v>0</v>
      </c>
      <c r="PN40" s="221">
        <f t="shared" si="125"/>
        <v>945960000</v>
      </c>
      <c r="PO40" s="221">
        <f t="shared" si="51"/>
        <v>0</v>
      </c>
      <c r="PP40" s="221">
        <f t="shared" si="52"/>
        <v>0</v>
      </c>
      <c r="PQ40" s="529">
        <f t="shared" si="126"/>
        <v>0</v>
      </c>
      <c r="PR40" s="221">
        <f t="shared" si="53"/>
        <v>0</v>
      </c>
      <c r="PS40" s="221">
        <f t="shared" si="54"/>
        <v>3547475619</v>
      </c>
      <c r="PT40" s="221">
        <f t="shared" si="127"/>
        <v>21504010</v>
      </c>
      <c r="PU40" s="221">
        <f t="shared" si="55"/>
        <v>0</v>
      </c>
      <c r="PV40" s="221">
        <f t="shared" si="128"/>
        <v>472980000</v>
      </c>
      <c r="PW40" s="221">
        <f t="shared" si="56"/>
        <v>0</v>
      </c>
      <c r="PX40" s="221">
        <f t="shared" si="162"/>
        <v>0</v>
      </c>
      <c r="PY40" s="221">
        <f t="shared" si="57"/>
        <v>1182496401</v>
      </c>
      <c r="PZ40" s="221">
        <f t="shared" si="58"/>
        <v>0</v>
      </c>
      <c r="QA40" s="221">
        <f t="shared" si="59"/>
        <v>0</v>
      </c>
      <c r="QB40" s="221">
        <f t="shared" si="60"/>
        <v>5362040</v>
      </c>
      <c r="QC40" s="221">
        <f t="shared" si="61"/>
        <v>8</v>
      </c>
      <c r="QD40" s="221">
        <f t="shared" si="129"/>
        <v>6664786000</v>
      </c>
      <c r="QE40" s="221">
        <f t="shared" si="130"/>
        <v>6650444000</v>
      </c>
      <c r="QF40" s="221">
        <f t="shared" si="131"/>
        <v>508816000</v>
      </c>
      <c r="QG40" s="222">
        <f t="shared" si="62"/>
        <v>0</v>
      </c>
      <c r="QH40" s="222">
        <f t="shared" si="63"/>
        <v>1282822001</v>
      </c>
      <c r="QI40" s="222">
        <f t="shared" si="64"/>
        <v>329660032</v>
      </c>
      <c r="QJ40" s="222">
        <f t="shared" si="65"/>
        <v>604708947</v>
      </c>
      <c r="QK40" s="222">
        <f t="shared" si="66"/>
        <v>2017</v>
      </c>
      <c r="QL40" s="222">
        <f t="shared" si="132"/>
        <v>0</v>
      </c>
      <c r="QM40" s="222">
        <f>IF(OR($O$8="Lv2",$O$8="Lv3",$O$8="Lv4"),IF(OR($AS40="",COUNT($PL40:$QL40)=0),"",
GuardLimitLower(
  $AS40-SUM($PL40:$QL40),
  data_GuardLimitFlag,
  0)
),"")</f>
        <v>2985960784</v>
      </c>
      <c r="QN40" s="222">
        <f t="shared" si="133"/>
        <v>25360637869</v>
      </c>
      <c r="QO40" s="222">
        <f t="shared" si="134"/>
        <v>61344368000</v>
      </c>
      <c r="QP40" s="222">
        <f t="shared" si="135"/>
        <v>0</v>
      </c>
      <c r="QQ40" s="222">
        <f t="shared" si="136"/>
        <v>0</v>
      </c>
      <c r="QR40" s="222">
        <f t="shared" si="67"/>
        <v>2.7916028631191394</v>
      </c>
      <c r="QS40" s="209">
        <f t="shared" si="68"/>
        <v>0</v>
      </c>
      <c r="QT40" s="209">
        <f t="shared" si="69"/>
        <v>0.75043606043912392</v>
      </c>
      <c r="QU40" s="209">
        <f t="shared" si="70"/>
        <v>0.24956393956087611</v>
      </c>
      <c r="QV40" s="208">
        <f t="shared" si="71"/>
        <v>27797236490</v>
      </c>
      <c r="QW40" s="208">
        <f t="shared" si="72"/>
        <v>516005000</v>
      </c>
      <c r="QX40" s="208">
        <f t="shared" si="73"/>
        <v>157662009</v>
      </c>
      <c r="QY40" s="208">
        <f t="shared" si="74"/>
        <v>1017640000</v>
      </c>
      <c r="QZ40" s="208">
        <f t="shared" si="75"/>
        <v>0</v>
      </c>
      <c r="RA40" s="209">
        <f t="shared" si="137"/>
        <v>0.99999932856634843</v>
      </c>
      <c r="RB40" s="209">
        <f t="shared" si="76"/>
        <v>7.4513035111418657E-2</v>
      </c>
      <c r="RC40" s="209">
        <f t="shared" si="77"/>
        <v>0.49726765152334068</v>
      </c>
      <c r="RD40" s="209">
        <f t="shared" si="78"/>
        <v>0</v>
      </c>
      <c r="RE40" s="209">
        <f t="shared" si="79"/>
        <v>0</v>
      </c>
      <c r="RF40" s="209">
        <f t="shared" si="80"/>
        <v>0.45769447599335961</v>
      </c>
      <c r="RG40" s="209">
        <f t="shared" si="81"/>
        <v>0</v>
      </c>
      <c r="RH40" s="209">
        <f t="shared" si="82"/>
        <v>0</v>
      </c>
      <c r="RI40" s="209">
        <f t="shared" si="83"/>
        <v>4.5037872483299712E-2</v>
      </c>
      <c r="RJ40" s="134"/>
      <c r="RK40" s="134"/>
      <c r="RL40" s="134"/>
      <c r="RM40" s="134"/>
      <c r="RN40" s="134"/>
      <c r="RO40" s="134"/>
      <c r="RP40" s="134"/>
      <c r="RQ40" s="134"/>
      <c r="RR40" s="222">
        <f t="shared" si="84"/>
        <v>1.9137486210920711</v>
      </c>
      <c r="RS40" s="224"/>
      <c r="RT40" s="224"/>
      <c r="RU40" s="208">
        <f t="shared" si="138"/>
        <v>21.059564160000001</v>
      </c>
      <c r="RV40" s="208">
        <f t="shared" si="139"/>
        <v>1</v>
      </c>
      <c r="RW40" s="208">
        <f t="shared" si="140"/>
        <v>0.99985486921839295</v>
      </c>
      <c r="RX40" s="208">
        <f t="shared" si="141"/>
        <v>0.99995467585139075</v>
      </c>
      <c r="RY40" s="208">
        <f t="shared" si="142"/>
        <v>0.99961690964098682</v>
      </c>
      <c r="RZ40" s="208">
        <f t="shared" si="85"/>
        <v>1.0000570527678112</v>
      </c>
      <c r="SA40" s="208">
        <f t="shared" si="86"/>
        <v>0.99978187509448091</v>
      </c>
      <c r="SB40" s="208">
        <f t="shared" si="87"/>
        <v>0.99980586239192171</v>
      </c>
      <c r="SC40" s="208">
        <f t="shared" si="88"/>
        <v>0.99981060285678924</v>
      </c>
      <c r="SD40" s="208">
        <f t="shared" si="89"/>
        <v>0.99990399126007479</v>
      </c>
      <c r="SE40" s="208">
        <f t="shared" si="90"/>
        <v>0.99972824366587154</v>
      </c>
      <c r="SF40" s="208">
        <f t="shared" si="91"/>
        <v>0.99983169978059172</v>
      </c>
      <c r="SG40" s="208">
        <f t="shared" si="92"/>
        <v>1.0005435610379247</v>
      </c>
      <c r="SH40" s="208">
        <f t="shared" si="93"/>
        <v>0.99996052119947765</v>
      </c>
      <c r="SI40" s="208">
        <f t="shared" si="94"/>
        <v>1.0004775389451244</v>
      </c>
      <c r="SJ40" s="208">
        <f t="shared" si="95"/>
        <v>1.000067406639467</v>
      </c>
      <c r="SK40" s="208">
        <f t="shared" si="96"/>
        <v>0.99983815390443942</v>
      </c>
      <c r="SL40" s="208">
        <f t="shared" si="97"/>
        <v>0.99982483737444316</v>
      </c>
      <c r="SM40" s="222">
        <f t="shared" si="143"/>
        <v>1</v>
      </c>
      <c r="SN40" s="225">
        <f t="shared" si="98"/>
        <v>21.059564160000001</v>
      </c>
      <c r="SO40" s="209">
        <f t="shared" si="144"/>
        <v>0.99929705731617346</v>
      </c>
      <c r="SP40" s="209">
        <f t="shared" si="145"/>
        <v>0.99999957591778665</v>
      </c>
      <c r="SQ40" s="222">
        <f t="shared" si="146"/>
        <v>46330688263</v>
      </c>
      <c r="SR40" s="222">
        <f t="shared" si="147"/>
        <v>46323964254</v>
      </c>
      <c r="SS40" s="222">
        <f t="shared" si="148"/>
        <v>46328588364</v>
      </c>
      <c r="ST40" s="222">
        <f t="shared" si="149"/>
        <v>46312939423</v>
      </c>
      <c r="SU40" s="222">
        <f t="shared" si="150"/>
        <v>46333331557</v>
      </c>
      <c r="SV40" s="222">
        <f t="shared" si="151"/>
        <v>46320582386</v>
      </c>
      <c r="SW40" s="222">
        <f t="shared" si="152"/>
        <v>46321693734</v>
      </c>
      <c r="SX40" s="222">
        <f t="shared" si="153"/>
        <v>46321913363</v>
      </c>
      <c r="SY40" s="222">
        <f t="shared" si="154"/>
        <v>46326240112</v>
      </c>
      <c r="SZ40" s="222">
        <f t="shared" si="155"/>
        <v>46318097605</v>
      </c>
      <c r="TA40" s="222">
        <f t="shared" si="156"/>
        <v>46322890798</v>
      </c>
      <c r="TB40" s="222">
        <f t="shared" si="157"/>
        <v>46355871820</v>
      </c>
      <c r="TC40" s="222">
        <f t="shared" si="99"/>
        <v>46328859183</v>
      </c>
      <c r="TD40" s="222">
        <f t="shared" si="158"/>
        <v>46352812971</v>
      </c>
      <c r="TE40" s="222">
        <f t="shared" si="159"/>
        <v>46333811259</v>
      </c>
      <c r="TF40" s="222">
        <f t="shared" si="160"/>
        <v>46323189822</v>
      </c>
      <c r="TG40" s="222">
        <f t="shared" si="161"/>
        <v>46322572858</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x14ac:dyDescent="0.25">
      <c r="AB41" s="254">
        <v>11</v>
      </c>
      <c r="AC41" s="430" t="s">
        <v>1974</v>
      </c>
      <c r="AD41" s="430" t="s">
        <v>1964</v>
      </c>
      <c r="AE41" s="430">
        <v>0</v>
      </c>
      <c r="AF41" s="430">
        <v>0</v>
      </c>
      <c r="AG41" s="430">
        <v>11</v>
      </c>
      <c r="AH41" s="430" t="s">
        <v>1975</v>
      </c>
      <c r="AI41" s="430">
        <v>1</v>
      </c>
      <c r="AJ41" s="430">
        <v>1</v>
      </c>
      <c r="AK41" s="594">
        <v>2106010432</v>
      </c>
      <c r="AL41" s="594">
        <v>46331859215</v>
      </c>
      <c r="AM41" s="430">
        <v>11967860000</v>
      </c>
      <c r="AN41" s="430">
        <v>13472928000</v>
      </c>
      <c r="AO41" s="430">
        <v>465689944</v>
      </c>
      <c r="AP41" s="430">
        <v>212492219</v>
      </c>
      <c r="AQ41" s="595">
        <v>3934972</v>
      </c>
      <c r="AR41" s="595">
        <v>970312</v>
      </c>
      <c r="AS41" s="594">
        <v>25360642506</v>
      </c>
      <c r="AT41" s="594">
        <v>7209421049</v>
      </c>
      <c r="AU41" s="430" t="s">
        <v>1974</v>
      </c>
      <c r="AV41" s="430" t="s">
        <v>1964</v>
      </c>
      <c r="AW41" s="430">
        <v>0</v>
      </c>
      <c r="AX41" s="430">
        <v>0</v>
      </c>
      <c r="AY41" s="430">
        <v>11</v>
      </c>
      <c r="AZ41" s="430" t="s">
        <v>1975</v>
      </c>
      <c r="BA41" s="430">
        <v>1</v>
      </c>
      <c r="BB41" s="430">
        <v>1</v>
      </c>
      <c r="BC41" s="430">
        <v>2105701888</v>
      </c>
      <c r="BD41" s="430">
        <v>46325172706</v>
      </c>
      <c r="BE41" s="430">
        <v>34413097144</v>
      </c>
      <c r="BF41" s="595">
        <v>5854790574</v>
      </c>
      <c r="BG41" s="430">
        <v>9163486574</v>
      </c>
      <c r="BH41" s="595">
        <v>287486</v>
      </c>
      <c r="BI41" s="430">
        <v>22998507853</v>
      </c>
      <c r="BJ41" s="430">
        <v>239781163</v>
      </c>
      <c r="BK41" s="430">
        <v>0</v>
      </c>
      <c r="BL41" s="430">
        <v>0</v>
      </c>
      <c r="BM41" s="430" t="s">
        <v>1974</v>
      </c>
      <c r="BN41" s="430" t="s">
        <v>1964</v>
      </c>
      <c r="BO41" s="430">
        <v>0</v>
      </c>
      <c r="BP41" s="430">
        <v>0</v>
      </c>
      <c r="BQ41" s="430">
        <v>11</v>
      </c>
      <c r="BR41" s="430" t="s">
        <v>1975</v>
      </c>
      <c r="BS41" s="430">
        <v>1</v>
      </c>
      <c r="BT41" s="430">
        <v>1</v>
      </c>
      <c r="BU41" s="430">
        <v>2105980256</v>
      </c>
      <c r="BV41" s="430">
        <v>46330962342</v>
      </c>
      <c r="BW41" s="594">
        <v>9069788933</v>
      </c>
      <c r="BX41" s="594">
        <v>11613522356</v>
      </c>
      <c r="BY41" s="430">
        <v>21714940995</v>
      </c>
      <c r="BZ41" s="430">
        <v>426487529</v>
      </c>
      <c r="CA41" s="430">
        <v>10412776774</v>
      </c>
      <c r="CB41" s="430">
        <v>153776983210</v>
      </c>
      <c r="CC41" s="430">
        <v>9259921850</v>
      </c>
      <c r="CD41" s="430">
        <v>147890727012</v>
      </c>
      <c r="CE41" s="430" t="s">
        <v>1974</v>
      </c>
      <c r="CF41" s="430" t="s">
        <v>1964</v>
      </c>
      <c r="CG41" s="430">
        <v>0</v>
      </c>
      <c r="CH41" s="430">
        <v>0</v>
      </c>
      <c r="CI41" s="430">
        <v>11</v>
      </c>
      <c r="CJ41" s="430" t="s">
        <v>1975</v>
      </c>
      <c r="CK41" s="430">
        <v>1</v>
      </c>
      <c r="CL41" s="430">
        <v>1</v>
      </c>
      <c r="CM41" s="430">
        <v>2105248448</v>
      </c>
      <c r="CN41" s="430">
        <v>46315294221</v>
      </c>
      <c r="CO41" s="430">
        <v>3932435</v>
      </c>
      <c r="CP41" s="430">
        <v>467695351</v>
      </c>
      <c r="CQ41" s="430">
        <v>452109316</v>
      </c>
      <c r="CR41" s="430">
        <v>466229373</v>
      </c>
      <c r="CS41" s="430">
        <v>25244430</v>
      </c>
      <c r="CT41" s="430">
        <v>945960000</v>
      </c>
      <c r="CU41" s="430">
        <v>472980000</v>
      </c>
      <c r="CV41" s="430">
        <v>1006130</v>
      </c>
      <c r="CW41" s="430" t="s">
        <v>1974</v>
      </c>
      <c r="CX41" s="430" t="s">
        <v>1964</v>
      </c>
      <c r="CY41" s="430">
        <v>0</v>
      </c>
      <c r="CZ41" s="430">
        <v>0</v>
      </c>
      <c r="DA41" s="430">
        <v>11</v>
      </c>
      <c r="DB41" s="430" t="s">
        <v>1975</v>
      </c>
      <c r="DC41" s="430">
        <v>1</v>
      </c>
      <c r="DD41" s="430">
        <v>1</v>
      </c>
      <c r="DE41" s="430">
        <v>2106068736</v>
      </c>
      <c r="DF41" s="430">
        <v>46333317718</v>
      </c>
      <c r="DG41" s="430">
        <v>13824046000</v>
      </c>
      <c r="DH41" s="430">
        <v>6650444000</v>
      </c>
      <c r="DI41" s="430">
        <v>508816000</v>
      </c>
      <c r="DJ41" s="430">
        <v>4651094707</v>
      </c>
      <c r="DK41" s="430">
        <v>1676980140</v>
      </c>
      <c r="DL41" s="430">
        <v>4170875009</v>
      </c>
      <c r="DM41" s="430">
        <v>1676958009</v>
      </c>
      <c r="DN41" s="430">
        <v>5362040</v>
      </c>
      <c r="DO41" s="595" t="s">
        <v>1974</v>
      </c>
      <c r="DP41" s="595" t="s">
        <v>1964</v>
      </c>
      <c r="DQ41" s="595">
        <v>0</v>
      </c>
      <c r="DR41" s="595">
        <v>0</v>
      </c>
      <c r="DS41" s="595">
        <v>11</v>
      </c>
      <c r="DT41" s="595" t="s">
        <v>1975</v>
      </c>
      <c r="DU41" s="595">
        <v>1</v>
      </c>
      <c r="DV41" s="595">
        <v>1</v>
      </c>
      <c r="DW41" s="595">
        <v>2105595456</v>
      </c>
      <c r="DX41" s="595">
        <v>46322901599</v>
      </c>
      <c r="DY41" s="595">
        <v>536864024</v>
      </c>
      <c r="DZ41" s="595">
        <v>524552676</v>
      </c>
      <c r="EA41" s="595">
        <v>51350913</v>
      </c>
      <c r="EB41" s="430">
        <v>652367239</v>
      </c>
      <c r="EC41" s="595">
        <v>468562452</v>
      </c>
      <c r="ED41" s="595">
        <v>0</v>
      </c>
      <c r="EE41" s="595">
        <v>0</v>
      </c>
      <c r="EF41" s="595">
        <v>19062741150</v>
      </c>
      <c r="EG41" s="595" t="s">
        <v>1974</v>
      </c>
      <c r="EH41" s="595" t="s">
        <v>1964</v>
      </c>
      <c r="EI41" s="595">
        <v>0</v>
      </c>
      <c r="EJ41" s="595">
        <v>0</v>
      </c>
      <c r="EK41" s="595">
        <v>11</v>
      </c>
      <c r="EL41" s="595" t="s">
        <v>1975</v>
      </c>
      <c r="EM41" s="595">
        <v>1</v>
      </c>
      <c r="EN41" s="595">
        <v>1</v>
      </c>
      <c r="EO41" s="595">
        <v>2105655360</v>
      </c>
      <c r="EP41" s="595">
        <v>46324209663</v>
      </c>
      <c r="EQ41" s="595">
        <v>1791795877</v>
      </c>
      <c r="ER41" s="595">
        <v>1139608047</v>
      </c>
      <c r="ES41" s="430">
        <v>3125887910</v>
      </c>
      <c r="ET41" s="595">
        <v>2035576</v>
      </c>
      <c r="EU41" s="595">
        <v>11967860000</v>
      </c>
      <c r="EV41" s="595">
        <v>0</v>
      </c>
      <c r="EW41" s="595">
        <v>13472928000</v>
      </c>
      <c r="EX41" s="595">
        <v>0</v>
      </c>
      <c r="EY41" s="595" t="s">
        <v>1974</v>
      </c>
      <c r="EZ41" s="595" t="s">
        <v>1964</v>
      </c>
      <c r="FA41" s="595">
        <v>0</v>
      </c>
      <c r="FB41" s="595">
        <v>0</v>
      </c>
      <c r="FC41" s="595">
        <v>11</v>
      </c>
      <c r="FD41" s="595" t="s">
        <v>1975</v>
      </c>
      <c r="FE41" s="595">
        <v>1</v>
      </c>
      <c r="FF41" s="595">
        <v>1</v>
      </c>
      <c r="FG41" s="595">
        <v>2105773056</v>
      </c>
      <c r="FH41" s="595">
        <v>46326809777</v>
      </c>
      <c r="FI41" s="595">
        <v>2019</v>
      </c>
      <c r="FJ41" s="595">
        <v>5038127778</v>
      </c>
      <c r="FK41" s="595">
        <v>1560567926</v>
      </c>
      <c r="FL41" s="595">
        <v>613483711</v>
      </c>
      <c r="FM41" s="595">
        <v>6985490329</v>
      </c>
      <c r="FN41" s="595">
        <v>6876270152</v>
      </c>
      <c r="FO41" s="430">
        <v>711688294</v>
      </c>
      <c r="FP41" s="430">
        <v>1115177566</v>
      </c>
      <c r="FQ41" s="595" t="s">
        <v>1974</v>
      </c>
      <c r="FR41" s="595" t="s">
        <v>1964</v>
      </c>
      <c r="FS41" s="595">
        <v>0</v>
      </c>
      <c r="FT41" s="595">
        <v>0</v>
      </c>
      <c r="FU41" s="595">
        <v>11</v>
      </c>
      <c r="FV41" s="595" t="s">
        <v>1975</v>
      </c>
      <c r="FW41" s="595">
        <v>1</v>
      </c>
      <c r="FX41" s="595">
        <v>1</v>
      </c>
      <c r="FY41" s="595">
        <v>2105803680</v>
      </c>
      <c r="FZ41" s="595">
        <v>46327499396</v>
      </c>
      <c r="GA41" s="595">
        <v>452110038</v>
      </c>
      <c r="GB41" s="595">
        <v>446747409</v>
      </c>
      <c r="GC41" s="595">
        <v>441189942</v>
      </c>
      <c r="GD41" s="595">
        <v>441189942</v>
      </c>
      <c r="GE41" s="595">
        <v>4348</v>
      </c>
      <c r="GF41" s="595">
        <v>1</v>
      </c>
      <c r="GG41" s="595">
        <v>414</v>
      </c>
      <c r="GH41" s="595">
        <v>1019530</v>
      </c>
      <c r="GI41" s="595" t="s">
        <v>1974</v>
      </c>
      <c r="GJ41" s="595" t="s">
        <v>1964</v>
      </c>
      <c r="GK41" s="595">
        <v>0</v>
      </c>
      <c r="GL41" s="595">
        <v>0</v>
      </c>
      <c r="GM41" s="595">
        <v>11</v>
      </c>
      <c r="GN41" s="595" t="s">
        <v>1975</v>
      </c>
      <c r="GO41" s="595">
        <v>1</v>
      </c>
      <c r="GP41" s="595">
        <v>1</v>
      </c>
      <c r="GQ41" s="595">
        <v>2105428960</v>
      </c>
      <c r="GR41" s="595">
        <v>46319266041</v>
      </c>
      <c r="GS41" s="595">
        <v>0</v>
      </c>
      <c r="GT41" s="595">
        <v>0</v>
      </c>
      <c r="GU41" s="595">
        <v>0</v>
      </c>
      <c r="GV41" s="595">
        <v>0</v>
      </c>
      <c r="GW41" s="595">
        <v>0</v>
      </c>
      <c r="GX41" s="595">
        <v>8</v>
      </c>
      <c r="GY41" s="595">
        <v>329660032</v>
      </c>
      <c r="GZ41" s="595">
        <v>604708386</v>
      </c>
      <c r="HA41" s="595" t="s">
        <v>1974</v>
      </c>
      <c r="HB41" s="595" t="s">
        <v>1964</v>
      </c>
      <c r="HC41" s="595">
        <v>0</v>
      </c>
      <c r="HD41" s="595">
        <v>0</v>
      </c>
      <c r="HE41" s="595">
        <v>11</v>
      </c>
      <c r="HF41" s="595" t="s">
        <v>1975</v>
      </c>
      <c r="HG41" s="595">
        <v>1</v>
      </c>
      <c r="HH41" s="595">
        <v>1</v>
      </c>
      <c r="HI41" s="595">
        <v>2105707040</v>
      </c>
      <c r="HJ41" s="595">
        <v>46325367564</v>
      </c>
      <c r="HK41" s="595">
        <v>0</v>
      </c>
      <c r="HL41" s="595">
        <v>0</v>
      </c>
      <c r="HM41" s="595">
        <v>0</v>
      </c>
      <c r="HN41" s="595">
        <v>1282822001</v>
      </c>
      <c r="HO41" s="595">
        <v>1182474009</v>
      </c>
      <c r="HP41" s="595">
        <v>2017</v>
      </c>
      <c r="HQ41" s="595">
        <v>3067255009</v>
      </c>
      <c r="HR41" s="595">
        <v>0</v>
      </c>
      <c r="HS41" s="595" t="s">
        <v>1974</v>
      </c>
      <c r="HT41" s="595" t="s">
        <v>1964</v>
      </c>
      <c r="HU41" s="595">
        <v>0</v>
      </c>
      <c r="HV41" s="595">
        <v>0</v>
      </c>
      <c r="HW41" s="595">
        <v>11</v>
      </c>
      <c r="HX41" s="595" t="s">
        <v>1975</v>
      </c>
      <c r="HY41" s="595">
        <v>1</v>
      </c>
      <c r="HZ41" s="595">
        <v>1</v>
      </c>
      <c r="IA41" s="595">
        <v>2105817792</v>
      </c>
      <c r="IB41" s="595">
        <v>46327718130</v>
      </c>
      <c r="IC41" s="595">
        <v>27797233967</v>
      </c>
      <c r="ID41" s="595">
        <v>679906003</v>
      </c>
      <c r="IE41" s="595">
        <v>0</v>
      </c>
      <c r="IF41" s="595">
        <v>27797215246</v>
      </c>
      <c r="IG41" s="595">
        <v>45043818</v>
      </c>
      <c r="IH41" s="595">
        <v>604719439</v>
      </c>
      <c r="II41" s="595">
        <v>0</v>
      </c>
      <c r="IJ41" s="595">
        <v>0</v>
      </c>
      <c r="IK41" s="595" t="s">
        <v>1974</v>
      </c>
      <c r="IL41" s="595" t="s">
        <v>1964</v>
      </c>
      <c r="IM41" s="595">
        <v>0</v>
      </c>
      <c r="IN41" s="595">
        <v>0</v>
      </c>
      <c r="IO41" s="595">
        <v>11</v>
      </c>
      <c r="IP41" s="595" t="s">
        <v>1975</v>
      </c>
      <c r="IQ41" s="595">
        <v>1</v>
      </c>
      <c r="IR41" s="595">
        <v>1</v>
      </c>
      <c r="IS41" s="595">
        <v>2105695360</v>
      </c>
      <c r="IT41" s="595">
        <v>46325114191</v>
      </c>
      <c r="IU41" s="595">
        <v>0</v>
      </c>
      <c r="IV41" s="595">
        <v>0</v>
      </c>
      <c r="IW41" s="595">
        <v>1017640000</v>
      </c>
      <c r="IX41" s="595">
        <v>0</v>
      </c>
      <c r="IY41" s="595">
        <v>516005000</v>
      </c>
      <c r="IZ41" s="595">
        <v>157662001</v>
      </c>
      <c r="JA41" s="595">
        <v>0</v>
      </c>
      <c r="JB41" s="595">
        <v>0</v>
      </c>
      <c r="JC41" s="595" t="s">
        <v>1974</v>
      </c>
      <c r="JD41" s="595" t="s">
        <v>1964</v>
      </c>
      <c r="JE41" s="595">
        <v>0</v>
      </c>
      <c r="JF41" s="595">
        <v>0</v>
      </c>
      <c r="JG41" s="595">
        <v>11</v>
      </c>
      <c r="JH41" s="595" t="s">
        <v>1975</v>
      </c>
      <c r="JI41" s="595">
        <v>1</v>
      </c>
      <c r="JJ41" s="595">
        <v>1</v>
      </c>
      <c r="JK41" s="595">
        <v>2105849152</v>
      </c>
      <c r="JL41" s="595">
        <v>46328509198</v>
      </c>
      <c r="JM41" s="595">
        <v>447504597</v>
      </c>
      <c r="JN41" s="595">
        <v>0</v>
      </c>
      <c r="JO41" s="595">
        <v>0</v>
      </c>
      <c r="JP41" s="595">
        <v>409300992</v>
      </c>
      <c r="JQ41" s="595">
        <v>0</v>
      </c>
      <c r="JR41" s="595">
        <v>0</v>
      </c>
      <c r="JS41" s="595">
        <v>40350243</v>
      </c>
      <c r="JT41" s="595">
        <v>0</v>
      </c>
      <c r="JU41" s="595" t="s">
        <v>1974</v>
      </c>
      <c r="JV41" s="595" t="s">
        <v>1964</v>
      </c>
      <c r="JW41" s="595">
        <v>0</v>
      </c>
      <c r="JX41" s="595">
        <v>0</v>
      </c>
      <c r="JY41" s="595">
        <v>11</v>
      </c>
      <c r="JZ41" s="595" t="s">
        <v>1975</v>
      </c>
      <c r="KA41" s="595">
        <v>1</v>
      </c>
      <c r="KB41" s="595">
        <v>1</v>
      </c>
      <c r="KC41" s="595">
        <v>2105719424</v>
      </c>
      <c r="KD41" s="595">
        <v>46325474140</v>
      </c>
      <c r="KE41" s="595">
        <v>0</v>
      </c>
      <c r="KF41" s="595">
        <v>2839530140</v>
      </c>
      <c r="KG41" s="595">
        <v>944310043</v>
      </c>
      <c r="KH41" s="595">
        <v>65093604576</v>
      </c>
      <c r="KI41" s="595">
        <v>47233306208</v>
      </c>
      <c r="KJ41" s="595">
        <v>4068350282</v>
      </c>
      <c r="KK41" s="595">
        <v>2952081640</v>
      </c>
      <c r="KL41" s="595">
        <v>0</v>
      </c>
      <c r="KM41" s="595" t="s">
        <v>1974</v>
      </c>
      <c r="KN41" s="595" t="s">
        <v>1964</v>
      </c>
      <c r="KO41" s="595">
        <v>0</v>
      </c>
      <c r="KP41" s="595">
        <v>0</v>
      </c>
      <c r="KQ41" s="595">
        <v>11</v>
      </c>
      <c r="KR41" s="595" t="s">
        <v>1975</v>
      </c>
      <c r="KS41" s="595">
        <v>1</v>
      </c>
      <c r="KT41" s="595">
        <v>1</v>
      </c>
      <c r="KU41" s="595">
        <v>2105599808</v>
      </c>
      <c r="KV41" s="595">
        <v>46322981215</v>
      </c>
      <c r="KW41" s="595">
        <v>5602591356</v>
      </c>
      <c r="KX41" s="595">
        <v>44841717</v>
      </c>
      <c r="KY41" s="595">
        <v>10944936</v>
      </c>
      <c r="KZ41" s="595">
        <v>25360573956</v>
      </c>
      <c r="LA41" s="595">
        <v>2508008300</v>
      </c>
      <c r="LB41" s="595">
        <v>225756</v>
      </c>
      <c r="LC41" s="595">
        <v>13252</v>
      </c>
      <c r="LD41" s="595">
        <v>14707</v>
      </c>
      <c r="LE41" s="595" t="s">
        <v>1974</v>
      </c>
      <c r="LF41" s="595" t="s">
        <v>1964</v>
      </c>
      <c r="LG41" s="595">
        <v>0</v>
      </c>
      <c r="LH41" s="595">
        <v>0</v>
      </c>
      <c r="LI41" s="595">
        <v>11</v>
      </c>
      <c r="LJ41" s="595" t="s">
        <v>1975</v>
      </c>
      <c r="LK41" s="595">
        <v>1</v>
      </c>
      <c r="LL41" s="595">
        <v>1</v>
      </c>
      <c r="LM41" s="595">
        <v>2105579808</v>
      </c>
      <c r="LN41" s="595">
        <v>46322558348</v>
      </c>
      <c r="LO41" s="595">
        <v>5548103485</v>
      </c>
      <c r="LP41" s="595">
        <v>618</v>
      </c>
      <c r="LQ41" s="595">
        <v>0</v>
      </c>
      <c r="LR41" s="595">
        <v>2508173813</v>
      </c>
      <c r="LS41" s="595">
        <v>68</v>
      </c>
      <c r="LT41" s="595">
        <v>0</v>
      </c>
      <c r="LU41" s="595">
        <v>5547974790</v>
      </c>
      <c r="LV41" s="595">
        <v>25140</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21.060104320000001</v>
      </c>
      <c r="ND41" s="208">
        <f>IF(OR($NI41="",$NC41=""),"",IF($NC41=0,0,$NI41/10^9/$NC41))</f>
        <v>2.9128235581313588</v>
      </c>
      <c r="NE41" s="209">
        <f t="shared" si="15"/>
        <v>4.1375566570834112E-2</v>
      </c>
      <c r="NF41" s="208">
        <f t="shared" si="16"/>
        <v>8.1841418449346026</v>
      </c>
      <c r="NG41" s="210"/>
      <c r="NH41" s="211">
        <f t="shared" si="104"/>
        <v>25360642506</v>
      </c>
      <c r="NI41" s="208">
        <f t="shared" si="17"/>
        <v>61344368000</v>
      </c>
      <c r="NJ41" s="212">
        <f t="shared" si="105"/>
        <v>0.2842759621446635</v>
      </c>
      <c r="NK41" s="213">
        <f t="shared" si="106"/>
        <v>0.78037220955638498</v>
      </c>
      <c r="NL41" s="214">
        <f t="shared" si="18"/>
        <v>0.95839580777562972</v>
      </c>
      <c r="NM41" s="208">
        <f t="shared" si="107"/>
        <v>0.54736941136585038</v>
      </c>
      <c r="NN41" s="208">
        <f t="shared" si="19"/>
        <v>1.2042030808895823</v>
      </c>
      <c r="NO41" s="215">
        <f t="shared" si="20"/>
        <v>1.3069536057564116E-4</v>
      </c>
      <c r="NP41" s="216">
        <f t="shared" si="108"/>
        <v>0</v>
      </c>
      <c r="NQ41" s="215">
        <f t="shared" si="109"/>
        <v>0.21301537680564114</v>
      </c>
      <c r="NR41" s="215">
        <f t="shared" si="110"/>
        <v>8.3560357417383532E-2</v>
      </c>
      <c r="NS41" s="215">
        <f t="shared" si="21"/>
        <v>2.3344879717354512E-2</v>
      </c>
      <c r="NT41" s="215">
        <f t="shared" si="22"/>
        <v>7.7060186930832698E-3</v>
      </c>
      <c r="NU41" s="215">
        <f t="shared" si="23"/>
        <v>0.21512447576686894</v>
      </c>
      <c r="NV41" s="215">
        <f t="shared" si="111"/>
        <v>3.6229738619722998</v>
      </c>
      <c r="NW41" s="215">
        <f t="shared" si="24"/>
        <v>1.7892573843254538</v>
      </c>
      <c r="NX41" s="215">
        <f t="shared" si="25"/>
        <v>8.6662022782304611</v>
      </c>
      <c r="NY41" s="215">
        <f t="shared" si="26"/>
        <v>9.2540276500115246E-4</v>
      </c>
      <c r="NZ41" s="215">
        <f t="shared" si="27"/>
        <v>0.91345093463434668</v>
      </c>
      <c r="OA41" s="215">
        <f t="shared" si="28"/>
        <v>0</v>
      </c>
      <c r="OB41" s="215">
        <f t="shared" si="29"/>
        <v>0.10900804059165173</v>
      </c>
      <c r="OC41" s="215">
        <f t="shared" si="30"/>
        <v>0</v>
      </c>
      <c r="OD41" s="215">
        <f t="shared" si="31"/>
        <v>2.6616738386001231</v>
      </c>
      <c r="OE41" s="215">
        <f t="shared" si="32"/>
        <v>0.81457673842365252</v>
      </c>
      <c r="OF41" s="215">
        <f t="shared" si="33"/>
        <v>0.51808256616867332</v>
      </c>
      <c r="OG41" s="215">
        <f t="shared" si="34"/>
        <v>1.4210745828196412</v>
      </c>
      <c r="OH41" s="215">
        <f t="shared" si="35"/>
        <v>0</v>
      </c>
      <c r="OI41" s="215">
        <f t="shared" si="112"/>
        <v>21.060104320000001</v>
      </c>
      <c r="OJ41" s="218">
        <f t="shared" si="113"/>
        <v>0.2247476902624273</v>
      </c>
      <c r="OK41" s="218">
        <f t="shared" si="114"/>
        <v>0.19986465598634209</v>
      </c>
      <c r="OL41" s="218">
        <f t="shared" si="115"/>
        <v>1.5362341966256738E-2</v>
      </c>
      <c r="OM41" s="218">
        <f t="shared" si="116"/>
        <v>2.407196980254089E-2</v>
      </c>
      <c r="ON41" s="217">
        <f t="shared" si="36"/>
        <v>0.22321262330277716</v>
      </c>
      <c r="OO41" s="210"/>
      <c r="OP41" s="210"/>
      <c r="OQ41" s="218">
        <f t="shared" si="117"/>
        <v>0.15078720858668118</v>
      </c>
      <c r="OR41" s="218">
        <f t="shared" si="118"/>
        <v>0.14842960663813895</v>
      </c>
      <c r="OS41" s="218">
        <f t="shared" si="37"/>
        <v>0.92300657732557667</v>
      </c>
      <c r="OT41" s="218">
        <f t="shared" si="38"/>
        <v>0.99819097698432524</v>
      </c>
      <c r="OU41" s="209">
        <f t="shared" si="39"/>
        <v>1.0000000009831995</v>
      </c>
      <c r="OV41" s="209">
        <f t="shared" si="40"/>
        <v>0.99999999932251193</v>
      </c>
      <c r="OW41" s="209">
        <f t="shared" si="119"/>
        <v>9.2052378677526421E-3</v>
      </c>
      <c r="OX41" s="219">
        <f t="shared" si="41"/>
        <v>1.6324507547553378E-8</v>
      </c>
      <c r="OY41" s="208">
        <f t="shared" si="120"/>
        <v>6328074847</v>
      </c>
      <c r="OZ41" s="208">
        <f t="shared" si="42"/>
        <v>467695351</v>
      </c>
      <c r="PA41" s="209">
        <f>IF(OR($OZ41="",$OY41=""),"",IF($OY41=0,0,$OZ41/$OY41))</f>
        <v>7.3907999242727673E-2</v>
      </c>
      <c r="PB41" s="209">
        <f>IF(OR($CQ41="",$OZ41=""),"",IF($OZ41=0,0,
GuardLimitUpper(
  ($OZ41-$CQ41)/$OZ41,
  data_GuardLimitFlag,
  1)
))</f>
        <v>3.3325186933491673E-2</v>
      </c>
      <c r="PC41" s="209">
        <f t="shared" si="43"/>
        <v>0.95521028388413465</v>
      </c>
      <c r="PD41" s="209">
        <f t="shared" si="44"/>
        <v>1.1464529182373678E-2</v>
      </c>
      <c r="PE41" s="208">
        <f t="shared" si="122"/>
        <v>460784660</v>
      </c>
      <c r="PF41" s="209">
        <f t="shared" si="123"/>
        <v>7.281593077528907E-2</v>
      </c>
      <c r="PG41" s="209">
        <f t="shared" si="45"/>
        <v>4.6181597991015073E-2</v>
      </c>
      <c r="PH41" s="209">
        <f t="shared" si="46"/>
        <v>0.95602765199237594</v>
      </c>
      <c r="PI41" s="209">
        <f t="shared" si="47"/>
        <v>0</v>
      </c>
      <c r="PJ41" s="220">
        <f t="shared" si="48"/>
        <v>6.8709680355018094E-7</v>
      </c>
      <c r="PK41" s="220">
        <f t="shared" si="49"/>
        <v>1.5802594377879046E-10</v>
      </c>
      <c r="PL41" s="221">
        <f t="shared" si="124"/>
        <v>157660000</v>
      </c>
      <c r="PM41" s="221">
        <f t="shared" si="50"/>
        <v>0</v>
      </c>
      <c r="PN41" s="221">
        <f t="shared" si="125"/>
        <v>945960000</v>
      </c>
      <c r="PO41" s="221">
        <f t="shared" si="51"/>
        <v>0</v>
      </c>
      <c r="PP41" s="221">
        <f t="shared" si="52"/>
        <v>0</v>
      </c>
      <c r="PQ41" s="529">
        <f t="shared" si="126"/>
        <v>0</v>
      </c>
      <c r="PR41" s="221">
        <f t="shared" si="53"/>
        <v>0</v>
      </c>
      <c r="PS41" s="221">
        <f t="shared" si="54"/>
        <v>3547474707</v>
      </c>
      <c r="PT41" s="221">
        <f t="shared" si="127"/>
        <v>21504000</v>
      </c>
      <c r="PU41" s="221">
        <f t="shared" si="55"/>
        <v>0</v>
      </c>
      <c r="PV41" s="221">
        <f t="shared" si="128"/>
        <v>472980000</v>
      </c>
      <c r="PW41" s="221">
        <f t="shared" si="56"/>
        <v>0</v>
      </c>
      <c r="PX41" s="221">
        <f t="shared" si="162"/>
        <v>0</v>
      </c>
      <c r="PY41" s="221">
        <f t="shared" si="57"/>
        <v>1182496140</v>
      </c>
      <c r="PZ41" s="221">
        <f t="shared" si="58"/>
        <v>0</v>
      </c>
      <c r="QA41" s="221">
        <f t="shared" si="59"/>
        <v>0</v>
      </c>
      <c r="QB41" s="221">
        <f t="shared" si="60"/>
        <v>5362040</v>
      </c>
      <c r="QC41" s="221">
        <f t="shared" si="61"/>
        <v>8</v>
      </c>
      <c r="QD41" s="221">
        <f t="shared" si="129"/>
        <v>6664786000</v>
      </c>
      <c r="QE41" s="221">
        <f t="shared" si="130"/>
        <v>6650444000</v>
      </c>
      <c r="QF41" s="221">
        <f t="shared" si="131"/>
        <v>508816000</v>
      </c>
      <c r="QG41" s="222">
        <f t="shared" si="62"/>
        <v>0</v>
      </c>
      <c r="QH41" s="222">
        <f t="shared" si="63"/>
        <v>1282822001</v>
      </c>
      <c r="QI41" s="222">
        <f t="shared" si="64"/>
        <v>329660032</v>
      </c>
      <c r="QJ41" s="222">
        <f t="shared" si="65"/>
        <v>604708386</v>
      </c>
      <c r="QK41" s="222">
        <f t="shared" si="66"/>
        <v>2017</v>
      </c>
      <c r="QL41" s="222">
        <f t="shared" si="132"/>
        <v>0</v>
      </c>
      <c r="QM41" s="222">
        <f>IF(OR($O$8="Lv2",$O$8="Lv3",$O$8="Lv4"),IF(OR($AS41="",COUNT($PL41:$QL41)=0),"",
GuardLimitLower(
  $AS41-SUM($PL41:$QL41),
  data_GuardLimitFlag,
  0)
),"")</f>
        <v>2985967175</v>
      </c>
      <c r="QN41" s="222">
        <f t="shared" si="133"/>
        <v>25360642506</v>
      </c>
      <c r="QO41" s="222">
        <f t="shared" si="134"/>
        <v>61344368000</v>
      </c>
      <c r="QP41" s="222">
        <f t="shared" si="135"/>
        <v>0</v>
      </c>
      <c r="QQ41" s="222">
        <f t="shared" si="136"/>
        <v>0</v>
      </c>
      <c r="QR41" s="222">
        <f t="shared" si="67"/>
        <v>2.7916378869031875</v>
      </c>
      <c r="QS41" s="209">
        <f t="shared" si="68"/>
        <v>0</v>
      </c>
      <c r="QT41" s="209">
        <f t="shared" si="69"/>
        <v>0.75043606565557741</v>
      </c>
      <c r="QU41" s="209">
        <f t="shared" si="70"/>
        <v>0.24956393434442259</v>
      </c>
      <c r="QV41" s="208">
        <f t="shared" si="71"/>
        <v>27797233967</v>
      </c>
      <c r="QW41" s="208">
        <f t="shared" si="72"/>
        <v>516005000</v>
      </c>
      <c r="QX41" s="208">
        <f t="shared" si="73"/>
        <v>157662001</v>
      </c>
      <c r="QY41" s="208">
        <f t="shared" si="74"/>
        <v>1017640000</v>
      </c>
      <c r="QZ41" s="208">
        <f t="shared" si="75"/>
        <v>0</v>
      </c>
      <c r="RA41" s="209">
        <f t="shared" si="137"/>
        <v>0.99999932651572376</v>
      </c>
      <c r="RB41" s="209">
        <f t="shared" si="76"/>
        <v>7.4488495682942288E-2</v>
      </c>
      <c r="RC41" s="209">
        <f t="shared" si="77"/>
        <v>0.49880364262069471</v>
      </c>
      <c r="RD41" s="209">
        <f t="shared" si="78"/>
        <v>0</v>
      </c>
      <c r="RE41" s="209">
        <f t="shared" si="79"/>
        <v>0</v>
      </c>
      <c r="RF41" s="209">
        <f t="shared" si="80"/>
        <v>0.45622062232773847</v>
      </c>
      <c r="RG41" s="209">
        <f t="shared" si="81"/>
        <v>0</v>
      </c>
      <c r="RH41" s="209">
        <f t="shared" si="82"/>
        <v>0</v>
      </c>
      <c r="RI41" s="209">
        <f t="shared" si="83"/>
        <v>4.497573505156683E-2</v>
      </c>
      <c r="RJ41" s="134"/>
      <c r="RK41" s="134"/>
      <c r="RL41" s="134"/>
      <c r="RM41" s="134"/>
      <c r="RN41" s="134"/>
      <c r="RO41" s="134"/>
      <c r="RP41" s="134"/>
      <c r="RQ41" s="134"/>
      <c r="RR41" s="222">
        <f t="shared" si="84"/>
        <v>1.9138092390987738</v>
      </c>
      <c r="RS41" s="224"/>
      <c r="RT41" s="224"/>
      <c r="RU41" s="208">
        <f t="shared" si="138"/>
        <v>21.060104320000001</v>
      </c>
      <c r="RV41" s="208">
        <f t="shared" si="139"/>
        <v>1</v>
      </c>
      <c r="RW41" s="208">
        <f t="shared" si="140"/>
        <v>0.99985568226457366</v>
      </c>
      <c r="RX41" s="208">
        <f t="shared" si="141"/>
        <v>0.99998064241290563</v>
      </c>
      <c r="RY41" s="208">
        <f t="shared" si="142"/>
        <v>0.99964247076891233</v>
      </c>
      <c r="RZ41" s="208">
        <f t="shared" si="85"/>
        <v>1.0000314794835501</v>
      </c>
      <c r="SA41" s="208">
        <f t="shared" si="86"/>
        <v>0.99980666400719143</v>
      </c>
      <c r="SB41" s="208">
        <f t="shared" si="87"/>
        <v>0.99983489650254476</v>
      </c>
      <c r="SC41" s="208">
        <f t="shared" si="88"/>
        <v>0.99989101585635565</v>
      </c>
      <c r="SD41" s="208">
        <f t="shared" si="89"/>
        <v>0.99990590019321757</v>
      </c>
      <c r="SE41" s="208">
        <f t="shared" si="90"/>
        <v>0.99972819623012399</v>
      </c>
      <c r="SF41" s="208">
        <f t="shared" si="91"/>
        <v>0.99985988796672554</v>
      </c>
      <c r="SG41" s="208">
        <f t="shared" si="92"/>
        <v>0.99991062122111729</v>
      </c>
      <c r="SH41" s="208">
        <f t="shared" si="93"/>
        <v>0.99992769517440572</v>
      </c>
      <c r="SI41" s="208">
        <f t="shared" si="94"/>
        <v>0.99985441931072305</v>
      </c>
      <c r="SJ41" s="208">
        <f t="shared" si="95"/>
        <v>0.99986218824134876</v>
      </c>
      <c r="SK41" s="208">
        <f t="shared" si="96"/>
        <v>0.99980838239279801</v>
      </c>
      <c r="SL41" s="208">
        <f t="shared" si="97"/>
        <v>0.99979925547652126</v>
      </c>
      <c r="SM41" s="222">
        <f t="shared" si="143"/>
        <v>1</v>
      </c>
      <c r="SN41" s="225">
        <f t="shared" si="98"/>
        <v>21.060104320000001</v>
      </c>
      <c r="SO41" s="209">
        <f>IF(OR($OI41="",$OC41="",COUNT($OI$30:$OI$41)=0),"",IF(MAX($OI$30:$OI$41)=0,0,($OI41-$OC41)/MAX($OI$30:$OI$41)))</f>
        <v>0.99932268844008365</v>
      </c>
      <c r="SP41" s="209">
        <f>IF(OR($NH41="",COUNT($NH$30:$NH$41)=0),"",IF(MAX($NH$30:$NH$41)=0,0,$NH41/MAX($NH$30:$NH$41)))</f>
        <v>0.99999975876011338</v>
      </c>
      <c r="SQ41" s="222">
        <f t="shared" si="146"/>
        <v>46331859215</v>
      </c>
      <c r="SR41" s="222">
        <f t="shared" si="147"/>
        <v>46325172706</v>
      </c>
      <c r="SS41" s="222">
        <f t="shared" si="148"/>
        <v>46330962342</v>
      </c>
      <c r="ST41" s="222">
        <f t="shared" si="149"/>
        <v>46315294221</v>
      </c>
      <c r="SU41" s="222">
        <f t="shared" si="150"/>
        <v>46333317718</v>
      </c>
      <c r="SV41" s="222">
        <f t="shared" si="151"/>
        <v>46322901599</v>
      </c>
      <c r="SW41" s="222">
        <f t="shared" si="152"/>
        <v>46324209663</v>
      </c>
      <c r="SX41" s="222">
        <f t="shared" si="153"/>
        <v>46326809777</v>
      </c>
      <c r="SY41" s="222">
        <f t="shared" si="154"/>
        <v>46327499396</v>
      </c>
      <c r="SZ41" s="222">
        <f t="shared" si="155"/>
        <v>46319266041</v>
      </c>
      <c r="TA41" s="222">
        <f t="shared" si="156"/>
        <v>46325367564</v>
      </c>
      <c r="TB41" s="222">
        <f t="shared" si="157"/>
        <v>46327718130</v>
      </c>
      <c r="TC41" s="222">
        <f t="shared" si="99"/>
        <v>46328509198</v>
      </c>
      <c r="TD41" s="222">
        <f t="shared" si="158"/>
        <v>46325114191</v>
      </c>
      <c r="TE41" s="222">
        <f t="shared" si="159"/>
        <v>46325474140</v>
      </c>
      <c r="TF41" s="222">
        <f t="shared" si="160"/>
        <v>46322981215</v>
      </c>
      <c r="TG41" s="222">
        <f t="shared" si="161"/>
        <v>46322558348</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x14ac:dyDescent="0.25">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21.046081253333337</v>
      </c>
      <c r="ND42" s="226">
        <f>IF(OR(COUNT(NI30:NI41)=0,,$NC$42=""),"",IF($NC$42=0,0,SUM(NI30:NI41)/10^9/$NC$42))</f>
        <v>34.97717257379729</v>
      </c>
      <c r="NE42" s="227">
        <f>IF(COUNT(NE30:NE41)=0,"",AVERAGE(NE30:NE41))</f>
        <v>4.1403186735189598E-2</v>
      </c>
      <c r="NF42" s="226">
        <f>IF(OR(COUNT($AO30:$AO41)=0,COUNT($AQ30:$AQ41)=0,COUNT($AR30:$AR41)=0,COUNT($AP30:$AP41)=0,$C$7="",$NC$42=""),"",IF($NC$42=0,0,(SUM($AO30:$AO41)-SUM($AQ30:$AQ41)-SUM($AR30:$AR41)+SUM($AP30:$AP41))*$C$7/$NC$42/10^9))</f>
        <v>98.006755391448962</v>
      </c>
      <c r="NG42" s="227">
        <f>IF(NF$42="","",NF$42/256)</f>
        <v>0.38283888824784751</v>
      </c>
      <c r="NH42" s="226">
        <f>IF(COUNT(NH30:NH41)=0,"",SUM(NH30:NH41))</f>
        <v>304327508289</v>
      </c>
      <c r="NI42" s="226">
        <f>IF(COUNT(NI30:NI41)=0,"",SUM(NI30:NI41))</f>
        <v>736132416000</v>
      </c>
      <c r="NJ42" s="228">
        <f>IF(OR(COUNT($AT30:$AT41)=0,COUNT($AS30:$AS41)=0),"",IF(SUM($AS30:$AS41)=0,0,SUM($AT30:$AT41)/SUM($AS30:$AS41)))</f>
        <v>0.28427615063257505</v>
      </c>
      <c r="NK42" s="229">
        <f>IF(OR(COUNT($AM30:$AM41)=0,$C$11="",COUNT($AN30:$AN41)=""),"",IF(SUM($AM30:$AM41)*$C$11+SUM($AN30:$AN41)=0,0,SUM($AM30:$AM41)*$C$11/(SUM($AM30:$AM41)*$C$11+SUM($AN30:$AN41))))</f>
        <v>0.78037220955638498</v>
      </c>
      <c r="NL42" s="229">
        <f>IF(OR(COUNT($CB30:$CB41)=0,COUNT($CD30:$CD41)=0,COUNT($CA30:$CA41)=0,COUNT($CC30:$CC41)=0),"",IF(SUM($CA30:$CA41)+SUM($CC30:$CC41)=0,0,
GuardLimitUpper(
  (SUM($CB30:$CB41)+SUM($CD30:$CD41))/((SUM($CA30:$CA41)+SUM($CC30:$CC41))*16),
  data_GuardLimitFlag,
  1)
))</f>
        <v>0.95836544133710688</v>
      </c>
      <c r="NM42" s="226">
        <f>IF(COUNT(NM30:NM41)=0,"",AVERAGE(NM30:NM41))</f>
        <v>0.54773384546914206</v>
      </c>
      <c r="NN42" s="226">
        <f>IF(OR(COUNT($AS30:$AS41)=0,$NC$42=""),"",IF($NC$42=0,0,SUM($AS30:$AS41)/10^9/$NC$42))</f>
        <v>14.460055752222269</v>
      </c>
      <c r="NO42" s="215">
        <f>IF(COUNT(NO30:NO41)=0,"",AVERAGE(NO30:NO41))</f>
        <v>1.3919849032980884E-4</v>
      </c>
      <c r="NP42" s="215">
        <f>IF(COUNT(NP30:NP41)=0,"",AVERAGE(NP30:NP41))</f>
        <v>0</v>
      </c>
      <c r="NQ42" s="215">
        <f>IF(COUNT(NQ30:NQ41)=0,"",AVERAGE(NQ30:NQ41))</f>
        <v>0.21834659607540274</v>
      </c>
      <c r="NR42" s="215">
        <f t="shared" ref="NR42:OD42" si="163">IF(COUNT(NR30:NR41)=0,"",AVERAGE(NR30:NR41))</f>
        <v>6.6036045914719552E-2</v>
      </c>
      <c r="NS42" s="215">
        <f t="shared" si="163"/>
        <v>1.9388620244879893E-2</v>
      </c>
      <c r="NT42" s="215">
        <f>IF(COUNT(NT30:NT41)=0,"",AVERAGE(NT30:NT41))</f>
        <v>7.6071762111203133E-3</v>
      </c>
      <c r="NU42" s="215">
        <f t="shared" si="163"/>
        <v>0.19775631342836167</v>
      </c>
      <c r="NV42" s="215">
        <f t="shared" si="163"/>
        <v>3.6214208406077915</v>
      </c>
      <c r="NW42" s="215">
        <f>IF(COUNT(NW30:NW41)=0,"",AVERAGE(NW30:NW41))</f>
        <v>1.7888633986815197</v>
      </c>
      <c r="NX42" s="215">
        <f t="shared" si="163"/>
        <v>8.6874105302587701</v>
      </c>
      <c r="NY42" s="215">
        <f>IF(COUNT(NY30:NY41)=0,"",AVERAGE(NY30:NY41))</f>
        <v>9.3158095942482571E-4</v>
      </c>
      <c r="NZ42" s="215">
        <f>IF(COUNT(NZ30:NZ41)=0,"",AVERAGE(NZ30:NZ41))</f>
        <v>0.91118417393052997</v>
      </c>
      <c r="OA42" s="215">
        <f>IF(COUNT(OA30:OA41)=0,"",AVERAGE(OA30:OA41))</f>
        <v>0</v>
      </c>
      <c r="OB42" s="215">
        <f>IF(COUNT(OB30:OB41)=0,"",AVERAGE(OB30:OB41))</f>
        <v>0.10896996990854856</v>
      </c>
      <c r="OC42" s="215">
        <f>IF(COUNT(OC30:OC41)=0,"",AVERAGE(OC30:OC41))</f>
        <v>0</v>
      </c>
      <c r="OD42" s="215">
        <f t="shared" si="163"/>
        <v>2.6651612171865766</v>
      </c>
      <c r="OE42" s="215">
        <f>IF(COUNT(OE30:OE41)=0,"",AVERAGE(OE30:OE41))</f>
        <v>0.81584887930647809</v>
      </c>
      <c r="OF42" s="215">
        <f>IF(COUNT(OF30:OF41)=0,"",AVERAGE(OF30:OF41))</f>
        <v>0.51717841025559708</v>
      </c>
      <c r="OG42" s="215">
        <f>IF(COUNT(OG30:OG41)=0,"",AVERAGE(OG30:OG41))</f>
        <v>1.4198490232827277</v>
      </c>
      <c r="OH42" s="215">
        <f>IF(COUNT(OH30:OH41)=0,"",AVERAGE(OH30:OH41))</f>
        <v>3.2774180958392278E-6</v>
      </c>
      <c r="OI42" s="215">
        <f>IF(COUNT(OI30:OI41)=0,"",AVERAGE(OI30:OI41))</f>
        <v>21.046081253333337</v>
      </c>
      <c r="OJ42" s="227">
        <f>IF(OR(COUNT($CA30:$CA41)=0,COUNT($BV30:$BV41)=0),"",IF(SUM($BV30:$BV41)=0,0,SUM($CA30:$CA41)/SUM($BV30:$BV41)))</f>
        <v>0.22495944453698127</v>
      </c>
      <c r="OK42" s="227">
        <f>IF(OR(COUNT($CC30:$CC41)=0,COUNT($BV30:$BV41)=0),"",IF(SUM($BV30:$BV41)=0,0,SUM($CC30:$CC41)/SUM($BV30:$BV41)))</f>
        <v>0.19996952201381449</v>
      </c>
      <c r="OL42" s="227">
        <f>IF(OR(COUNT($FO30:$FO41)=0,COUNT($FH30:$FH41)=0),"",IF(SUM($FH30:$FH41)=0,0,SUM($FO30:$FO41)/SUM($FH30:$FH41)))</f>
        <v>1.5325467261687667E-2</v>
      </c>
      <c r="OM42" s="227">
        <f>IF(OR(COUNT($FP30:$FP41)=0,COUNT($FH30:$FH41)=0),"",IF(SUM($FH30:$FH41)=0,0,SUM($FP30:$FP41)/SUM($FH30:$FH41)))</f>
        <v>2.4173042069061599E-2</v>
      </c>
      <c r="ON42" s="230">
        <f>IF(OR(COUNT($BW30:$BW41)=0,COUNT($BX30:$BX41)=0,COUNT($BV30:$BV41)=0),"",IF(SUM($BV30:$BV41)=0,0,(SUM($BW30:$BW41)+SUM($BX30:$BX41))/2/SUM($BV30:$BV41)))</f>
        <v>0.22329685580110742</v>
      </c>
      <c r="OO42" s="218">
        <f>IF(OR(COUNT($BY$30:$BY$41)=0,COUNT($BV$30:$BV$41)=0),"",IF(SUM($BV$30:$BV$41)=0,0,SUM($BY$30:$BY$41)/2/SUM($BV$30:$BV$41)))</f>
        <v>0.23439817534404059</v>
      </c>
      <c r="OP42" s="218">
        <f>IF($OK$25="","",IF(NG42="","",NG$42))</f>
        <v>0.38283888824784751</v>
      </c>
      <c r="OQ42" s="227">
        <f>IF(OR(COUNT($FM30:$FM41)=0,COUNT($FH30:$FH41)=0),"",IF(SUM($FH30:$FH41)=0,0,SUM($FM30:$FM41)/SUM($FH30:$FH41)))</f>
        <v>0.15080479207889774</v>
      </c>
      <c r="OR42" s="227">
        <f>IF(OR(COUNT($FN30:$FN41)=0,COUNT($FH30:$FH41)=0),"",IF(SUM($FH30:$FH41)=0,0,SUM($FN30:$FN41)/SUM($FH30:$FH41)))</f>
        <v>0.14857870186749525</v>
      </c>
      <c r="OS42" s="227">
        <f>IF(OR(COUNT(CB30:CB41)=0,COUNT(CA30:CA41)=0),"",IF(SUM($CA30:$CA41)=0,0,
GuardLimitUpper(
  SUM($CB30:$CB41)/(SUM($CA30:$CA41)*16),
  data_GuardLimitFlag,
  1)
))</f>
        <v>0.92293492406395572</v>
      </c>
      <c r="OT42" s="227">
        <f>IF(OR(COUNT(CD30:CD41)=0,COUNT(CC30:CC41)=0),"",IF(SUM($CC30:$CC41)=0,0,
GuardLimitUpper(
  SUM($CD30:$CD41)/(SUM($CC30:$CC41)*16),
  data_GuardLimitFlag,
  1)
))</f>
        <v>0.99822366275584573</v>
      </c>
      <c r="OU42" s="227">
        <f>IF(COUNT(OU30:OU41)=0,"",AVERAGE(OU30:OU41))</f>
        <v>1.0000000008406338</v>
      </c>
      <c r="OV42" s="227">
        <f>IF(COUNT(OV30:OV41)=0,"",AVERAGE(OV30:OV41))</f>
        <v>1.0000000017461048</v>
      </c>
      <c r="OW42" s="227">
        <f>IF(OR(COUNT($BZ30:$BZ41)=0,COUNT($BV30:$BV41)=0),"",IF(SUM($BV30:$BV41)=0,0,SUM($BZ30:$BZ41)/SUM($BV30:$BV41)))</f>
        <v>9.1909744571566487E-3</v>
      </c>
      <c r="OX42" s="227">
        <f>IF(OR(COUNT($GG30:$GG41)=0,COUNT($AS30:$AS41)=0),"",IF(SUM($AS30:$AS41)=0,0,SUM($GG30:$GG41)/SUM($AS30:$AS41)))</f>
        <v>1.6689257006556254E-8</v>
      </c>
      <c r="OY42" s="226">
        <f>IF(COUNT(OY30:OY41)=0,"",SUM(OY30:OY41))</f>
        <v>75936907447</v>
      </c>
      <c r="OZ42" s="226">
        <f>IF(COUNT(OZ30:OZ41)=0,"",SUM(OZ30:OZ41))</f>
        <v>5612243984</v>
      </c>
      <c r="PA42" s="227">
        <f>IF(OR($OZ$42="",$OY$42=""),"",IF($OY$42=0,0,$OZ$42/$OY$42))</f>
        <v>7.3906670322557627E-2</v>
      </c>
      <c r="PB42" s="209">
        <f>IF(OR(COUNT($OZ30:$OZ41)=0,COUNT($CQ30:$CQ41)=0,$OZ$42=""),"",IF($OZ$42=0,0,
GuardLimitUpper(
  (SUM($OZ30:$OZ41)-SUM($CQ30:$CQ41))/$OZ$42,
  data_GuardLimitFlag,
  1)
))</f>
        <v>3.2522300263558894E-2</v>
      </c>
      <c r="PC42" s="209">
        <f>IF(OR(COUNT($GB30:$GB41)=0,$OZ$42=""),"",IF($OZ$42=0,0,
GuardLimitUpper(
  SUM($GB30:$GB41)/$OZ$42,
  data_GuardLimitFlag,
  1)
))</f>
        <v>0.95601167559646139</v>
      </c>
      <c r="PD42" s="209">
        <f>IF(OR(COUNT($CQ30:$CQ41)=0,COUNT($GB30:$GB41)=0,$OZ$42=""),"",IF($OZ$42=0,0,
GuardLimitUpper(
  (SUM($CQ30:$CQ41)-SUM($GB30:$GB41))/$OZ$42,
  data_GuardLimitFlag,
  1)
))</f>
        <v>1.1466024139979727E-2</v>
      </c>
      <c r="PE42" s="226">
        <f>IF(COUNT(PE30:PE41)=0,"",SUM(PE30:PE41))</f>
        <v>5548900487</v>
      </c>
      <c r="PF42" s="227">
        <f>IF(OR($PE$42="",$OY$42=""),"",IF($OY$42=0,0,$PE$42/$OY$42))</f>
        <v>7.3072510766557658E-2</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3.805323937113593E-2</v>
      </c>
      <c r="PH42" s="209">
        <f>IF(OR(COUNT($GD30:$GD41)=0,COUNT($CS30:$CS41)=0,COUNT($CO30:$CO41)=0,COUNT($GC30:$GC41)=0,COUNT($GH30:$GH41)=0),"",IF(SUM($CS30:$CS41)-SUM($CO30:$CO41)+SUM($GC30:$GC41)-SUM($GH30:$GH41)=0,0,
GuardLimitUpper(
  SUM($GD30:$GD41)/(SUM($CS30:$CS41)-SUM($CO30:$CO41)+SUM($GC30:$GC41)-SUM($GH30:$GH41)),
  data_GuardLimitFlag,
  1)
))</f>
        <v>0.96393429872093206</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6.6385373983242927E-7</v>
      </c>
      <c r="PK42" s="231">
        <f>IF(OR(COUNT($GF30:$GF41)=0,$OY$42=""),"",IF($OY$42=0,0,SUM($GF30:$GF41)/$OY$42))</f>
        <v>2.8971419484464592E-10</v>
      </c>
      <c r="PL42" s="226">
        <f>IF(COUNT(PL30:PL41)=0,"",SUM(PL30:PL41))</f>
        <v>1891920015</v>
      </c>
      <c r="PM42" s="226">
        <f>IF(COUNT(PM30:PM41)=0,"",SUM(PM30:PM41))</f>
        <v>0</v>
      </c>
      <c r="PN42" s="226">
        <f>IF(COUNT(PN30:PN41)=0,"",SUM(PN30:PN41))</f>
        <v>11351520000</v>
      </c>
      <c r="PO42" s="226">
        <f t="shared" ref="PO42:QL42" si="164">IF(COUNT(PO30:PO41)=0,"",SUM(PO30:PO41))</f>
        <v>0</v>
      </c>
      <c r="PP42" s="226">
        <f>IF(COUNT(PP30:PP41)=0,"",SUM(PP30:PP41))</f>
        <v>0</v>
      </c>
      <c r="PQ42" s="226">
        <f>IF(COUNT(PQ30:PQ41)=0,"",SUM(PQ30:PQ41))</f>
        <v>0</v>
      </c>
      <c r="PR42" s="226">
        <f t="shared" si="164"/>
        <v>0</v>
      </c>
      <c r="PS42" s="226">
        <f>IF(COUNT(PS30:PS41)=0,"",SUM(PS30:PS41))</f>
        <v>42569703519</v>
      </c>
      <c r="PT42" s="226">
        <f>IF(COUNT(PT30:PT41)=0,"",SUM(PT30:PT41))</f>
        <v>258048015</v>
      </c>
      <c r="PU42" s="226">
        <f t="shared" si="164"/>
        <v>0</v>
      </c>
      <c r="PV42" s="226">
        <f>IF(COUNT(PV30:PV41)=0,"",SUM(PV30:PV41))</f>
        <v>5675760000</v>
      </c>
      <c r="PW42" s="226">
        <f>IF(COUNT(PW30:PW41)=0,"",SUM(PW30:PW41))</f>
        <v>0</v>
      </c>
      <c r="PX42" s="226">
        <f>IF(COUNT(PX30:PX41)=0,"",SUM(PX30:PX41))</f>
        <v>0</v>
      </c>
      <c r="PY42" s="226">
        <f>IF(COUNT(PY30:PY41)=0,"",SUM(PY30:PY41))</f>
        <v>14189955898</v>
      </c>
      <c r="PZ42" s="226">
        <f>IF(COUNT(PZ30:PZ41)=0,"",SUM(PZ30:PZ41))</f>
        <v>0</v>
      </c>
      <c r="QA42" s="226">
        <f t="shared" si="164"/>
        <v>0</v>
      </c>
      <c r="QB42" s="226">
        <f>IF(COUNT(QB30:QB41)=0,"",SUM(QB30:QB41))</f>
        <v>64344481</v>
      </c>
      <c r="QC42" s="226">
        <f t="shared" si="164"/>
        <v>96</v>
      </c>
      <c r="QD42" s="226">
        <f t="shared" si="164"/>
        <v>79977432000</v>
      </c>
      <c r="QE42" s="226">
        <f t="shared" si="164"/>
        <v>79805328000</v>
      </c>
      <c r="QF42" s="226">
        <f>IF(COUNT(QF30:QF41)=0,"",SUM(QF30:QF41))</f>
        <v>6105792000</v>
      </c>
      <c r="QG42" s="226">
        <f t="shared" si="164"/>
        <v>0</v>
      </c>
      <c r="QH42" s="226">
        <f>IF(COUNT(QH30:QH41)=0,"",SUM(QH30:QH41))</f>
        <v>15393864060</v>
      </c>
      <c r="QI42" s="226">
        <f t="shared" si="164"/>
        <v>3955920384</v>
      </c>
      <c r="QJ42" s="226">
        <f t="shared" si="164"/>
        <v>7256505125</v>
      </c>
      <c r="QK42" s="226">
        <f t="shared" si="164"/>
        <v>24204</v>
      </c>
      <c r="QL42" s="226">
        <f t="shared" si="164"/>
        <v>0</v>
      </c>
      <c r="QM42" s="226">
        <f>IF(COUNT(QM30:QM41)=0,"",SUM(QM30:QM41))</f>
        <v>35831390492</v>
      </c>
      <c r="QN42" s="226">
        <f>IF(COUNT(QN30:QN41)=0,"",SUM(QN30:QN41))</f>
        <v>304327508289</v>
      </c>
      <c r="QO42" s="226">
        <f>IF(OR(COUNT($EU30:$EU41)=0,$C$11="",COUNT($EW30:$EW41)=0,COUNT($AM30:$AM41)=0,COUNT($AN30:$AN41)=0),"",
    SUM($EU30:$EU41)*$C$11+SUM($EW30:$EW41))</f>
        <v>736132416000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33.520913430411383</v>
      </c>
      <c r="QS42" s="227">
        <f>IF(COUNT(QS30:QS41)=0,"",AVERAGE(QS30:QS41))</f>
        <v>0</v>
      </c>
      <c r="QT42" s="227">
        <f>IF(COUNT(QT30:QT41)=0,"",AVERAGE(QT30:QT41))</f>
        <v>0.75043606327196777</v>
      </c>
      <c r="QU42" s="227">
        <f>IF(COUNT(QU30:QU41)=0,"",AVERAGE(QU30:QU41))</f>
        <v>0.24956393672803232</v>
      </c>
      <c r="QV42" s="226">
        <f>IF(COUNT(QV30:QV41)=0,"",SUM(QV30:QV41))</f>
        <v>333566839837</v>
      </c>
      <c r="QW42" s="226">
        <f>IF(COUNT(QW30:QW41)=0,"",SUM(QW30:QW41))</f>
        <v>6192060000</v>
      </c>
      <c r="QX42" s="226">
        <f>IF(COUNT(QX30:QX41)=0,"",SUM(QX30:QX41))</f>
        <v>1891944060</v>
      </c>
      <c r="QY42" s="226">
        <f>IF(COUNT(QY30:QY41)=0,"",SUM(QY30:QY41))</f>
        <v>12211680000</v>
      </c>
      <c r="QZ42" s="226">
        <f>IF(COUNT(QZ30:QZ41)=0,"",SUM(QZ30:QZ41))</f>
        <v>0</v>
      </c>
      <c r="RA42" s="227">
        <f>IF(COUNT(RA30:RA41)=0,"",AVERAGE(RA30:RA41))</f>
        <v>0.99999932400354996</v>
      </c>
      <c r="RB42" s="227">
        <f>IF(COUNT(RB30:RB41)=0,"",AVERAGE(RB30:RB41))</f>
        <v>7.4515275283580998E-2</v>
      </c>
      <c r="RC42" s="209">
        <f>IF(COUNT(RC30:RC41)=0,"",AVERAGE(RC30:RC41))</f>
        <v>0.49772378246773835</v>
      </c>
      <c r="RD42" s="209">
        <f t="shared" ref="RD42:RI42" si="165">IF(COUNT(RD30:RD41)=0,"",AVERAGE(RD30:RD41))</f>
        <v>0</v>
      </c>
      <c r="RE42" s="209">
        <f t="shared" si="165"/>
        <v>0</v>
      </c>
      <c r="RF42" s="209">
        <f t="shared" si="165"/>
        <v>0.45784018321716441</v>
      </c>
      <c r="RG42" s="209">
        <f t="shared" si="165"/>
        <v>0</v>
      </c>
      <c r="RH42" s="209">
        <f t="shared" si="165"/>
        <v>0</v>
      </c>
      <c r="RI42" s="209">
        <f t="shared" si="165"/>
        <v>4.4436034315097288E-2</v>
      </c>
      <c r="RJ42" s="134"/>
      <c r="RK42" s="134"/>
      <c r="RL42" s="134"/>
      <c r="RM42" s="134"/>
      <c r="RN42" s="134"/>
      <c r="RO42" s="134"/>
      <c r="RP42" s="134"/>
      <c r="RQ42" s="134"/>
      <c r="RR42" s="222">
        <f>IF(COUNT(RR30:RR41)=0,"",SUM(RR30:RR41))</f>
        <v>22.964803582823993</v>
      </c>
      <c r="RS42" s="222">
        <f>IF(OR(COUNT($FK30:$FK41)=0,$NC$42=""),"",IF($NC$42=0,0,AVERAGE($FK30:$FK41)*32/10^9/$NC$42))</f>
        <v>2.3714441363485905</v>
      </c>
      <c r="RT42" s="222">
        <f>IF(OR(COUNT($FL30:$FL41)=0,$NC$42=""),"",IF($NC$42=0,0,AVERAGE($FL30:$FL41)*256/10^9/$NC$42))</f>
        <v>7.4585308091566063</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x14ac:dyDescent="0.25">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75936907447</v>
      </c>
      <c r="PM43" s="820"/>
      <c r="PN43" s="820"/>
      <c r="PO43" s="820"/>
      <c r="PP43" s="820"/>
      <c r="PQ43" s="821"/>
      <c r="PR43" s="820"/>
      <c r="PS43" s="821"/>
      <c r="PT43" s="820"/>
      <c r="PU43" s="820"/>
      <c r="PV43" s="820"/>
      <c r="PW43" s="821"/>
      <c r="PX43" s="820"/>
      <c r="PY43" s="822"/>
      <c r="PZ43" s="823">
        <f>IF(COUNT(PZ42:QB42)=0,"",SUM(PZ42:QB42))</f>
        <v>64344481</v>
      </c>
      <c r="QA43" s="821"/>
      <c r="QB43" s="824"/>
      <c r="QC43" s="208">
        <f>IF(COUNT(QC42)=0,"",SUM(QC42))</f>
        <v>96</v>
      </c>
      <c r="QD43" s="819">
        <f>IF(COUNT(QD42:QF42)=0,"",SUM(QD42:QF42))</f>
        <v>165888552000</v>
      </c>
      <c r="QE43" s="820"/>
      <c r="QF43" s="822"/>
      <c r="QG43" s="819">
        <f>IF(COUNT(QG42:QH42)=0,"",SUM(QG42:QH42))</f>
        <v>15393864060</v>
      </c>
      <c r="QH43" s="822"/>
      <c r="QI43" s="208">
        <f>IF(COUNT(QI42)=0,"",SUM(QI42))</f>
        <v>3955920384</v>
      </c>
      <c r="QJ43" s="208">
        <f>IF(COUNT(QJ42)=0,"",SUM(QJ42))</f>
        <v>7256505125</v>
      </c>
      <c r="QK43" s="208">
        <f>IF(COUNT(QK42)=0,"",SUM(QK42))</f>
        <v>24204</v>
      </c>
      <c r="QL43" s="208">
        <f>IF(COUNT(QL42)=0,"",SUM(QL42))</f>
        <v>0</v>
      </c>
      <c r="QM43" s="208">
        <f>IF(COUNT(QM42)=0,"",SUM(QM42))</f>
        <v>35831390492</v>
      </c>
      <c r="QN43" s="208">
        <f>IF(COUNT(PL43:QM43)=0,"",SUM(PL43:QM43))</f>
        <v>304327508289</v>
      </c>
      <c r="QO43" s="232"/>
      <c r="QP43" s="232"/>
      <c r="QQ43" s="232"/>
      <c r="QR43" s="232"/>
      <c r="QS43" s="825">
        <f>IF(COUNT(QS42:QT42)=0,"",SUM(QS42:QT42))</f>
        <v>0.75043606327196777</v>
      </c>
      <c r="QT43" s="820"/>
      <c r="QU43" s="822"/>
      <c r="QV43" s="208">
        <f>IF(COUNT(QV42)=0,"",SUM(QV42))</f>
        <v>333566839837</v>
      </c>
      <c r="QW43" s="819">
        <f>IF(COUNT(QW42:$QX42)=0,"",SUM(QW42:$QX42))</f>
        <v>8084004060</v>
      </c>
      <c r="QX43" s="822"/>
      <c r="QY43" s="208">
        <f>IF(COUNT(QY42)=0,"",SUM(QY42))</f>
        <v>12211680000</v>
      </c>
      <c r="QZ43" s="208">
        <f>IF(COUNT(QZ42)=0,"",SUM(QZ42))</f>
        <v>0</v>
      </c>
      <c r="RA43" s="227">
        <f>IF(COUNT(RA42)=0,"",SUM(RA42))</f>
        <v>0.99999932400354996</v>
      </c>
      <c r="RB43" s="227">
        <f>IF(COUNT(RB42)=0,"",SUM(RB42))</f>
        <v>7.4515275283580998E-2</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1.5786846451142425E-4</v>
      </c>
      <c r="TT43" s="414">
        <f t="shared" ref="TT43:TT54" si="168">NU30</f>
        <v>0.18474329828326705</v>
      </c>
      <c r="TU43" s="414">
        <f t="shared" ref="TU43:TU54" si="169">NX30</f>
        <v>8.7166634437816413</v>
      </c>
      <c r="TV43" s="414">
        <f t="shared" ref="TV43:TV54" si="170">NZ30</f>
        <v>0.90722805245142801</v>
      </c>
      <c r="TW43" s="414">
        <f t="shared" ref="TW43:TW54" si="171">OA30</f>
        <v>0</v>
      </c>
      <c r="TX43" s="414">
        <f>OB30</f>
        <v>0.10892639472549011</v>
      </c>
      <c r="TY43" s="414">
        <f t="shared" ref="TY43:TY54" si="172">OC30</f>
        <v>0</v>
      </c>
      <c r="TZ43" s="414">
        <f t="shared" ref="TZ43:TZ54" si="173">OD30</f>
        <v>2.6681993207855914</v>
      </c>
      <c r="UA43" s="414">
        <f t="shared" ref="UA43:UA54" si="174">OH30</f>
        <v>0</v>
      </c>
      <c r="UB43" s="254" t="s">
        <v>463</v>
      </c>
      <c r="UC43" s="413" t="str">
        <f>IF($NA30="","","Process" &amp; CHAR(10) &amp; $NA30)</f>
        <v>Process
0</v>
      </c>
      <c r="UD43" s="413" t="str">
        <f t="shared" ref="UD43:UD54" si="175">IF($NB30="","","Thread " &amp; $NB30)</f>
        <v>Thread 0</v>
      </c>
      <c r="UE43" s="414">
        <f t="shared" ref="UE43:UE54" si="176">NO30</f>
        <v>1.5786846451142425E-4</v>
      </c>
      <c r="UF43" s="414">
        <f t="shared" ref="UF43:UF54" si="177">NP30</f>
        <v>0</v>
      </c>
      <c r="UG43" s="414">
        <f t="shared" ref="UG43:UG54" si="178">NQ30</f>
        <v>0.21960564946788405</v>
      </c>
      <c r="UH43" s="414">
        <f t="shared" ref="UH43:UH54" si="179">NR30</f>
        <v>6.7943635871443364E-2</v>
      </c>
      <c r="UI43" s="414">
        <f t="shared" ref="UI43:UI54" si="180">NS30</f>
        <v>1.7576909001123572E-2</v>
      </c>
      <c r="UJ43" s="414">
        <f t="shared" ref="UJ43:UJ54" si="181">NT30</f>
        <v>7.5642079019150842E-3</v>
      </c>
      <c r="UK43" s="414">
        <f t="shared" ref="UK43:UK54" si="182">NU30</f>
        <v>0.18474329828326705</v>
      </c>
      <c r="UL43" s="414">
        <f t="shared" ref="UL43:UL54" si="183">NV30</f>
        <v>3.621195855472179</v>
      </c>
      <c r="UM43" s="414">
        <f t="shared" ref="UM43:UM54" si="184">NW30</f>
        <v>1.7869632902147567</v>
      </c>
      <c r="UN43" s="414">
        <f t="shared" ref="UN43:UN54" si="185">NX30</f>
        <v>8.7166634437816413</v>
      </c>
      <c r="UO43" s="414">
        <f t="shared" ref="UO43:UO54" si="186">NY30</f>
        <v>9.4531374700632846E-4</v>
      </c>
      <c r="UP43" s="414">
        <f t="shared" ref="UP43:UP54" si="187">NZ30</f>
        <v>0.90722805245142801</v>
      </c>
      <c r="UQ43" s="414">
        <f t="shared" ref="UQ43:UQ54" si="188">OA30</f>
        <v>0</v>
      </c>
      <c r="UR43" s="414">
        <f t="shared" ref="UR43:UR54" si="189">OB30</f>
        <v>0.10892639472549011</v>
      </c>
      <c r="US43" s="414">
        <f t="shared" ref="US43:US54" si="190">OC30</f>
        <v>0</v>
      </c>
      <c r="UT43" s="414">
        <f t="shared" ref="UT43:UT54" si="191">OD30</f>
        <v>2.6681993207855914</v>
      </c>
      <c r="UU43" s="414">
        <f t="shared" ref="UU43:UU54" si="192">OE30</f>
        <v>0.81775675322050312</v>
      </c>
      <c r="UV43" s="414">
        <f t="shared" ref="UV43:UV54" si="193">OF30</f>
        <v>0.51528404696291852</v>
      </c>
      <c r="UW43" s="414">
        <f t="shared" ref="UW43:UW54" si="194">OG30</f>
        <v>1.4198745291023354</v>
      </c>
      <c r="UX43" s="414">
        <f t="shared" ref="UX43:UX54" si="195">OH30</f>
        <v>0</v>
      </c>
      <c r="UY43" s="254" t="s">
        <v>463</v>
      </c>
      <c r="VA43" s="415"/>
      <c r="VK43" s="2"/>
    </row>
    <row r="44" spans="28:617" x14ac:dyDescent="0.15">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1.5444544503685786E-4</v>
      </c>
      <c r="TT44" s="414">
        <f t="shared" si="168"/>
        <v>0.17315585773068537</v>
      </c>
      <c r="TU44" s="414">
        <f t="shared" si="169"/>
        <v>8.7207228524836857</v>
      </c>
      <c r="TV44" s="414">
        <f t="shared" si="170"/>
        <v>0.905953166432798</v>
      </c>
      <c r="TW44" s="414">
        <f t="shared" si="171"/>
        <v>0</v>
      </c>
      <c r="TX44" s="414">
        <f t="shared" ref="TX44:TX54" si="197">OB31</f>
        <v>0.10897822502984973</v>
      </c>
      <c r="TY44" s="414">
        <f t="shared" si="172"/>
        <v>0</v>
      </c>
      <c r="TZ44" s="414">
        <f t="shared" si="173"/>
        <v>2.6701997428150621</v>
      </c>
      <c r="UA44" s="414">
        <f t="shared" si="174"/>
        <v>0</v>
      </c>
      <c r="UC44" s="413" t="str">
        <f t="shared" ref="UC44:UC54" si="198">IF($NA31="","",IF($NA31=$NA30,"","Process" &amp; CHAR(10) &amp; $NA31))</f>
        <v/>
      </c>
      <c r="UD44" s="413" t="str">
        <f t="shared" si="175"/>
        <v>Thread 1</v>
      </c>
      <c r="UE44" s="414">
        <f t="shared" si="176"/>
        <v>1.5444544503685786E-4</v>
      </c>
      <c r="UF44" s="414">
        <f t="shared" si="177"/>
        <v>0</v>
      </c>
      <c r="UG44" s="414">
        <f t="shared" si="178"/>
        <v>0.22302901608280359</v>
      </c>
      <c r="UH44" s="414">
        <f t="shared" si="179"/>
        <v>4.3138023822720917E-2</v>
      </c>
      <c r="UI44" s="414">
        <f t="shared" si="180"/>
        <v>1.6147209967282326E-2</v>
      </c>
      <c r="UJ44" s="414">
        <f t="shared" si="181"/>
        <v>7.5790996363007922E-3</v>
      </c>
      <c r="UK44" s="414">
        <f t="shared" si="182"/>
        <v>0.17315585773068537</v>
      </c>
      <c r="UL44" s="414">
        <f t="shared" si="183"/>
        <v>3.6212735471278474</v>
      </c>
      <c r="UM44" s="414">
        <f t="shared" si="184"/>
        <v>1.7885238170646798</v>
      </c>
      <c r="UN44" s="414">
        <f t="shared" si="185"/>
        <v>8.7207228524836857</v>
      </c>
      <c r="UO44" s="414">
        <f t="shared" si="186"/>
        <v>9.3620569439775974E-4</v>
      </c>
      <c r="UP44" s="414">
        <f t="shared" si="187"/>
        <v>0.905953166432798</v>
      </c>
      <c r="UQ44" s="414">
        <f t="shared" si="188"/>
        <v>0</v>
      </c>
      <c r="UR44" s="414">
        <f t="shared" si="189"/>
        <v>0.10897822502984973</v>
      </c>
      <c r="US44" s="414">
        <f t="shared" si="190"/>
        <v>0</v>
      </c>
      <c r="UT44" s="414">
        <f t="shared" si="191"/>
        <v>2.6701997428150621</v>
      </c>
      <c r="UU44" s="414">
        <f t="shared" si="192"/>
        <v>0.81862114876715131</v>
      </c>
      <c r="UV44" s="414">
        <f t="shared" si="193"/>
        <v>0.51440016840959801</v>
      </c>
      <c r="UW44" s="414">
        <f t="shared" si="194"/>
        <v>1.4189890420503639</v>
      </c>
      <c r="UX44" s="414">
        <f t="shared" si="195"/>
        <v>0</v>
      </c>
      <c r="VA44" s="415"/>
      <c r="VK44" s="2"/>
    </row>
    <row r="45" spans="28:617" ht="15.75" customHeight="1" thickBot="1" x14ac:dyDescent="0.3">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0</v>
      </c>
      <c r="RL45" s="577">
        <f>IF(OR(COUNT($LA30:$LA41)=0,COUNT($LB30:$LB41)=0,COUNT($LC30:$LC41)=0,COUNT($LD30:$LD41)=0,$C$8="",$NC$42=""),"",IF($NC$42=0,0,
IF($G$11=0,($LB30+$LC30+$LD30)*$C$8/10^9/$NC$42,
IF($G$11=1,($LA30+$LC30+$LD30)*$C$8/10^9/$NC$42,
IF($G$11=2,($LA30+$LB30+$LD30)*$C$8/10^9/$NC$42,
IF($G$11=3,($LA30+$LB30+$LC30)*$C$8/10^9/$NC$42))))))</f>
        <v>3.0880321717710064E-3</v>
      </c>
      <c r="TK45" s="309"/>
      <c r="TL45" s="358" t="s">
        <v>1952</v>
      </c>
      <c r="TM45" s="358" t="s">
        <v>1427</v>
      </c>
      <c r="TN45" s="358" t="s">
        <v>1689</v>
      </c>
      <c r="TQ45" s="413" t="str">
        <f t="shared" si="196"/>
        <v/>
      </c>
      <c r="TR45" s="413" t="str">
        <f t="shared" si="166"/>
        <v>Thread 2</v>
      </c>
      <c r="TS45" s="414">
        <f t="shared" si="167"/>
        <v>1.6835282440187899E-4</v>
      </c>
      <c r="TT45" s="414">
        <f t="shared" si="168"/>
        <v>0.18705132953042536</v>
      </c>
      <c r="TU45" s="414">
        <f t="shared" si="169"/>
        <v>8.7140286782801084</v>
      </c>
      <c r="TV45" s="414">
        <f t="shared" si="170"/>
        <v>0.90666583251357047</v>
      </c>
      <c r="TW45" s="414">
        <f t="shared" si="171"/>
        <v>0</v>
      </c>
      <c r="TX45" s="414">
        <f t="shared" si="197"/>
        <v>0.10895780221648919</v>
      </c>
      <c r="TY45" s="414">
        <f t="shared" si="172"/>
        <v>0</v>
      </c>
      <c r="TZ45" s="414">
        <f t="shared" si="173"/>
        <v>2.6679934767752371</v>
      </c>
      <c r="UA45" s="414">
        <f t="shared" si="174"/>
        <v>0</v>
      </c>
      <c r="UC45" s="413" t="str">
        <f t="shared" si="198"/>
        <v/>
      </c>
      <c r="UD45" s="413" t="str">
        <f t="shared" si="175"/>
        <v>Thread 2</v>
      </c>
      <c r="UE45" s="414">
        <f t="shared" si="176"/>
        <v>1.6835282440187899E-4</v>
      </c>
      <c r="UF45" s="414">
        <f t="shared" si="177"/>
        <v>0</v>
      </c>
      <c r="UG45" s="414">
        <f t="shared" si="178"/>
        <v>0.21727182817459351</v>
      </c>
      <c r="UH45" s="414">
        <f t="shared" si="179"/>
        <v>8.1263770102850186E-2</v>
      </c>
      <c r="UI45" s="414">
        <f t="shared" si="180"/>
        <v>1.7254068688017314E-2</v>
      </c>
      <c r="UJ45" s="414">
        <f t="shared" si="181"/>
        <v>7.526973123890196E-3</v>
      </c>
      <c r="UK45" s="414">
        <f t="shared" si="182"/>
        <v>0.18705132953042536</v>
      </c>
      <c r="UL45" s="414">
        <f t="shared" si="183"/>
        <v>3.623692209290986</v>
      </c>
      <c r="UM45" s="414">
        <f t="shared" si="184"/>
        <v>1.7885524401472932</v>
      </c>
      <c r="UN45" s="414">
        <f t="shared" si="185"/>
        <v>8.7140286782801084</v>
      </c>
      <c r="UO45" s="414">
        <f t="shared" si="186"/>
        <v>9.3181203857613368E-4</v>
      </c>
      <c r="UP45" s="414">
        <f t="shared" si="187"/>
        <v>0.90666583251357047</v>
      </c>
      <c r="UQ45" s="414">
        <f t="shared" si="188"/>
        <v>0</v>
      </c>
      <c r="UR45" s="414">
        <f t="shared" si="189"/>
        <v>0.10895780221648919</v>
      </c>
      <c r="US45" s="414">
        <f t="shared" si="190"/>
        <v>0</v>
      </c>
      <c r="UT45" s="414">
        <f t="shared" si="191"/>
        <v>2.6679934767752371</v>
      </c>
      <c r="UU45" s="414">
        <f t="shared" si="192"/>
        <v>0.81812781830868198</v>
      </c>
      <c r="UV45" s="414">
        <f t="shared" si="193"/>
        <v>0.51504854843408465</v>
      </c>
      <c r="UW45" s="414">
        <f t="shared" si="194"/>
        <v>1.419766830701259</v>
      </c>
      <c r="UX45" s="414">
        <f t="shared" si="195"/>
        <v>0</v>
      </c>
      <c r="VA45" s="415"/>
      <c r="VK45" s="2"/>
    </row>
    <row r="46" spans="28:617" ht="15.75" customHeight="1" x14ac:dyDescent="0.15">
      <c r="RJ46" s="577">
        <v>1</v>
      </c>
      <c r="RK46" s="577">
        <f>IF(OR(COUNT($KW31:$KW42)=0,COUNT($KX31:$KX42)=0,COUNT($KY31:$KY42)=0,COUNT($LU31:$LU42)=0,COUNT($LV31:$LV42)=0,$C$8="",$NC$42=""),"",IF($NC$42=0,0,
  GuardLimitLower(
    (($KW31 - $KX31 - $KY31)
     - $LU31 + $LV31)*$C$8/10^9/$NC$42,
    data_GuardLimitFlag,
    0) ))</f>
        <v>0</v>
      </c>
      <c r="RL46" s="577">
        <f t="shared" ref="RL46:RL56" si="199">IF(OR(COUNT($LA31:$LA42)=0,COUNT($LB31:$LB42)=0,COUNT($LC31:$LC42)=0,COUNT($LD31:$LD42)=0,$C$8="",$NC$42=""),"",IF($NC$42=0,0,
IF($G$11=0,($LB31+$LC31+$LD31)*$C$8/10^9/$NC$42,
IF($G$11=1,($LA31+$LC31+$LD31)*$C$8/10^9/$NC$42,
IF($G$11=2,($LA31+$LB31+$LD31)*$C$8/10^9/$NC$42,
IF($G$11=3,($LA31+$LB31+$LC31)*$C$8/10^9/$NC$42))))))</f>
        <v>3.0678767806131954E-3</v>
      </c>
      <c r="TK46" s="317"/>
      <c r="TL46" s="320" t="s">
        <v>1727</v>
      </c>
      <c r="TM46" s="319" t="s">
        <v>1730</v>
      </c>
      <c r="TN46" s="318" t="s">
        <v>1894</v>
      </c>
      <c r="TQ46" s="413" t="str">
        <f t="shared" si="196"/>
        <v/>
      </c>
      <c r="TR46" s="413" t="str">
        <f t="shared" si="166"/>
        <v>Thread 3</v>
      </c>
      <c r="TS46" s="414">
        <f t="shared" si="167"/>
        <v>1.6490453266555479E-4</v>
      </c>
      <c r="TT46" s="414">
        <f t="shared" si="168"/>
        <v>0.18854402043012516</v>
      </c>
      <c r="TU46" s="414">
        <f t="shared" si="169"/>
        <v>8.7062600514124142</v>
      </c>
      <c r="TV46" s="414">
        <f t="shared" si="170"/>
        <v>0.90922722082629182</v>
      </c>
      <c r="TW46" s="414">
        <f t="shared" si="171"/>
        <v>0</v>
      </c>
      <c r="TX46" s="414">
        <f t="shared" si="197"/>
        <v>0.10898167985006244</v>
      </c>
      <c r="TY46" s="414">
        <f t="shared" si="172"/>
        <v>0</v>
      </c>
      <c r="TZ46" s="414">
        <f t="shared" si="173"/>
        <v>2.6671080640168254</v>
      </c>
      <c r="UA46" s="414">
        <f t="shared" si="174"/>
        <v>0</v>
      </c>
      <c r="UC46" s="413" t="str">
        <f t="shared" si="198"/>
        <v/>
      </c>
      <c r="UD46" s="413" t="str">
        <f t="shared" si="175"/>
        <v>Thread 3</v>
      </c>
      <c r="UE46" s="414">
        <f t="shared" si="176"/>
        <v>1.6490453266555479E-4</v>
      </c>
      <c r="UF46" s="414">
        <f t="shared" si="177"/>
        <v>0</v>
      </c>
      <c r="UG46" s="414">
        <f t="shared" si="178"/>
        <v>0.21811015529833669</v>
      </c>
      <c r="UH46" s="414">
        <f t="shared" si="179"/>
        <v>8.542847441487128E-2</v>
      </c>
      <c r="UI46" s="414">
        <f t="shared" si="180"/>
        <v>1.8161908507553844E-2</v>
      </c>
      <c r="UJ46" s="414">
        <f t="shared" si="181"/>
        <v>7.5946895611891958E-3</v>
      </c>
      <c r="UK46" s="414">
        <f t="shared" si="182"/>
        <v>0.18854402043012516</v>
      </c>
      <c r="UL46" s="414">
        <f t="shared" si="183"/>
        <v>3.6233649885417365</v>
      </c>
      <c r="UM46" s="414">
        <f t="shared" si="184"/>
        <v>1.7877068077903326</v>
      </c>
      <c r="UN46" s="414">
        <f t="shared" si="185"/>
        <v>8.7062600514124142</v>
      </c>
      <c r="UO46" s="414">
        <f t="shared" si="186"/>
        <v>9.352817592539588E-4</v>
      </c>
      <c r="UP46" s="414">
        <f t="shared" si="187"/>
        <v>0.90922722082629182</v>
      </c>
      <c r="UQ46" s="414">
        <f t="shared" si="188"/>
        <v>0</v>
      </c>
      <c r="UR46" s="414">
        <f t="shared" si="189"/>
        <v>0.10898167985006244</v>
      </c>
      <c r="US46" s="414">
        <f t="shared" si="190"/>
        <v>0</v>
      </c>
      <c r="UT46" s="414">
        <f t="shared" si="191"/>
        <v>2.6671080640168254</v>
      </c>
      <c r="UU46" s="414">
        <f t="shared" si="192"/>
        <v>0.81682922941388703</v>
      </c>
      <c r="UV46" s="414">
        <f t="shared" si="193"/>
        <v>0.51655721210855587</v>
      </c>
      <c r="UW46" s="414">
        <f t="shared" si="194"/>
        <v>1.4194189008794746</v>
      </c>
      <c r="UX46" s="414">
        <f t="shared" si="195"/>
        <v>0</v>
      </c>
      <c r="VK46" s="2"/>
    </row>
    <row r="47" spans="28:617" ht="15.75" customHeight="1" x14ac:dyDescent="0.25">
      <c r="RJ47" s="577">
        <v>2</v>
      </c>
      <c r="RK47" s="577">
        <f>IF(OR(COUNT($KW32:$KW43)=0,COUNT($KX32:$KX43)=0,COUNT($KY32:$KY43)=0,COUNT($LU32:$LU43)=0,COUNT($LV32:$LV43)=0,$C$8="",$NC$42=""),"",IF($NC$42=0,0,
  GuardLimitLower(
    (($KW32 - $KX32 - $KY32)
     - $LU32 + $LV32)*$C$8/10^9/$NC$42,
    data_GuardLimitFlag,
    0) ))</f>
        <v>0</v>
      </c>
      <c r="RL47" s="577">
        <f t="shared" si="199"/>
        <v>3.093007159691069E-3</v>
      </c>
      <c r="TK47" s="244"/>
      <c r="TL47" s="345" t="s">
        <v>822</v>
      </c>
      <c r="TM47" s="345" t="s">
        <v>823</v>
      </c>
      <c r="TN47" s="345" t="s">
        <v>824</v>
      </c>
      <c r="TQ47" s="413" t="str">
        <f t="shared" si="196"/>
        <v/>
      </c>
      <c r="TR47" s="413" t="str">
        <f t="shared" si="166"/>
        <v>Thread 4</v>
      </c>
      <c r="TS47" s="414">
        <f t="shared" si="167"/>
        <v>1.5912718735018935E-4</v>
      </c>
      <c r="TT47" s="414">
        <f t="shared" si="168"/>
        <v>0.19523561273974388</v>
      </c>
      <c r="TU47" s="414">
        <f t="shared" si="169"/>
        <v>8.6855070476781115</v>
      </c>
      <c r="TV47" s="414">
        <f t="shared" si="170"/>
        <v>0.91237726108269734</v>
      </c>
      <c r="TW47" s="414">
        <f t="shared" si="171"/>
        <v>0</v>
      </c>
      <c r="TX47" s="414">
        <f t="shared" si="197"/>
        <v>0.10893685688721272</v>
      </c>
      <c r="TY47" s="414">
        <f t="shared" si="172"/>
        <v>0</v>
      </c>
      <c r="TZ47" s="414">
        <f t="shared" si="173"/>
        <v>2.6666989500585156</v>
      </c>
      <c r="UA47" s="414">
        <f t="shared" si="174"/>
        <v>0</v>
      </c>
      <c r="UC47" s="413" t="str">
        <f t="shared" si="198"/>
        <v/>
      </c>
      <c r="UD47" s="413" t="str">
        <f t="shared" si="175"/>
        <v>Thread 4</v>
      </c>
      <c r="UE47" s="414">
        <f t="shared" si="176"/>
        <v>1.5912718735018935E-4</v>
      </c>
      <c r="UF47" s="414">
        <f t="shared" si="177"/>
        <v>0</v>
      </c>
      <c r="UG47" s="414">
        <f t="shared" si="178"/>
        <v>0.2208743578848196</v>
      </c>
      <c r="UH47" s="414">
        <f t="shared" si="179"/>
        <v>5.2590106772656325E-2</v>
      </c>
      <c r="UI47" s="414">
        <f t="shared" si="180"/>
        <v>1.9037277200851146E-2</v>
      </c>
      <c r="UJ47" s="414">
        <f t="shared" si="181"/>
        <v>7.5477364498271401E-3</v>
      </c>
      <c r="UK47" s="414">
        <f t="shared" si="182"/>
        <v>0.19523561273974388</v>
      </c>
      <c r="UL47" s="414">
        <f t="shared" si="183"/>
        <v>3.6183002236323518</v>
      </c>
      <c r="UM47" s="414">
        <f t="shared" si="184"/>
        <v>1.7886383570426512</v>
      </c>
      <c r="UN47" s="414">
        <f t="shared" si="185"/>
        <v>8.6855070476781115</v>
      </c>
      <c r="UO47" s="414">
        <f t="shared" si="186"/>
        <v>9.366958690697068E-4</v>
      </c>
      <c r="UP47" s="414">
        <f t="shared" si="187"/>
        <v>0.91237726108269734</v>
      </c>
      <c r="UQ47" s="414">
        <f t="shared" si="188"/>
        <v>0</v>
      </c>
      <c r="UR47" s="414">
        <f t="shared" si="189"/>
        <v>0.10893685688721272</v>
      </c>
      <c r="US47" s="414">
        <f t="shared" si="190"/>
        <v>0</v>
      </c>
      <c r="UT47" s="414">
        <f t="shared" si="191"/>
        <v>2.6666989500585156</v>
      </c>
      <c r="UU47" s="414">
        <f t="shared" si="192"/>
        <v>0.81493189692267098</v>
      </c>
      <c r="UV47" s="414">
        <f t="shared" si="193"/>
        <v>0.51730149699162209</v>
      </c>
      <c r="UW47" s="414">
        <f t="shared" si="194"/>
        <v>1.419348318038631</v>
      </c>
      <c r="UX47" s="414">
        <f t="shared" si="195"/>
        <v>0</v>
      </c>
      <c r="VK47" s="2"/>
    </row>
    <row r="48" spans="28:617" ht="15.75" customHeight="1" x14ac:dyDescent="0.25">
      <c r="RJ48" s="577">
        <v>3</v>
      </c>
      <c r="RK48" s="577">
        <f>IF(OR(COUNT($KW33:$KW44)=0,COUNT($KX33:$KX44)=0,COUNT($KY33:$KY44)=0,COUNT($LU33:$LU44)=0,COUNT($LV33:$LV44)=0,$C$8="",$NC$42=""),"",IF($NC$42=0,0,
  GuardLimitLower(
    (($KW33 - $KX33 - $KY33)
     - $LU33 + $LV33)*$C$8/10^9/$NC$42,
    data_GuardLimitFlag,
    0) ))</f>
        <v>0</v>
      </c>
      <c r="RL48" s="577">
        <f t="shared" si="199"/>
        <v>3.0955007355434232E-3</v>
      </c>
      <c r="TK48" s="239" t="s">
        <v>457</v>
      </c>
      <c r="TL48" s="359">
        <f>IF(NJ59="",0,NJ59)</f>
        <v>0</v>
      </c>
      <c r="TM48" s="359">
        <f>IF(NG59="",0,NG59)</f>
        <v>0</v>
      </c>
      <c r="TN48" s="359">
        <f>IF(NE59="",0,NE59)</f>
        <v>0</v>
      </c>
      <c r="TQ48" s="413" t="str">
        <f t="shared" si="196"/>
        <v/>
      </c>
      <c r="TR48" s="413" t="str">
        <f t="shared" si="166"/>
        <v>Thread 5</v>
      </c>
      <c r="TS48" s="414">
        <f t="shared" si="167"/>
        <v>1.6147850932302893E-4</v>
      </c>
      <c r="TT48" s="414">
        <f t="shared" si="168"/>
        <v>0.19329908135656218</v>
      </c>
      <c r="TU48" s="414">
        <f t="shared" si="169"/>
        <v>8.6984106279162496</v>
      </c>
      <c r="TV48" s="414">
        <f t="shared" si="170"/>
        <v>0.91161889915743166</v>
      </c>
      <c r="TW48" s="414">
        <f t="shared" si="171"/>
        <v>0</v>
      </c>
      <c r="TX48" s="414">
        <f t="shared" si="197"/>
        <v>0.10898126491013106</v>
      </c>
      <c r="TY48" s="414">
        <f t="shared" si="172"/>
        <v>0</v>
      </c>
      <c r="TZ48" s="414">
        <f t="shared" si="173"/>
        <v>2.6668518609016307</v>
      </c>
      <c r="UA48" s="414">
        <f t="shared" si="174"/>
        <v>3.9329017150070734E-5</v>
      </c>
      <c r="UC48" s="413" t="str">
        <f t="shared" si="198"/>
        <v/>
      </c>
      <c r="UD48" s="413" t="str">
        <f t="shared" si="175"/>
        <v>Thread 5</v>
      </c>
      <c r="UE48" s="414">
        <f t="shared" si="176"/>
        <v>1.6147850932302893E-4</v>
      </c>
      <c r="UF48" s="414">
        <f t="shared" si="177"/>
        <v>0</v>
      </c>
      <c r="UG48" s="414">
        <f t="shared" si="178"/>
        <v>0.21662296599878322</v>
      </c>
      <c r="UH48" s="414">
        <f t="shared" si="179"/>
        <v>7.764204454254138E-2</v>
      </c>
      <c r="UI48" s="414">
        <f t="shared" si="180"/>
        <v>1.8292345485444693E-2</v>
      </c>
      <c r="UJ48" s="414">
        <f t="shared" si="181"/>
        <v>7.5486535481902629E-3</v>
      </c>
      <c r="UK48" s="414">
        <f t="shared" si="182"/>
        <v>0.19329908135656218</v>
      </c>
      <c r="UL48" s="414">
        <f t="shared" si="183"/>
        <v>3.6223744123321984</v>
      </c>
      <c r="UM48" s="414">
        <f t="shared" si="184"/>
        <v>1.7890300719833887</v>
      </c>
      <c r="UN48" s="414">
        <f t="shared" si="185"/>
        <v>8.6984106279162496</v>
      </c>
      <c r="UO48" s="414">
        <f t="shared" si="186"/>
        <v>9.2953339924541848E-4</v>
      </c>
      <c r="UP48" s="414">
        <f t="shared" si="187"/>
        <v>0.91161889915743166</v>
      </c>
      <c r="UQ48" s="414">
        <f t="shared" si="188"/>
        <v>0</v>
      </c>
      <c r="UR48" s="414">
        <f t="shared" si="189"/>
        <v>0.10898126491013106</v>
      </c>
      <c r="US48" s="414">
        <f t="shared" si="190"/>
        <v>0</v>
      </c>
      <c r="UT48" s="414">
        <f t="shared" si="191"/>
        <v>2.6668518609016307</v>
      </c>
      <c r="UU48" s="414">
        <f t="shared" si="192"/>
        <v>0.81682827317621887</v>
      </c>
      <c r="UV48" s="414">
        <f t="shared" si="193"/>
        <v>0.51692455096907342</v>
      </c>
      <c r="UW48" s="414">
        <f t="shared" si="194"/>
        <v>1.4200244467964391</v>
      </c>
      <c r="UX48" s="414">
        <f t="shared" si="195"/>
        <v>3.9329017150070734E-5</v>
      </c>
      <c r="VK48" s="2"/>
    </row>
    <row r="49" spans="400:583" ht="15.75" customHeight="1" x14ac:dyDescent="0.15">
      <c r="RJ49" s="577">
        <v>4</v>
      </c>
      <c r="RK49" s="577">
        <f>IF(OR(COUNT($KW34:$KW45)=0,COUNT($KX34:$KX45)=0,COUNT($KY34:$KY45)=0,COUNT($LU34:$LU45)=0,COUNT($LV34:$LV45)=0,$C$8="",$NC$42=""),"",IF($NC$42=0,0,
  GuardLimitLower(
    (($KW34 - $KX34 - $KY34)
     - $LU34 + $LV34)*$C$8/10^9/$NC$42,
    data_GuardLimitFlag,
    0) ))</f>
        <v>0</v>
      </c>
      <c r="RL49" s="577">
        <f t="shared" si="199"/>
        <v>3.0589728902525931E-3</v>
      </c>
      <c r="TQ49" s="413" t="str">
        <f t="shared" si="196"/>
        <v/>
      </c>
      <c r="TR49" s="413" t="str">
        <f t="shared" si="166"/>
        <v>Thread 6</v>
      </c>
      <c r="TS49" s="414">
        <f t="shared" si="167"/>
        <v>6.9692797674958512E-5</v>
      </c>
      <c r="TT49" s="414">
        <f t="shared" si="168"/>
        <v>0.2001022867777062</v>
      </c>
      <c r="TU49" s="414">
        <f t="shared" si="169"/>
        <v>8.6715992062554825</v>
      </c>
      <c r="TV49" s="414">
        <f t="shared" si="170"/>
        <v>0.91298593916491555</v>
      </c>
      <c r="TW49" s="414">
        <f t="shared" si="171"/>
        <v>0</v>
      </c>
      <c r="TX49" s="414">
        <f t="shared" si="197"/>
        <v>0.1089587766202625</v>
      </c>
      <c r="TY49" s="414">
        <f t="shared" si="172"/>
        <v>0</v>
      </c>
      <c r="TZ49" s="414">
        <f t="shared" si="173"/>
        <v>2.6650698991299335</v>
      </c>
      <c r="UA49" s="414">
        <f t="shared" si="174"/>
        <v>0</v>
      </c>
      <c r="UC49" s="413" t="str">
        <f t="shared" si="198"/>
        <v/>
      </c>
      <c r="UD49" s="413" t="str">
        <f t="shared" si="175"/>
        <v>Thread 6</v>
      </c>
      <c r="UE49" s="414">
        <f t="shared" si="176"/>
        <v>6.9692797674958512E-5</v>
      </c>
      <c r="UF49" s="414">
        <f t="shared" si="177"/>
        <v>0</v>
      </c>
      <c r="UG49" s="414">
        <f t="shared" si="178"/>
        <v>0.21765540626595298</v>
      </c>
      <c r="UH49" s="414">
        <f t="shared" si="179"/>
        <v>3.0799694720089848E-2</v>
      </c>
      <c r="UI49" s="414">
        <f t="shared" si="180"/>
        <v>1.9791258164780692E-2</v>
      </c>
      <c r="UJ49" s="414">
        <f t="shared" si="181"/>
        <v>7.5698720186149837E-3</v>
      </c>
      <c r="UK49" s="414">
        <f t="shared" si="182"/>
        <v>0.2001022867777062</v>
      </c>
      <c r="UL49" s="414">
        <f t="shared" si="183"/>
        <v>3.6191512146561036</v>
      </c>
      <c r="UM49" s="414">
        <f t="shared" si="184"/>
        <v>1.7893636962220558</v>
      </c>
      <c r="UN49" s="414">
        <f t="shared" si="185"/>
        <v>8.6715992062554825</v>
      </c>
      <c r="UO49" s="414">
        <f t="shared" si="186"/>
        <v>9.2114784746111255E-4</v>
      </c>
      <c r="UP49" s="414">
        <f t="shared" si="187"/>
        <v>0.91298593916491555</v>
      </c>
      <c r="UQ49" s="414">
        <f t="shared" si="188"/>
        <v>0</v>
      </c>
      <c r="UR49" s="414">
        <f t="shared" si="189"/>
        <v>0.1089587766202625</v>
      </c>
      <c r="US49" s="414">
        <f t="shared" si="190"/>
        <v>0</v>
      </c>
      <c r="UT49" s="414">
        <f t="shared" si="191"/>
        <v>2.6650698991299335</v>
      </c>
      <c r="UU49" s="414">
        <f t="shared" si="192"/>
        <v>0.81435934855168857</v>
      </c>
      <c r="UV49" s="414">
        <f t="shared" si="193"/>
        <v>0.51842151400193448</v>
      </c>
      <c r="UW49" s="414">
        <f t="shared" si="194"/>
        <v>1.419665366994556</v>
      </c>
      <c r="UX49" s="414">
        <f t="shared" si="195"/>
        <v>0</v>
      </c>
      <c r="VK49" s="2"/>
    </row>
    <row r="50" spans="400:583" ht="15.75" customHeight="1" x14ac:dyDescent="0.15">
      <c r="RJ50" s="577">
        <v>5</v>
      </c>
      <c r="RK50" s="577">
        <f>IF(OR(COUNT($KW35:$KW46)=0,COUNT($KX35:$KX46)=0,COUNT($KY35:$KY46)=0,COUNT($LU35:$LU46)=0,COUNT($LV35:$LV46)=0,$C$8="",$NC$42=""),"",IF($NC$42=0,0,
  GuardLimitLower(
    (($KW35 - $KX35 - $KY35)
     - $LU35 + $LV35)*$C$8/10^9/$NC$42,
    data_GuardLimitFlag,
    0) ))</f>
        <v>0</v>
      </c>
      <c r="RL50" s="577">
        <f t="shared" si="199"/>
        <v>3.087265853338331E-3</v>
      </c>
      <c r="TQ50" s="413" t="str">
        <f t="shared" si="196"/>
        <v/>
      </c>
      <c r="TR50" s="413" t="str">
        <f t="shared" si="166"/>
        <v>Thread 7</v>
      </c>
      <c r="TS50" s="414">
        <f t="shared" si="167"/>
        <v>6.6356116977857522E-5</v>
      </c>
      <c r="TT50" s="414">
        <f t="shared" si="168"/>
        <v>0.20712417068503908</v>
      </c>
      <c r="TU50" s="414">
        <f t="shared" si="169"/>
        <v>8.6672531467525022</v>
      </c>
      <c r="TV50" s="414">
        <f t="shared" si="170"/>
        <v>0.91363541108789659</v>
      </c>
      <c r="TW50" s="414">
        <f t="shared" si="171"/>
        <v>0</v>
      </c>
      <c r="TX50" s="414">
        <f t="shared" si="197"/>
        <v>0.10896054434783388</v>
      </c>
      <c r="TY50" s="414">
        <f t="shared" si="172"/>
        <v>0</v>
      </c>
      <c r="TZ50" s="414">
        <f t="shared" si="173"/>
        <v>2.661561075904372</v>
      </c>
      <c r="UA50" s="414">
        <f t="shared" si="174"/>
        <v>0</v>
      </c>
      <c r="UC50" s="413" t="str">
        <f t="shared" si="198"/>
        <v/>
      </c>
      <c r="UD50" s="413" t="str">
        <f t="shared" si="175"/>
        <v>Thread 7</v>
      </c>
      <c r="UE50" s="414">
        <f t="shared" si="176"/>
        <v>6.6356116977857522E-5</v>
      </c>
      <c r="UF50" s="414">
        <f t="shared" si="177"/>
        <v>0</v>
      </c>
      <c r="UG50" s="414">
        <f t="shared" si="178"/>
        <v>0.2181881760658313</v>
      </c>
      <c r="UH50" s="414">
        <f t="shared" si="179"/>
        <v>7.3075763638646277E-2</v>
      </c>
      <c r="UI50" s="414">
        <f t="shared" si="180"/>
        <v>2.0780133729475223E-2</v>
      </c>
      <c r="UJ50" s="414">
        <f t="shared" si="181"/>
        <v>7.6980508084511902E-3</v>
      </c>
      <c r="UK50" s="414">
        <f t="shared" si="182"/>
        <v>0.20712417068503908</v>
      </c>
      <c r="UL50" s="414">
        <f t="shared" si="183"/>
        <v>3.6220895892619596</v>
      </c>
      <c r="UM50" s="414">
        <f t="shared" si="184"/>
        <v>1.790320084765497</v>
      </c>
      <c r="UN50" s="414">
        <f t="shared" si="185"/>
        <v>8.6672531467525022</v>
      </c>
      <c r="UO50" s="414">
        <f t="shared" si="186"/>
        <v>9.2576799681961988E-4</v>
      </c>
      <c r="UP50" s="414">
        <f t="shared" si="187"/>
        <v>0.91363541108789659</v>
      </c>
      <c r="UQ50" s="414">
        <f t="shared" si="188"/>
        <v>0</v>
      </c>
      <c r="UR50" s="414">
        <f t="shared" si="189"/>
        <v>0.10896054434783388</v>
      </c>
      <c r="US50" s="414">
        <f t="shared" si="190"/>
        <v>0</v>
      </c>
      <c r="UT50" s="414">
        <f t="shared" si="191"/>
        <v>2.661561075904372</v>
      </c>
      <c r="UU50" s="414">
        <f t="shared" si="192"/>
        <v>0.8144369719046064</v>
      </c>
      <c r="UV50" s="414">
        <f t="shared" si="193"/>
        <v>0.518501531206355</v>
      </c>
      <c r="UW50" s="414">
        <f t="shared" si="194"/>
        <v>1.4200367738398283</v>
      </c>
      <c r="UX50" s="414">
        <f t="shared" si="195"/>
        <v>0</v>
      </c>
      <c r="VK50" s="2"/>
    </row>
    <row r="51" spans="400:583" ht="15.75" customHeight="1" x14ac:dyDescent="0.15">
      <c r="RJ51" s="577">
        <v>6</v>
      </c>
      <c r="RK51" s="577">
        <f>IF(OR(COUNT($KW36:$KW47)=0,COUNT($KX36:$KX47)=0,COUNT($KY36:$KY47)=0,COUNT($LU36:$LU47)=0,COUNT($LV36:$LV47)=0,$C$8="",$NC$42=""),"",IF($NC$42=0,0,
  GuardLimitLower(
    (($KW36 - $KX36 - $KY36)
     - $LU36 + $LV36)*$C$8/10^9/$NC$42,
    data_GuardLimitFlag,
    0) ))</f>
        <v>0</v>
      </c>
      <c r="RL51" s="577">
        <f t="shared" si="199"/>
        <v>3.0362509405345542E-3</v>
      </c>
      <c r="TQ51" s="413" t="str">
        <f t="shared" si="196"/>
        <v/>
      </c>
      <c r="TR51" s="413" t="str">
        <f t="shared" si="166"/>
        <v>Thread 8</v>
      </c>
      <c r="TS51" s="414">
        <f t="shared" si="167"/>
        <v>1.2158373155490833E-4</v>
      </c>
      <c r="TT51" s="414">
        <f t="shared" si="168"/>
        <v>0.21067687615702721</v>
      </c>
      <c r="TU51" s="414">
        <f t="shared" si="169"/>
        <v>8.6671150698767168</v>
      </c>
      <c r="TV51" s="414">
        <f t="shared" si="170"/>
        <v>0.91367409245068743</v>
      </c>
      <c r="TW51" s="414">
        <f t="shared" si="171"/>
        <v>0</v>
      </c>
      <c r="TX51" s="414">
        <f t="shared" si="197"/>
        <v>0.10894547074413573</v>
      </c>
      <c r="TY51" s="414">
        <f t="shared" si="172"/>
        <v>0</v>
      </c>
      <c r="TZ51" s="414">
        <f t="shared" si="173"/>
        <v>2.6615972909086452</v>
      </c>
      <c r="UA51" s="414">
        <f t="shared" si="174"/>
        <v>0</v>
      </c>
      <c r="UC51" s="413" t="str">
        <f t="shared" si="198"/>
        <v/>
      </c>
      <c r="UD51" s="413" t="str">
        <f t="shared" si="175"/>
        <v>Thread 8</v>
      </c>
      <c r="UE51" s="414">
        <f t="shared" si="176"/>
        <v>1.2158373155490833E-4</v>
      </c>
      <c r="UF51" s="414">
        <f t="shared" si="177"/>
        <v>0</v>
      </c>
      <c r="UG51" s="414">
        <f t="shared" si="178"/>
        <v>0.22058941115343089</v>
      </c>
      <c r="UH51" s="414">
        <f t="shared" si="179"/>
        <v>6.851802921323856E-2</v>
      </c>
      <c r="UI51" s="414">
        <f t="shared" si="180"/>
        <v>2.0749659365403326E-2</v>
      </c>
      <c r="UJ51" s="414">
        <f t="shared" si="181"/>
        <v>7.7060989977916772E-3</v>
      </c>
      <c r="UK51" s="414">
        <f t="shared" si="182"/>
        <v>0.21067687615702721</v>
      </c>
      <c r="UL51" s="414">
        <f t="shared" si="183"/>
        <v>3.6207223992428523</v>
      </c>
      <c r="UM51" s="414">
        <f t="shared" si="184"/>
        <v>1.7892387526967481</v>
      </c>
      <c r="UN51" s="414">
        <f t="shared" si="185"/>
        <v>8.6671150698767168</v>
      </c>
      <c r="UO51" s="414">
        <f t="shared" si="186"/>
        <v>9.3496745181950258E-4</v>
      </c>
      <c r="UP51" s="414">
        <f t="shared" si="187"/>
        <v>0.91367409245068743</v>
      </c>
      <c r="UQ51" s="414">
        <f t="shared" si="188"/>
        <v>0</v>
      </c>
      <c r="UR51" s="414">
        <f t="shared" si="189"/>
        <v>0.10894547074413573</v>
      </c>
      <c r="US51" s="414">
        <f t="shared" si="190"/>
        <v>0</v>
      </c>
      <c r="UT51" s="414">
        <f t="shared" si="191"/>
        <v>2.6615972909086452</v>
      </c>
      <c r="UU51" s="414">
        <f t="shared" si="192"/>
        <v>0.81438022220454509</v>
      </c>
      <c r="UV51" s="414">
        <f t="shared" si="193"/>
        <v>0.51835022395837538</v>
      </c>
      <c r="UW51" s="414">
        <f t="shared" si="194"/>
        <v>1.4202284506743315</v>
      </c>
      <c r="UX51" s="414">
        <f t="shared" si="195"/>
        <v>0</v>
      </c>
      <c r="VI51" s="2"/>
      <c r="VJ51" s="2"/>
      <c r="VK51" s="2"/>
    </row>
    <row r="52" spans="400:583" ht="15.75" customHeight="1" x14ac:dyDescent="0.15">
      <c r="RJ52" s="577">
        <v>7</v>
      </c>
      <c r="RK52" s="577">
        <f>IF(OR(COUNT($KW37:$KW48)=0,COUNT($KX37:$KX48)=0,COUNT($KY37:$KY48)=0,COUNT($LU37:$LU48)=0,COUNT($LV37:$LV48)=0,$C$8="",$NC$42=""),"",IF($NC$42=0,0,
  GuardLimitLower(
    (($KW37 - $KX37 - $KY37)
     - $LU37 + $LV37)*$C$8/10^9/$NC$42,
    data_GuardLimitFlag,
    0) ))</f>
        <v>0</v>
      </c>
      <c r="RL52" s="577">
        <f t="shared" si="199"/>
        <v>3.0829112184351955E-3</v>
      </c>
      <c r="TQ52" s="413" t="str">
        <f t="shared" si="196"/>
        <v/>
      </c>
      <c r="TR52" s="413" t="str">
        <f t="shared" si="166"/>
        <v>Thread 9</v>
      </c>
      <c r="TS52" s="414">
        <f t="shared" si="167"/>
        <v>1.6681960046845422E-4</v>
      </c>
      <c r="TT52" s="414">
        <f t="shared" si="168"/>
        <v>0.20700927984455347</v>
      </c>
      <c r="TU52" s="414">
        <f t="shared" si="169"/>
        <v>8.6663505398128713</v>
      </c>
      <c r="TV52" s="414">
        <f t="shared" si="170"/>
        <v>0.91363752586081015</v>
      </c>
      <c r="TW52" s="414">
        <f t="shared" si="171"/>
        <v>0</v>
      </c>
      <c r="TX52" s="414">
        <f t="shared" si="197"/>
        <v>0.10899040373286591</v>
      </c>
      <c r="TY52" s="414">
        <f t="shared" si="172"/>
        <v>0</v>
      </c>
      <c r="TZ52" s="414">
        <f t="shared" si="173"/>
        <v>2.6622179680537648</v>
      </c>
      <c r="UA52" s="414">
        <f t="shared" si="174"/>
        <v>0</v>
      </c>
      <c r="UC52" s="413" t="str">
        <f t="shared" si="198"/>
        <v/>
      </c>
      <c r="UD52" s="413" t="str">
        <f t="shared" si="175"/>
        <v>Thread 9</v>
      </c>
      <c r="UE52" s="414">
        <f t="shared" si="176"/>
        <v>1.6681960046845422E-4</v>
      </c>
      <c r="UF52" s="414">
        <f t="shared" si="177"/>
        <v>0</v>
      </c>
      <c r="UG52" s="414">
        <f t="shared" si="178"/>
        <v>0.21793139047703045</v>
      </c>
      <c r="UH52" s="414">
        <f t="shared" si="179"/>
        <v>4.5617531005730176E-2</v>
      </c>
      <c r="UI52" s="414">
        <f t="shared" si="180"/>
        <v>2.1081145414759569E-2</v>
      </c>
      <c r="UJ52" s="414">
        <f t="shared" si="181"/>
        <v>7.617002325373678E-3</v>
      </c>
      <c r="UK52" s="414">
        <f t="shared" si="182"/>
        <v>0.20700927984455347</v>
      </c>
      <c r="UL52" s="414">
        <f t="shared" si="183"/>
        <v>3.6202517676422605</v>
      </c>
      <c r="UM52" s="414">
        <f t="shared" si="184"/>
        <v>1.7892045342724043</v>
      </c>
      <c r="UN52" s="414">
        <f t="shared" si="185"/>
        <v>8.6663505398128713</v>
      </c>
      <c r="UO52" s="414">
        <f t="shared" si="186"/>
        <v>9.3676195087692401E-4</v>
      </c>
      <c r="UP52" s="414">
        <f t="shared" si="187"/>
        <v>0.91363752586081015</v>
      </c>
      <c r="UQ52" s="414">
        <f t="shared" si="188"/>
        <v>0</v>
      </c>
      <c r="UR52" s="414">
        <f t="shared" si="189"/>
        <v>0.10899040373286591</v>
      </c>
      <c r="US52" s="414">
        <f t="shared" si="190"/>
        <v>0</v>
      </c>
      <c r="UT52" s="414">
        <f t="shared" si="191"/>
        <v>2.6622179680537648</v>
      </c>
      <c r="UU52" s="414">
        <f t="shared" si="192"/>
        <v>0.81457460725304165</v>
      </c>
      <c r="UV52" s="414">
        <f t="shared" si="193"/>
        <v>0.51854866620215356</v>
      </c>
      <c r="UW52" s="414">
        <f t="shared" si="194"/>
        <v>1.4195176750340526</v>
      </c>
      <c r="UX52" s="414">
        <f t="shared" si="195"/>
        <v>0</v>
      </c>
      <c r="VI52" s="2"/>
      <c r="VJ52" s="2"/>
      <c r="VK52" s="2"/>
    </row>
    <row r="53" spans="400:583" ht="15.75" customHeight="1" x14ac:dyDescent="0.15">
      <c r="RJ53" s="577">
        <v>8</v>
      </c>
      <c r="RK53" s="577">
        <f>IF(OR(COUNT($KW38:$KW49)=0,COUNT($KX38:$KX49)=0,COUNT($KY38:$KY49)=0,COUNT($LU38:$LU49)=0,COUNT($LV38:$LV49)=0,$C$8="",$NC$42=""),"",IF($NC$42=0,0,
  GuardLimitLower(
    (($KW38 - $KX38 - $KY38)
     - $LU38 + $LV38)*$C$8/10^9/$NC$42,
    data_GuardLimitFlag,
    0) ))</f>
        <v>0</v>
      </c>
      <c r="RL53" s="577">
        <f t="shared" si="199"/>
        <v>3.0837626833603899E-3</v>
      </c>
      <c r="TQ53" s="413" t="str">
        <f t="shared" si="196"/>
        <v/>
      </c>
      <c r="TR53" s="413" t="str">
        <f t="shared" si="166"/>
        <v>Thread 10</v>
      </c>
      <c r="TS53" s="414">
        <f t="shared" si="167"/>
        <v>1.4905731341695202E-4</v>
      </c>
      <c r="TT53" s="414">
        <f t="shared" si="168"/>
        <v>0.21100947183833629</v>
      </c>
      <c r="TU53" s="414">
        <f t="shared" si="169"/>
        <v>8.6688134206250105</v>
      </c>
      <c r="TV53" s="414">
        <f t="shared" si="170"/>
        <v>0.91375575150348509</v>
      </c>
      <c r="TW53" s="414">
        <f t="shared" si="171"/>
        <v>0</v>
      </c>
      <c r="TX53" s="414">
        <f t="shared" si="197"/>
        <v>0.10901417924659755</v>
      </c>
      <c r="TY53" s="414">
        <f t="shared" si="172"/>
        <v>0</v>
      </c>
      <c r="TZ53" s="414">
        <f t="shared" si="173"/>
        <v>2.6627631182892175</v>
      </c>
      <c r="UA53" s="414">
        <f t="shared" si="174"/>
        <v>0</v>
      </c>
      <c r="UC53" s="413" t="str">
        <f t="shared" si="198"/>
        <v/>
      </c>
      <c r="UD53" s="413" t="str">
        <f t="shared" si="175"/>
        <v>Thread 10</v>
      </c>
      <c r="UE53" s="414">
        <f t="shared" si="176"/>
        <v>1.4905731341695202E-4</v>
      </c>
      <c r="UF53" s="414">
        <f t="shared" si="177"/>
        <v>0</v>
      </c>
      <c r="UG53" s="414">
        <f t="shared" si="178"/>
        <v>0.2172654192297252</v>
      </c>
      <c r="UH53" s="414">
        <f t="shared" si="179"/>
        <v>8.2855119454462639E-2</v>
      </c>
      <c r="UI53" s="414">
        <f t="shared" si="180"/>
        <v>2.0446647696512502E-2</v>
      </c>
      <c r="UJ53" s="414">
        <f t="shared" si="181"/>
        <v>7.6277114688163049E-3</v>
      </c>
      <c r="UK53" s="414">
        <f t="shared" si="182"/>
        <v>0.21100947183833629</v>
      </c>
      <c r="UL53" s="414">
        <f t="shared" si="183"/>
        <v>3.6216600181207204</v>
      </c>
      <c r="UM53" s="414">
        <f t="shared" si="184"/>
        <v>1.7895615476529747</v>
      </c>
      <c r="UN53" s="414">
        <f t="shared" si="185"/>
        <v>8.6688134206250105</v>
      </c>
      <c r="UO53" s="414">
        <f t="shared" si="186"/>
        <v>9.2008099357029276E-4</v>
      </c>
      <c r="UP53" s="414">
        <f t="shared" si="187"/>
        <v>0.91375575150348509</v>
      </c>
      <c r="UQ53" s="414">
        <f t="shared" si="188"/>
        <v>0</v>
      </c>
      <c r="UR53" s="414">
        <f t="shared" si="189"/>
        <v>0.10901417924659755</v>
      </c>
      <c r="US53" s="414">
        <f t="shared" si="190"/>
        <v>0</v>
      </c>
      <c r="UT53" s="414">
        <f t="shared" si="191"/>
        <v>2.6627631182892175</v>
      </c>
      <c r="UU53" s="414">
        <f t="shared" si="192"/>
        <v>0.81476354353108871</v>
      </c>
      <c r="UV53" s="414">
        <f t="shared" si="193"/>
        <v>0.51872039765382005</v>
      </c>
      <c r="UW53" s="414">
        <f t="shared" si="194"/>
        <v>1.4202433624618178</v>
      </c>
      <c r="UX53" s="414">
        <f t="shared" si="195"/>
        <v>0</v>
      </c>
      <c r="VA53" s="415"/>
      <c r="VI53" s="2"/>
      <c r="VJ53" s="2"/>
      <c r="VK53" s="2"/>
    </row>
    <row r="54" spans="400:583" x14ac:dyDescent="0.25">
      <c r="RJ54" s="577">
        <v>9</v>
      </c>
      <c r="RK54" s="577">
        <f>IF(OR(COUNT($KW39:$KW50)=0,COUNT($KX39:$KX50)=0,COUNT($KY39:$KY50)=0,COUNT($LU39:$LU50)=0,COUNT($LV39:$LV50)=0,$C$8="",$NC$42=""),"",IF($NC$42=0,0,
  GuardLimitLower(
    (($KW39 - $KX39 - $KY39)
     - $LU39 + $LV39)*$C$8/10^9/$NC$42,
    data_GuardLimitFlag,
    0) ))</f>
        <v>0</v>
      </c>
      <c r="RL54" s="577">
        <f t="shared" si="199"/>
        <v>3.0515894729726952E-3</v>
      </c>
      <c r="TK54" s="254"/>
      <c r="TL54" s="420"/>
      <c r="TM54" s="421"/>
      <c r="TN54" s="422"/>
      <c r="TQ54" s="413" t="str">
        <f t="shared" si="196"/>
        <v/>
      </c>
      <c r="TR54" s="413" t="str">
        <f t="shared" si="166"/>
        <v>Thread 11</v>
      </c>
      <c r="TS54" s="414">
        <f t="shared" si="167"/>
        <v>1.3069536057564116E-4</v>
      </c>
      <c r="TT54" s="414">
        <f t="shared" si="168"/>
        <v>0.21512447576686894</v>
      </c>
      <c r="TU54" s="414">
        <f t="shared" si="169"/>
        <v>8.6662022782304611</v>
      </c>
      <c r="TV54" s="414">
        <f t="shared" si="170"/>
        <v>0.91345093463434668</v>
      </c>
      <c r="TW54" s="414">
        <f t="shared" si="171"/>
        <v>0</v>
      </c>
      <c r="TX54" s="414">
        <f t="shared" si="197"/>
        <v>0.10900804059165173</v>
      </c>
      <c r="TY54" s="414">
        <f t="shared" si="172"/>
        <v>0</v>
      </c>
      <c r="TZ54" s="414">
        <f t="shared" si="173"/>
        <v>2.6616738386001231</v>
      </c>
      <c r="UA54" s="414">
        <f t="shared" si="174"/>
        <v>0</v>
      </c>
      <c r="UC54" s="413" t="str">
        <f t="shared" si="198"/>
        <v/>
      </c>
      <c r="UD54" s="413" t="str">
        <f t="shared" si="175"/>
        <v>Thread 11</v>
      </c>
      <c r="UE54" s="414">
        <f t="shared" si="176"/>
        <v>1.3069536057564116E-4</v>
      </c>
      <c r="UF54" s="414">
        <f t="shared" si="177"/>
        <v>0</v>
      </c>
      <c r="UG54" s="414">
        <f t="shared" si="178"/>
        <v>0.21301537680564114</v>
      </c>
      <c r="UH54" s="414">
        <f t="shared" si="179"/>
        <v>8.3560357417383532E-2</v>
      </c>
      <c r="UI54" s="414">
        <f t="shared" si="180"/>
        <v>2.3344879717354512E-2</v>
      </c>
      <c r="UJ54" s="414">
        <f t="shared" si="181"/>
        <v>7.7060186930832698E-3</v>
      </c>
      <c r="UK54" s="414">
        <f t="shared" si="182"/>
        <v>0.21512447576686894</v>
      </c>
      <c r="UL54" s="414">
        <f t="shared" si="183"/>
        <v>3.6229738619722998</v>
      </c>
      <c r="UM54" s="414">
        <f t="shared" si="184"/>
        <v>1.7892573843254538</v>
      </c>
      <c r="UN54" s="414">
        <f t="shared" si="185"/>
        <v>8.6662022782304611</v>
      </c>
      <c r="UO54" s="414">
        <f t="shared" si="186"/>
        <v>9.2540276500115246E-4</v>
      </c>
      <c r="UP54" s="414">
        <f t="shared" si="187"/>
        <v>0.91345093463434668</v>
      </c>
      <c r="UQ54" s="414">
        <f t="shared" si="188"/>
        <v>0</v>
      </c>
      <c r="UR54" s="414">
        <f t="shared" si="189"/>
        <v>0.10900804059165173</v>
      </c>
      <c r="US54" s="414">
        <f t="shared" si="190"/>
        <v>0</v>
      </c>
      <c r="UT54" s="414">
        <f t="shared" si="191"/>
        <v>2.6616738386001231</v>
      </c>
      <c r="UU54" s="414">
        <f t="shared" si="192"/>
        <v>0.81457673842365252</v>
      </c>
      <c r="UV54" s="414">
        <f t="shared" si="193"/>
        <v>0.51808256616867332</v>
      </c>
      <c r="UW54" s="414">
        <f t="shared" si="194"/>
        <v>1.4210745828196412</v>
      </c>
      <c r="UX54" s="414">
        <f t="shared" si="195"/>
        <v>0</v>
      </c>
      <c r="VI54" s="2"/>
      <c r="VJ54" s="2"/>
      <c r="VK54" s="2"/>
    </row>
    <row r="55" spans="400:583" x14ac:dyDescent="0.15">
      <c r="RJ55" s="577">
        <v>10</v>
      </c>
      <c r="RK55" s="577">
        <f>IF(OR(COUNT($KW40:$KW51)=0,COUNT($KX40:$KX51)=0,COUNT($KY40:$KY51)=0,COUNT($LU40:$LU51)=0,COUNT($LV40:$LV51)=0,$C$8="",$NC$42=""),"",IF($NC$42=0,0,
  GuardLimitLower(
    (($KW40 - $KX40 - $KY40)
     - $LU40 + $LV40)*$C$8/10^9/$NC$42,
    data_GuardLimitFlag,
    0) ))</f>
        <v>0</v>
      </c>
      <c r="RL55" s="577">
        <f t="shared" si="199"/>
        <v>3.0874726376773068E-3</v>
      </c>
      <c r="VI55" s="2"/>
      <c r="VJ55" s="2"/>
      <c r="VK55" s="2"/>
    </row>
    <row r="56" spans="400:583" x14ac:dyDescent="0.15">
      <c r="RJ56" s="577">
        <v>11</v>
      </c>
      <c r="RK56" s="577">
        <f>IF(OR(COUNT($KW41:$KW52)=0,COUNT($KX41:$KX52)=0,COUNT($KY41:$KY52)=0,COUNT($LU41:$LU52)=0,COUNT($LV41:$LV52)=0,$C$8="",$NC$42=""),"",IF($NC$42=0,0,
  GuardLimitLower(
    (($KW41 - $KX41 - $KY41)
     - $LU41 + $LV41)*$C$8/10^9/$NC$42,
    data_GuardLimitFlag,
    0) ))</f>
        <v>0</v>
      </c>
      <c r="RL56" s="577">
        <f t="shared" si="199"/>
        <v>3.0861346213662873E-3</v>
      </c>
      <c r="TQ56" s="252" t="s">
        <v>1430</v>
      </c>
      <c r="UC56" s="252" t="s">
        <v>1430</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32"/>
      <c r="OK63" s="232"/>
      <c r="OL63" s="232"/>
      <c r="OM63" s="232"/>
      <c r="ON63" s="23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16"/>
      <c r="TV71" s="416"/>
      <c r="TW71" s="416"/>
      <c r="TX71" s="416"/>
      <c r="TY71" s="416"/>
      <c r="VI71" s="2"/>
      <c r="VJ71" s="2"/>
      <c r="VK71" s="2"/>
    </row>
    <row r="72" spans="541:583" x14ac:dyDescent="0.15">
      <c r="TU72" s="416"/>
      <c r="TV72" s="416"/>
      <c r="TW72" s="416"/>
      <c r="TX72" s="416"/>
      <c r="TY72" s="416"/>
      <c r="VI72" s="2"/>
      <c r="VJ72" s="2"/>
      <c r="VK72" s="2"/>
    </row>
    <row r="73" spans="541:583" x14ac:dyDescent="0.15">
      <c r="TU73" s="416"/>
      <c r="TV73" s="416"/>
      <c r="TW73" s="416"/>
      <c r="TX73" s="416"/>
      <c r="TY73" s="416"/>
      <c r="UL73" s="416"/>
      <c r="UM73" s="416"/>
      <c r="UN73" s="416"/>
      <c r="UO73" s="416"/>
      <c r="UP73" s="416"/>
      <c r="UQ73" s="416"/>
      <c r="UR73" s="416"/>
      <c r="VI73" s="2"/>
      <c r="VJ73" s="2"/>
      <c r="VK73" s="2"/>
    </row>
    <row r="74" spans="541:583" x14ac:dyDescent="0.15">
      <c r="TU74" s="416"/>
      <c r="TV74" s="416"/>
      <c r="TW74" s="416"/>
      <c r="TX74" s="416"/>
      <c r="TY74" s="416"/>
      <c r="UL74" s="416"/>
      <c r="UM74" s="416"/>
      <c r="UN74" s="416"/>
      <c r="UO74" s="416"/>
      <c r="UP74" s="416"/>
      <c r="UQ74" s="416"/>
      <c r="UR74" s="416"/>
      <c r="VI74" s="2"/>
      <c r="VJ74" s="2"/>
      <c r="VK74" s="2"/>
    </row>
    <row r="75" spans="541:583" x14ac:dyDescent="0.15">
      <c r="TU75" s="416"/>
      <c r="TV75" s="416"/>
      <c r="TW75" s="416"/>
      <c r="TX75" s="416"/>
      <c r="TY75" s="416"/>
      <c r="UL75" s="416"/>
      <c r="UM75" s="416"/>
      <c r="UN75" s="416"/>
      <c r="UO75" s="416"/>
      <c r="UP75" s="416"/>
      <c r="UQ75" s="416"/>
      <c r="UR75" s="416"/>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defaultColWidth="9" defaultRowHeight="24" x14ac:dyDescent="0.15"/>
  <cols>
    <col min="1" max="1" width="3.375" style="18" customWidth="1"/>
    <col min="2" max="2" width="11.25" style="17" customWidth="1"/>
    <col min="3" max="3" width="34" style="17" customWidth="1"/>
    <col min="4" max="4" width="32.125" style="17" bestFit="1" customWidth="1"/>
    <col min="5" max="5" width="35.625" style="17" customWidth="1"/>
    <col min="6" max="6" width="35.625" style="17" bestFit="1" customWidth="1"/>
    <col min="7" max="7" width="3.125" style="17" customWidth="1"/>
    <col min="8" max="8" width="33.125" style="17" customWidth="1"/>
    <col min="9" max="9" width="28.375" style="17" customWidth="1"/>
    <col min="10" max="10" width="21.75" style="17" customWidth="1"/>
    <col min="11" max="16384" width="9" style="17"/>
  </cols>
  <sheetData>
    <row r="1" spans="1:6" x14ac:dyDescent="0.15">
      <c r="A1" s="18" t="s">
        <v>552</v>
      </c>
    </row>
    <row r="2" spans="1:6" x14ac:dyDescent="0.15">
      <c r="B2" s="58" t="s">
        <v>310</v>
      </c>
      <c r="C2" s="58" t="s">
        <v>557</v>
      </c>
      <c r="D2" s="58" t="s">
        <v>1433</v>
      </c>
      <c r="E2" s="58" t="s">
        <v>1434</v>
      </c>
      <c r="F2" s="58" t="s">
        <v>1435</v>
      </c>
    </row>
    <row r="3" spans="1:6" x14ac:dyDescent="0.15">
      <c r="B3" s="83"/>
      <c r="C3" s="83" t="s">
        <v>549</v>
      </c>
      <c r="D3" s="83" t="s">
        <v>715</v>
      </c>
      <c r="E3" s="83" t="s">
        <v>549</v>
      </c>
      <c r="F3" s="83" t="s">
        <v>549</v>
      </c>
    </row>
    <row r="4" spans="1:6" x14ac:dyDescent="0.15">
      <c r="B4" s="75" t="s">
        <v>714</v>
      </c>
      <c r="C4" s="75" t="s">
        <v>1440</v>
      </c>
      <c r="D4" s="75" t="s">
        <v>1407</v>
      </c>
      <c r="E4" s="75" t="s">
        <v>278</v>
      </c>
      <c r="F4" s="75" t="s">
        <v>278</v>
      </c>
    </row>
    <row r="5" spans="1:6" x14ac:dyDescent="0.15">
      <c r="B5" s="59" t="s">
        <v>676</v>
      </c>
      <c r="C5" s="59" t="s">
        <v>357</v>
      </c>
      <c r="D5" s="59" t="s">
        <v>657</v>
      </c>
      <c r="E5" s="59" t="s">
        <v>357</v>
      </c>
      <c r="F5" s="59" t="s">
        <v>522</v>
      </c>
    </row>
    <row r="6" spans="1:6" x14ac:dyDescent="0.15">
      <c r="B6" s="59" t="s">
        <v>677</v>
      </c>
      <c r="C6" s="60" t="s">
        <v>1560</v>
      </c>
      <c r="D6" s="60" t="s">
        <v>1561</v>
      </c>
      <c r="E6" s="60" t="s">
        <v>279</v>
      </c>
      <c r="F6" s="60" t="s">
        <v>279</v>
      </c>
    </row>
    <row r="7" spans="1:6" x14ac:dyDescent="0.15">
      <c r="B7" s="59" t="s">
        <v>678</v>
      </c>
      <c r="C7" s="60" t="s">
        <v>909</v>
      </c>
      <c r="D7" s="60" t="s">
        <v>910</v>
      </c>
      <c r="E7" s="60" t="s">
        <v>909</v>
      </c>
      <c r="F7" s="60" t="s">
        <v>911</v>
      </c>
    </row>
    <row r="8" spans="1:6" x14ac:dyDescent="0.15">
      <c r="B8" s="59" t="s">
        <v>679</v>
      </c>
      <c r="C8" s="60" t="s">
        <v>672</v>
      </c>
      <c r="D8" s="60" t="s">
        <v>674</v>
      </c>
      <c r="E8" s="60" t="s">
        <v>672</v>
      </c>
      <c r="F8" s="60" t="s">
        <v>672</v>
      </c>
    </row>
    <row r="9" spans="1:6" x14ac:dyDescent="0.15">
      <c r="B9" s="59" t="s">
        <v>680</v>
      </c>
      <c r="C9" s="60" t="s">
        <v>102</v>
      </c>
      <c r="D9" s="60" t="s">
        <v>103</v>
      </c>
      <c r="E9" s="60" t="s">
        <v>102</v>
      </c>
      <c r="F9" s="60" t="s">
        <v>102</v>
      </c>
    </row>
    <row r="10" spans="1:6" x14ac:dyDescent="0.15">
      <c r="B10" s="59" t="s">
        <v>681</v>
      </c>
      <c r="C10" s="59" t="s">
        <v>673</v>
      </c>
      <c r="D10" s="59" t="s">
        <v>675</v>
      </c>
      <c r="E10" s="59" t="s">
        <v>673</v>
      </c>
      <c r="F10" s="59" t="s">
        <v>673</v>
      </c>
    </row>
    <row r="11" spans="1:6" x14ac:dyDescent="0.15">
      <c r="B11" s="59" t="s">
        <v>682</v>
      </c>
      <c r="C11" s="60" t="s">
        <v>1112</v>
      </c>
      <c r="D11" s="60" t="s">
        <v>1166</v>
      </c>
      <c r="E11" s="60" t="s">
        <v>338</v>
      </c>
      <c r="F11" s="60" t="s">
        <v>338</v>
      </c>
    </row>
    <row r="12" spans="1:6" x14ac:dyDescent="0.15">
      <c r="B12" s="59" t="s">
        <v>683</v>
      </c>
      <c r="C12" s="60" t="s">
        <v>446</v>
      </c>
      <c r="D12" s="60" t="s">
        <v>1857</v>
      </c>
      <c r="E12" s="60" t="s">
        <v>446</v>
      </c>
      <c r="F12" s="60" t="s">
        <v>446</v>
      </c>
    </row>
    <row r="13" spans="1:6" x14ac:dyDescent="0.15">
      <c r="B13" s="59" t="s">
        <v>684</v>
      </c>
      <c r="C13" s="60" t="s">
        <v>1777</v>
      </c>
      <c r="D13" s="60" t="s">
        <v>1778</v>
      </c>
      <c r="E13" s="60" t="s">
        <v>1779</v>
      </c>
      <c r="F13" s="60" t="s">
        <v>1779</v>
      </c>
    </row>
    <row r="14" spans="1:6" x14ac:dyDescent="0.15">
      <c r="B14" s="75" t="s">
        <v>685</v>
      </c>
      <c r="C14" s="74" t="s">
        <v>433</v>
      </c>
      <c r="D14" s="74" t="s">
        <v>280</v>
      </c>
      <c r="E14" s="74" t="s">
        <v>433</v>
      </c>
      <c r="F14" s="74" t="s">
        <v>434</v>
      </c>
    </row>
    <row r="15" spans="1:6" x14ac:dyDescent="0.15">
      <c r="B15" s="75" t="s">
        <v>686</v>
      </c>
      <c r="C15" s="74" t="s">
        <v>513</v>
      </c>
      <c r="D15" s="74" t="s">
        <v>515</v>
      </c>
      <c r="E15" s="74" t="s">
        <v>513</v>
      </c>
      <c r="F15" s="74" t="s">
        <v>513</v>
      </c>
    </row>
    <row r="16" spans="1:6" x14ac:dyDescent="0.15">
      <c r="B16" s="75" t="s">
        <v>687</v>
      </c>
      <c r="C16" s="74" t="s">
        <v>514</v>
      </c>
      <c r="D16" s="74" t="s">
        <v>516</v>
      </c>
      <c r="E16" s="74" t="s">
        <v>514</v>
      </c>
      <c r="F16" s="74" t="s">
        <v>514</v>
      </c>
    </row>
    <row r="17" spans="1:6" x14ac:dyDescent="0.15">
      <c r="B17" s="75" t="s">
        <v>688</v>
      </c>
      <c r="C17" s="74" t="s">
        <v>912</v>
      </c>
      <c r="D17" s="74" t="s">
        <v>658</v>
      </c>
      <c r="E17" s="74" t="s">
        <v>915</v>
      </c>
      <c r="F17" s="74" t="s">
        <v>915</v>
      </c>
    </row>
    <row r="18" spans="1:6" x14ac:dyDescent="0.15">
      <c r="B18" s="75" t="s">
        <v>689</v>
      </c>
      <c r="C18" s="74" t="s">
        <v>913</v>
      </c>
      <c r="D18" s="74" t="s">
        <v>914</v>
      </c>
      <c r="E18" s="74" t="s">
        <v>913</v>
      </c>
      <c r="F18" s="74" t="s">
        <v>913</v>
      </c>
    </row>
    <row r="19" spans="1:6" x14ac:dyDescent="0.15">
      <c r="B19" s="59" t="s">
        <v>690</v>
      </c>
      <c r="C19" s="60"/>
      <c r="D19" s="60"/>
      <c r="E19" s="60"/>
      <c r="F19" s="60"/>
    </row>
    <row r="21" spans="1:6" x14ac:dyDescent="0.15">
      <c r="A21" s="18" t="s">
        <v>553</v>
      </c>
    </row>
    <row r="22" spans="1:6" x14ac:dyDescent="0.15">
      <c r="B22" s="58" t="s">
        <v>310</v>
      </c>
      <c r="C22" s="58" t="s">
        <v>557</v>
      </c>
      <c r="D22" s="58" t="s">
        <v>1433</v>
      </c>
      <c r="E22" s="58" t="s">
        <v>1434</v>
      </c>
      <c r="F22" s="58" t="s">
        <v>1435</v>
      </c>
    </row>
    <row r="23" spans="1:6" x14ac:dyDescent="0.15">
      <c r="B23" s="83"/>
      <c r="C23" s="87" t="s">
        <v>113</v>
      </c>
      <c r="D23" s="87" t="s">
        <v>114</v>
      </c>
      <c r="E23" s="85" t="s">
        <v>113</v>
      </c>
      <c r="F23" s="87" t="s">
        <v>573</v>
      </c>
    </row>
    <row r="24" spans="1:6" ht="31.5" x14ac:dyDescent="0.15">
      <c r="B24" s="59" t="s">
        <v>104</v>
      </c>
      <c r="C24" s="57" t="s">
        <v>435</v>
      </c>
      <c r="D24" s="62" t="s">
        <v>1633</v>
      </c>
      <c r="E24" s="62" t="s">
        <v>435</v>
      </c>
      <c r="F24" s="62" t="s">
        <v>435</v>
      </c>
    </row>
    <row r="25" spans="1:6" ht="47.25" x14ac:dyDescent="0.15">
      <c r="B25" s="59" t="s">
        <v>105</v>
      </c>
      <c r="C25" s="62" t="s">
        <v>334</v>
      </c>
      <c r="D25" s="62" t="s">
        <v>1634</v>
      </c>
      <c r="E25" s="62" t="s">
        <v>334</v>
      </c>
      <c r="F25" s="62" t="s">
        <v>339</v>
      </c>
    </row>
    <row r="26" spans="1:6" ht="31.5" x14ac:dyDescent="0.15">
      <c r="B26" s="59" t="s">
        <v>106</v>
      </c>
      <c r="C26" s="57" t="s">
        <v>1781</v>
      </c>
      <c r="D26" s="62" t="s">
        <v>1789</v>
      </c>
      <c r="E26" s="62" t="s">
        <v>1781</v>
      </c>
      <c r="F26" s="62" t="s">
        <v>398</v>
      </c>
    </row>
    <row r="27" spans="1:6" x14ac:dyDescent="0.15">
      <c r="B27" s="59" t="s">
        <v>107</v>
      </c>
      <c r="C27" s="57" t="s">
        <v>436</v>
      </c>
      <c r="D27" s="62" t="s">
        <v>1788</v>
      </c>
      <c r="E27" s="62" t="s">
        <v>436</v>
      </c>
      <c r="F27" s="62" t="s">
        <v>436</v>
      </c>
    </row>
    <row r="28" spans="1:6" ht="31.5" x14ac:dyDescent="0.15">
      <c r="B28" s="59" t="s">
        <v>108</v>
      </c>
      <c r="C28" s="57" t="s">
        <v>1780</v>
      </c>
      <c r="D28" s="62" t="s">
        <v>1787</v>
      </c>
      <c r="E28" s="62" t="s">
        <v>1780</v>
      </c>
      <c r="F28" s="62" t="s">
        <v>1780</v>
      </c>
    </row>
    <row r="29" spans="1:6" ht="31.5" x14ac:dyDescent="0.15">
      <c r="B29" s="59" t="s">
        <v>109</v>
      </c>
      <c r="C29" s="62" t="s">
        <v>967</v>
      </c>
      <c r="D29" s="62" t="s">
        <v>1635</v>
      </c>
      <c r="E29" s="62" t="s">
        <v>967</v>
      </c>
      <c r="F29" s="62"/>
    </row>
    <row r="30" spans="1:6" x14ac:dyDescent="0.15">
      <c r="B30" s="59" t="s">
        <v>110</v>
      </c>
      <c r="C30" s="57" t="s">
        <v>558</v>
      </c>
      <c r="D30" s="62" t="s">
        <v>1636</v>
      </c>
      <c r="E30" s="62" t="s">
        <v>558</v>
      </c>
      <c r="F30" s="62" t="s">
        <v>558</v>
      </c>
    </row>
    <row r="31" spans="1:6" ht="31.5" x14ac:dyDescent="0.15">
      <c r="B31" s="59" t="s">
        <v>111</v>
      </c>
      <c r="C31" s="57" t="s">
        <v>1895</v>
      </c>
      <c r="D31" s="62" t="s">
        <v>1786</v>
      </c>
      <c r="E31" s="62" t="s">
        <v>1895</v>
      </c>
      <c r="F31" s="62" t="s">
        <v>311</v>
      </c>
    </row>
    <row r="32" spans="1:6" ht="31.5" x14ac:dyDescent="0.15">
      <c r="B32" s="59" t="s">
        <v>266</v>
      </c>
      <c r="C32" s="62" t="s">
        <v>1782</v>
      </c>
      <c r="D32" s="62" t="s">
        <v>1785</v>
      </c>
      <c r="E32" s="62" t="s">
        <v>1782</v>
      </c>
      <c r="F32" s="62"/>
    </row>
    <row r="33" spans="1:6" ht="31.5" x14ac:dyDescent="0.15">
      <c r="B33" s="59" t="s">
        <v>965</v>
      </c>
      <c r="C33" s="62" t="s">
        <v>1783</v>
      </c>
      <c r="D33" s="62" t="s">
        <v>1784</v>
      </c>
      <c r="E33" s="62" t="s">
        <v>1783</v>
      </c>
      <c r="F33" s="62"/>
    </row>
    <row r="34" spans="1:6" ht="31.5" x14ac:dyDescent="0.15">
      <c r="B34" s="59" t="s">
        <v>966</v>
      </c>
      <c r="C34" s="62" t="s">
        <v>582</v>
      </c>
      <c r="D34" s="62" t="s">
        <v>1637</v>
      </c>
      <c r="E34" s="62" t="s">
        <v>582</v>
      </c>
      <c r="F34" s="62" t="s">
        <v>583</v>
      </c>
    </row>
    <row r="35" spans="1:6" ht="31.5" x14ac:dyDescent="0.15">
      <c r="B35" s="59" t="s">
        <v>1334</v>
      </c>
      <c r="C35" s="62" t="s">
        <v>335</v>
      </c>
      <c r="D35" s="62" t="s">
        <v>1638</v>
      </c>
      <c r="E35" s="62" t="s">
        <v>335</v>
      </c>
      <c r="F35" s="62" t="s">
        <v>340</v>
      </c>
    </row>
    <row r="36" spans="1:6" x14ac:dyDescent="0.15">
      <c r="B36" s="63" t="s">
        <v>112</v>
      </c>
      <c r="C36" s="62" t="s">
        <v>113</v>
      </c>
      <c r="D36" s="62" t="s">
        <v>114</v>
      </c>
      <c r="E36" s="62" t="s">
        <v>113</v>
      </c>
      <c r="F36" s="62" t="s">
        <v>113</v>
      </c>
    </row>
    <row r="38" spans="1:6" x14ac:dyDescent="0.15">
      <c r="A38" s="18" t="s">
        <v>1059</v>
      </c>
    </row>
    <row r="39" spans="1:6" x14ac:dyDescent="0.15">
      <c r="B39" s="58" t="s">
        <v>310</v>
      </c>
      <c r="C39" s="58" t="s">
        <v>557</v>
      </c>
      <c r="D39" s="58" t="s">
        <v>1433</v>
      </c>
      <c r="E39" s="58" t="s">
        <v>1434</v>
      </c>
      <c r="F39" s="58" t="s">
        <v>1435</v>
      </c>
    </row>
    <row r="40" spans="1:6" x14ac:dyDescent="0.15">
      <c r="B40" s="83"/>
      <c r="C40" s="83" t="s">
        <v>1058</v>
      </c>
      <c r="D40" s="83" t="s">
        <v>572</v>
      </c>
      <c r="E40" s="83"/>
      <c r="F40" s="83" t="s">
        <v>571</v>
      </c>
    </row>
    <row r="41" spans="1:6" x14ac:dyDescent="0.15">
      <c r="B41" s="83" t="s">
        <v>453</v>
      </c>
      <c r="C41" s="83"/>
      <c r="D41" s="83"/>
      <c r="E41" s="83"/>
      <c r="F41" s="83"/>
    </row>
    <row r="42" spans="1:6" ht="31.5" x14ac:dyDescent="0.15">
      <c r="B42" s="59" t="s">
        <v>126</v>
      </c>
      <c r="C42" s="57" t="s">
        <v>1369</v>
      </c>
      <c r="D42" s="65" t="s">
        <v>1625</v>
      </c>
      <c r="E42" s="57" t="s">
        <v>945</v>
      </c>
      <c r="F42" s="68" t="s">
        <v>559</v>
      </c>
    </row>
    <row r="43" spans="1:6" ht="47.25" x14ac:dyDescent="0.15">
      <c r="B43" s="59" t="s">
        <v>1705</v>
      </c>
      <c r="C43" s="65" t="s">
        <v>950</v>
      </c>
      <c r="D43" s="68" t="s">
        <v>1626</v>
      </c>
      <c r="E43" s="64" t="s">
        <v>950</v>
      </c>
      <c r="F43" s="66" t="s">
        <v>584</v>
      </c>
    </row>
    <row r="44" spans="1:6" ht="47.25" x14ac:dyDescent="0.15">
      <c r="B44" s="59" t="s">
        <v>1706</v>
      </c>
      <c r="C44" s="68" t="s">
        <v>276</v>
      </c>
      <c r="D44" s="68" t="s">
        <v>1627</v>
      </c>
      <c r="E44" s="62" t="s">
        <v>276</v>
      </c>
      <c r="F44" s="66" t="s">
        <v>118</v>
      </c>
    </row>
    <row r="45" spans="1:6" ht="31.5" x14ac:dyDescent="0.15">
      <c r="B45" s="59" t="s">
        <v>1707</v>
      </c>
      <c r="C45" s="68" t="s">
        <v>277</v>
      </c>
      <c r="D45" s="68" t="s">
        <v>1628</v>
      </c>
      <c r="E45" s="62" t="s">
        <v>277</v>
      </c>
      <c r="F45" s="64" t="s">
        <v>124</v>
      </c>
    </row>
    <row r="46" spans="1:6" ht="31.5" x14ac:dyDescent="0.15">
      <c r="B46" s="59" t="s">
        <v>1708</v>
      </c>
      <c r="C46" s="57" t="s">
        <v>946</v>
      </c>
      <c r="D46" s="64" t="s">
        <v>1629</v>
      </c>
      <c r="E46" s="62" t="s">
        <v>946</v>
      </c>
      <c r="F46" s="68" t="s">
        <v>282</v>
      </c>
    </row>
    <row r="47" spans="1:6" ht="31.5" x14ac:dyDescent="0.15">
      <c r="B47" s="59" t="s">
        <v>1709</v>
      </c>
      <c r="C47" s="65" t="s">
        <v>120</v>
      </c>
      <c r="D47" s="68" t="s">
        <v>1928</v>
      </c>
      <c r="E47" s="64" t="s">
        <v>120</v>
      </c>
      <c r="F47" s="64" t="s">
        <v>120</v>
      </c>
    </row>
    <row r="48" spans="1:6" ht="47.25" x14ac:dyDescent="0.15">
      <c r="B48" s="59" t="s">
        <v>1710</v>
      </c>
      <c r="C48" s="65" t="s">
        <v>122</v>
      </c>
      <c r="D48" s="68" t="s">
        <v>1931</v>
      </c>
      <c r="E48" s="64" t="s">
        <v>122</v>
      </c>
      <c r="F48" s="64" t="s">
        <v>122</v>
      </c>
    </row>
    <row r="49" spans="2:6" x14ac:dyDescent="0.15">
      <c r="B49" s="59" t="s">
        <v>1711</v>
      </c>
      <c r="C49" s="64" t="s">
        <v>968</v>
      </c>
      <c r="D49" s="62" t="s">
        <v>1630</v>
      </c>
      <c r="E49" s="64" t="s">
        <v>968</v>
      </c>
      <c r="F49" s="64"/>
    </row>
    <row r="50" spans="2:6" ht="47.25" x14ac:dyDescent="0.15">
      <c r="B50" s="69" t="s">
        <v>1712</v>
      </c>
      <c r="C50" s="57" t="s">
        <v>944</v>
      </c>
      <c r="D50" s="68" t="s">
        <v>1631</v>
      </c>
      <c r="E50" s="62" t="s">
        <v>944</v>
      </c>
      <c r="F50" s="68" t="s">
        <v>1095</v>
      </c>
    </row>
    <row r="51" spans="2:6" x14ac:dyDescent="0.15">
      <c r="B51" s="59" t="s">
        <v>1713</v>
      </c>
      <c r="C51" s="68" t="s">
        <v>125</v>
      </c>
      <c r="D51" s="68" t="s">
        <v>1632</v>
      </c>
      <c r="E51" s="62" t="s">
        <v>125</v>
      </c>
      <c r="F51" s="66" t="s">
        <v>0</v>
      </c>
    </row>
    <row r="52" spans="2:6" x14ac:dyDescent="0.15">
      <c r="B52" s="58" t="s">
        <v>261</v>
      </c>
      <c r="C52" s="58" t="s">
        <v>557</v>
      </c>
      <c r="D52" s="58" t="s">
        <v>1433</v>
      </c>
      <c r="E52" s="58" t="s">
        <v>1434</v>
      </c>
      <c r="F52" s="58" t="s">
        <v>1435</v>
      </c>
    </row>
    <row r="53" spans="2:6" x14ac:dyDescent="0.15">
      <c r="B53" s="83" t="s">
        <v>505</v>
      </c>
      <c r="C53" s="83"/>
      <c r="D53" s="83"/>
      <c r="E53" s="83"/>
      <c r="F53" s="83"/>
    </row>
    <row r="54" spans="2:6" ht="47.25" x14ac:dyDescent="0.15">
      <c r="B54" s="59" t="s">
        <v>126</v>
      </c>
      <c r="C54" s="57" t="s">
        <v>1913</v>
      </c>
      <c r="D54" s="65" t="s">
        <v>1606</v>
      </c>
      <c r="E54" s="57" t="s">
        <v>1349</v>
      </c>
      <c r="F54" s="68" t="s">
        <v>559</v>
      </c>
    </row>
    <row r="55" spans="2:6" ht="47.25" x14ac:dyDescent="0.15">
      <c r="B55" s="59" t="s">
        <v>1347</v>
      </c>
      <c r="C55" s="57" t="s">
        <v>1914</v>
      </c>
      <c r="D55" s="65" t="s">
        <v>1607</v>
      </c>
      <c r="E55" s="57" t="s">
        <v>1350</v>
      </c>
      <c r="F55" s="68"/>
    </row>
    <row r="56" spans="2:6" ht="47.25" x14ac:dyDescent="0.15">
      <c r="B56" s="59" t="s">
        <v>115</v>
      </c>
      <c r="C56" s="57" t="s">
        <v>1370</v>
      </c>
      <c r="D56" s="64" t="s">
        <v>1608</v>
      </c>
      <c r="E56" s="57" t="s">
        <v>927</v>
      </c>
      <c r="F56" s="68" t="s">
        <v>281</v>
      </c>
    </row>
    <row r="57" spans="2:6" ht="63" x14ac:dyDescent="0.15">
      <c r="B57" s="59" t="s">
        <v>127</v>
      </c>
      <c r="C57" s="57" t="s">
        <v>1310</v>
      </c>
      <c r="D57" s="64" t="s">
        <v>1609</v>
      </c>
      <c r="E57" s="57" t="s">
        <v>928</v>
      </c>
      <c r="F57" s="68" t="s">
        <v>863</v>
      </c>
    </row>
    <row r="58" spans="2:6" ht="47.25" x14ac:dyDescent="0.15">
      <c r="B58" s="59" t="s">
        <v>128</v>
      </c>
      <c r="C58" s="57" t="s">
        <v>1311</v>
      </c>
      <c r="D58" s="64" t="s">
        <v>1610</v>
      </c>
      <c r="E58" s="57" t="s">
        <v>929</v>
      </c>
      <c r="F58" s="68" t="s">
        <v>283</v>
      </c>
    </row>
    <row r="59" spans="2:6" ht="63" x14ac:dyDescent="0.15">
      <c r="B59" s="59" t="s">
        <v>129</v>
      </c>
      <c r="C59" s="57" t="s">
        <v>1312</v>
      </c>
      <c r="D59" s="64" t="s">
        <v>1611</v>
      </c>
      <c r="E59" s="57" t="s">
        <v>942</v>
      </c>
      <c r="F59" s="68" t="s">
        <v>284</v>
      </c>
    </row>
    <row r="60" spans="2:6" ht="63" x14ac:dyDescent="0.15">
      <c r="B60" s="59" t="s">
        <v>116</v>
      </c>
      <c r="C60" s="57" t="s">
        <v>1313</v>
      </c>
      <c r="D60" s="64" t="s">
        <v>1612</v>
      </c>
      <c r="E60" s="57" t="s">
        <v>930</v>
      </c>
      <c r="F60" s="68" t="s">
        <v>285</v>
      </c>
    </row>
    <row r="61" spans="2:6" ht="63" x14ac:dyDescent="0.15">
      <c r="B61" s="59" t="s">
        <v>130</v>
      </c>
      <c r="C61" s="57" t="s">
        <v>1935</v>
      </c>
      <c r="D61" s="64" t="s">
        <v>1613</v>
      </c>
      <c r="E61" s="57" t="s">
        <v>943</v>
      </c>
      <c r="F61" s="68" t="s">
        <v>286</v>
      </c>
    </row>
    <row r="62" spans="2:6" ht="47.25" x14ac:dyDescent="0.15">
      <c r="B62" s="59" t="s">
        <v>131</v>
      </c>
      <c r="C62" s="57" t="s">
        <v>1314</v>
      </c>
      <c r="D62" s="68" t="s">
        <v>1614</v>
      </c>
      <c r="E62" s="57" t="s">
        <v>931</v>
      </c>
      <c r="F62" s="68" t="s">
        <v>287</v>
      </c>
    </row>
    <row r="63" spans="2:6" ht="47.25" x14ac:dyDescent="0.15">
      <c r="B63" s="59" t="s">
        <v>117</v>
      </c>
      <c r="C63" s="57" t="s">
        <v>1315</v>
      </c>
      <c r="D63" s="68" t="s">
        <v>1615</v>
      </c>
      <c r="E63" s="57" t="s">
        <v>932</v>
      </c>
      <c r="F63" s="68" t="s">
        <v>288</v>
      </c>
    </row>
    <row r="64" spans="2:6" ht="47.25" x14ac:dyDescent="0.15">
      <c r="B64" s="59" t="s">
        <v>119</v>
      </c>
      <c r="C64" s="57" t="s">
        <v>1316</v>
      </c>
      <c r="D64" s="68" t="s">
        <v>1616</v>
      </c>
      <c r="E64" s="57" t="s">
        <v>933</v>
      </c>
      <c r="F64" s="68" t="s">
        <v>289</v>
      </c>
    </row>
    <row r="65" spans="1:6" ht="31.5" x14ac:dyDescent="0.15">
      <c r="B65" s="59" t="s">
        <v>121</v>
      </c>
      <c r="C65" s="57" t="s">
        <v>277</v>
      </c>
      <c r="D65" s="68" t="s">
        <v>1617</v>
      </c>
      <c r="E65" s="57" t="s">
        <v>934</v>
      </c>
      <c r="F65" s="68" t="s">
        <v>290</v>
      </c>
    </row>
    <row r="66" spans="1:6" ht="31.5" x14ac:dyDescent="0.15">
      <c r="B66" s="59" t="s">
        <v>132</v>
      </c>
      <c r="C66" s="57" t="s">
        <v>1317</v>
      </c>
      <c r="D66" s="65" t="s">
        <v>1618</v>
      </c>
      <c r="E66" s="57" t="s">
        <v>935</v>
      </c>
      <c r="F66" s="68" t="s">
        <v>282</v>
      </c>
    </row>
    <row r="67" spans="1:6" ht="31.5" x14ac:dyDescent="0.15">
      <c r="B67" s="59" t="s">
        <v>123</v>
      </c>
      <c r="C67" s="57" t="s">
        <v>1318</v>
      </c>
      <c r="D67" s="68" t="s">
        <v>1929</v>
      </c>
      <c r="E67" s="57" t="s">
        <v>936</v>
      </c>
      <c r="F67" s="68" t="s">
        <v>120</v>
      </c>
    </row>
    <row r="68" spans="1:6" ht="47.25" x14ac:dyDescent="0.15">
      <c r="B68" s="59" t="s">
        <v>870</v>
      </c>
      <c r="C68" s="57" t="s">
        <v>1319</v>
      </c>
      <c r="D68" s="68" t="s">
        <v>1930</v>
      </c>
      <c r="E68" s="57" t="s">
        <v>937</v>
      </c>
      <c r="F68" s="68" t="s">
        <v>122</v>
      </c>
    </row>
    <row r="69" spans="1:6" x14ac:dyDescent="0.15">
      <c r="B69" s="59" t="s">
        <v>969</v>
      </c>
      <c r="C69" s="57" t="s">
        <v>1320</v>
      </c>
      <c r="D69" s="68" t="s">
        <v>1619</v>
      </c>
      <c r="E69" s="57" t="s">
        <v>938</v>
      </c>
      <c r="F69" s="68" t="s">
        <v>291</v>
      </c>
    </row>
    <row r="70" spans="1:6" x14ac:dyDescent="0.15">
      <c r="B70" s="59" t="s">
        <v>970</v>
      </c>
      <c r="C70" s="57" t="s">
        <v>1321</v>
      </c>
      <c r="D70" s="62" t="s">
        <v>1620</v>
      </c>
      <c r="E70" s="57" t="s">
        <v>940</v>
      </c>
      <c r="F70" s="62" t="s">
        <v>292</v>
      </c>
    </row>
    <row r="71" spans="1:6" x14ac:dyDescent="0.15">
      <c r="B71" s="59" t="s">
        <v>971</v>
      </c>
      <c r="C71" s="57" t="s">
        <v>1322</v>
      </c>
      <c r="D71" s="62" t="s">
        <v>1621</v>
      </c>
      <c r="E71" s="57" t="s">
        <v>941</v>
      </c>
      <c r="F71" s="62" t="s">
        <v>293</v>
      </c>
    </row>
    <row r="72" spans="1:6" x14ac:dyDescent="0.15">
      <c r="B72" s="59" t="s">
        <v>972</v>
      </c>
      <c r="C72" s="57" t="s">
        <v>1323</v>
      </c>
      <c r="D72" s="68" t="s">
        <v>1622</v>
      </c>
      <c r="E72" s="57" t="s">
        <v>939</v>
      </c>
      <c r="F72" s="68" t="s">
        <v>294</v>
      </c>
    </row>
    <row r="73" spans="1:6" ht="31.5" x14ac:dyDescent="0.15">
      <c r="B73" s="59" t="s">
        <v>973</v>
      </c>
      <c r="C73" s="57" t="s">
        <v>1324</v>
      </c>
      <c r="D73" s="62" t="s">
        <v>1623</v>
      </c>
      <c r="E73" s="68" t="s">
        <v>944</v>
      </c>
      <c r="F73" s="62" t="s">
        <v>481</v>
      </c>
    </row>
    <row r="74" spans="1:6" x14ac:dyDescent="0.15">
      <c r="B74" s="59" t="s">
        <v>1348</v>
      </c>
      <c r="C74" s="68" t="s">
        <v>1325</v>
      </c>
      <c r="D74" s="68" t="s">
        <v>1624</v>
      </c>
      <c r="E74" s="66" t="s">
        <v>0</v>
      </c>
      <c r="F74" s="66" t="s">
        <v>0</v>
      </c>
    </row>
    <row r="75" spans="1:6" ht="47.25" x14ac:dyDescent="0.15">
      <c r="B75" s="70" t="s">
        <v>133</v>
      </c>
      <c r="C75" s="71" t="s">
        <v>948</v>
      </c>
      <c r="D75" s="525" t="s">
        <v>134</v>
      </c>
      <c r="E75" s="72" t="s">
        <v>947</v>
      </c>
      <c r="F75" s="72" t="s">
        <v>429</v>
      </c>
    </row>
    <row r="76" spans="1:6" x14ac:dyDescent="0.15">
      <c r="B76" s="504"/>
      <c r="C76" s="505"/>
      <c r="D76" s="506"/>
      <c r="E76" s="507"/>
      <c r="F76" s="507"/>
    </row>
    <row r="77" spans="1:6" x14ac:dyDescent="0.15">
      <c r="A77" s="18" t="s">
        <v>554</v>
      </c>
      <c r="E77" s="19"/>
      <c r="F77" s="19"/>
    </row>
    <row r="78" spans="1:6" x14ac:dyDescent="0.15">
      <c r="B78" s="58" t="s">
        <v>310</v>
      </c>
      <c r="C78" s="58" t="s">
        <v>557</v>
      </c>
      <c r="D78" s="58" t="s">
        <v>1433</v>
      </c>
      <c r="E78" s="58" t="s">
        <v>1434</v>
      </c>
      <c r="F78" s="58" t="s">
        <v>1435</v>
      </c>
    </row>
    <row r="79" spans="1:6" x14ac:dyDescent="0.15">
      <c r="B79" s="83"/>
      <c r="C79" s="83" t="s">
        <v>570</v>
      </c>
      <c r="D79" s="83" t="s">
        <v>975</v>
      </c>
      <c r="E79" s="83"/>
      <c r="F79" s="83" t="s">
        <v>570</v>
      </c>
    </row>
    <row r="80" spans="1:6" ht="31.5" x14ac:dyDescent="0.15">
      <c r="B80" s="59" t="s">
        <v>1639</v>
      </c>
      <c r="C80" s="57" t="s">
        <v>1790</v>
      </c>
      <c r="D80" s="62" t="s">
        <v>1803</v>
      </c>
      <c r="E80" s="62" t="s">
        <v>1816</v>
      </c>
      <c r="F80" s="62" t="s">
        <v>1743</v>
      </c>
    </row>
    <row r="81" spans="1:6" ht="31.5" x14ac:dyDescent="0.15">
      <c r="B81" s="59" t="s">
        <v>1640</v>
      </c>
      <c r="C81" s="57" t="s">
        <v>1791</v>
      </c>
      <c r="D81" s="62" t="s">
        <v>1804</v>
      </c>
      <c r="E81" s="62" t="s">
        <v>1791</v>
      </c>
      <c r="F81" s="62" t="s">
        <v>1744</v>
      </c>
    </row>
    <row r="82" spans="1:6" ht="31.5" x14ac:dyDescent="0.15">
      <c r="B82" s="59" t="s">
        <v>497</v>
      </c>
      <c r="C82" s="57" t="s">
        <v>1792</v>
      </c>
      <c r="D82" s="62" t="s">
        <v>1805</v>
      </c>
      <c r="E82" s="62" t="s">
        <v>1792</v>
      </c>
      <c r="F82" s="62" t="s">
        <v>1745</v>
      </c>
    </row>
    <row r="83" spans="1:6" ht="31.5" x14ac:dyDescent="0.15">
      <c r="B83" s="59" t="s">
        <v>1641</v>
      </c>
      <c r="C83" s="57" t="s">
        <v>1793</v>
      </c>
      <c r="D83" s="62" t="s">
        <v>1806</v>
      </c>
      <c r="E83" s="62" t="s">
        <v>1793</v>
      </c>
      <c r="F83" s="62" t="s">
        <v>1746</v>
      </c>
    </row>
    <row r="84" spans="1:6" x14ac:dyDescent="0.15">
      <c r="B84" s="59" t="s">
        <v>1642</v>
      </c>
      <c r="C84" s="68" t="s">
        <v>1794</v>
      </c>
      <c r="D84" s="59" t="s">
        <v>1807</v>
      </c>
      <c r="E84" s="62" t="s">
        <v>1794</v>
      </c>
      <c r="F84" s="68" t="s">
        <v>307</v>
      </c>
    </row>
    <row r="85" spans="1:6" x14ac:dyDescent="0.15">
      <c r="B85" s="59" t="s">
        <v>498</v>
      </c>
      <c r="C85" s="68" t="s">
        <v>1795</v>
      </c>
      <c r="D85" s="59" t="s">
        <v>1808</v>
      </c>
      <c r="E85" s="62" t="s">
        <v>1795</v>
      </c>
      <c r="F85" s="68" t="s">
        <v>308</v>
      </c>
    </row>
    <row r="86" spans="1:6" x14ac:dyDescent="0.15">
      <c r="B86" s="59" t="s">
        <v>499</v>
      </c>
      <c r="C86" s="57" t="s">
        <v>1796</v>
      </c>
      <c r="D86" s="59" t="s">
        <v>1809</v>
      </c>
      <c r="E86" s="62" t="s">
        <v>1796</v>
      </c>
      <c r="F86" s="68" t="s">
        <v>306</v>
      </c>
    </row>
    <row r="87" spans="1:6" ht="31.5" x14ac:dyDescent="0.15">
      <c r="B87" s="59" t="s">
        <v>500</v>
      </c>
      <c r="C87" s="57" t="s">
        <v>1797</v>
      </c>
      <c r="D87" s="62" t="s">
        <v>1810</v>
      </c>
      <c r="E87" s="62" t="s">
        <v>1797</v>
      </c>
      <c r="F87" s="62" t="s">
        <v>1747</v>
      </c>
    </row>
    <row r="88" spans="1:6" ht="31.5" x14ac:dyDescent="0.15">
      <c r="B88" s="59" t="s">
        <v>501</v>
      </c>
      <c r="C88" s="57" t="s">
        <v>1798</v>
      </c>
      <c r="D88" s="62" t="s">
        <v>1811</v>
      </c>
      <c r="E88" s="62" t="s">
        <v>1798</v>
      </c>
      <c r="F88" s="62" t="s">
        <v>1748</v>
      </c>
    </row>
    <row r="89" spans="1:6" ht="31.5" x14ac:dyDescent="0.15">
      <c r="B89" s="59" t="s">
        <v>502</v>
      </c>
      <c r="C89" s="501" t="s">
        <v>1799</v>
      </c>
      <c r="D89" s="503" t="s">
        <v>1812</v>
      </c>
      <c r="E89" s="503" t="s">
        <v>1799</v>
      </c>
      <c r="F89" s="503" t="s">
        <v>1520</v>
      </c>
    </row>
    <row r="90" spans="1:6" ht="31.5" x14ac:dyDescent="0.15">
      <c r="B90" s="59" t="s">
        <v>503</v>
      </c>
      <c r="C90" s="501" t="s">
        <v>1800</v>
      </c>
      <c r="D90" s="503" t="s">
        <v>1813</v>
      </c>
      <c r="E90" s="503" t="s">
        <v>1800</v>
      </c>
      <c r="F90" s="503" t="s">
        <v>1521</v>
      </c>
    </row>
    <row r="91" spans="1:6" ht="31.5" x14ac:dyDescent="0.15">
      <c r="B91" s="59" t="s">
        <v>1643</v>
      </c>
      <c r="C91" s="501" t="s">
        <v>1801</v>
      </c>
      <c r="D91" s="503" t="s">
        <v>1814</v>
      </c>
      <c r="E91" s="503" t="s">
        <v>1801</v>
      </c>
      <c r="F91" s="503" t="s">
        <v>1522</v>
      </c>
    </row>
    <row r="92" spans="1:6" ht="31.5" x14ac:dyDescent="0.15">
      <c r="B92" s="59" t="s">
        <v>1517</v>
      </c>
      <c r="C92" s="501" t="s">
        <v>1802</v>
      </c>
      <c r="D92" s="503" t="s">
        <v>1815</v>
      </c>
      <c r="E92" s="503" t="s">
        <v>1802</v>
      </c>
      <c r="F92" s="503" t="s">
        <v>1523</v>
      </c>
    </row>
    <row r="93" spans="1:6" ht="31.5" x14ac:dyDescent="0.15">
      <c r="B93" s="59" t="s">
        <v>1518</v>
      </c>
      <c r="C93" s="57" t="s">
        <v>1911</v>
      </c>
      <c r="D93" s="57" t="s">
        <v>1912</v>
      </c>
      <c r="E93" s="57" t="s">
        <v>1896</v>
      </c>
      <c r="F93" s="62"/>
    </row>
    <row r="94" spans="1:6" x14ac:dyDescent="0.15">
      <c r="B94" s="59" t="s">
        <v>504</v>
      </c>
      <c r="C94" s="68" t="s">
        <v>974</v>
      </c>
      <c r="D94" s="68"/>
      <c r="E94" s="68"/>
      <c r="F94" s="68" t="s">
        <v>485</v>
      </c>
    </row>
    <row r="96" spans="1:6" x14ac:dyDescent="0.15">
      <c r="A96" s="18" t="s">
        <v>555</v>
      </c>
    </row>
    <row r="97" spans="2:6" x14ac:dyDescent="0.15">
      <c r="B97" s="58" t="s">
        <v>310</v>
      </c>
      <c r="C97" s="58" t="s">
        <v>557</v>
      </c>
      <c r="D97" s="58" t="s">
        <v>1433</v>
      </c>
      <c r="E97" s="58" t="s">
        <v>1434</v>
      </c>
      <c r="F97" s="58" t="s">
        <v>1435</v>
      </c>
    </row>
    <row r="98" spans="2:6" x14ac:dyDescent="0.15">
      <c r="B98" s="83"/>
      <c r="C98" s="83" t="s">
        <v>568</v>
      </c>
      <c r="D98" s="83" t="s">
        <v>569</v>
      </c>
      <c r="E98" s="84" t="s">
        <v>568</v>
      </c>
      <c r="F98" s="83" t="s">
        <v>568</v>
      </c>
    </row>
    <row r="99" spans="2:6" ht="31.5" x14ac:dyDescent="0.15">
      <c r="B99" s="59" t="s">
        <v>137</v>
      </c>
      <c r="C99" s="57" t="s">
        <v>1908</v>
      </c>
      <c r="D99" s="68" t="s">
        <v>1644</v>
      </c>
      <c r="E99" s="62" t="s">
        <v>1817</v>
      </c>
      <c r="F99" s="68" t="s">
        <v>431</v>
      </c>
    </row>
    <row r="100" spans="2:6" x14ac:dyDescent="0.15">
      <c r="B100" s="59" t="s">
        <v>976</v>
      </c>
      <c r="C100" s="57" t="s">
        <v>1328</v>
      </c>
      <c r="D100" s="68" t="s">
        <v>1645</v>
      </c>
      <c r="E100" s="62" t="s">
        <v>303</v>
      </c>
      <c r="F100" s="68" t="s">
        <v>303</v>
      </c>
    </row>
    <row r="101" spans="2:6" x14ac:dyDescent="0.15">
      <c r="B101" s="59" t="s">
        <v>138</v>
      </c>
      <c r="C101" s="68" t="s">
        <v>1329</v>
      </c>
      <c r="D101" s="68" t="s">
        <v>1646</v>
      </c>
      <c r="E101" s="62" t="s">
        <v>336</v>
      </c>
      <c r="F101" s="68" t="s">
        <v>295</v>
      </c>
    </row>
    <row r="102" spans="2:6" ht="31.5" x14ac:dyDescent="0.15">
      <c r="B102" s="59" t="s">
        <v>977</v>
      </c>
      <c r="C102" s="57" t="s">
        <v>1906</v>
      </c>
      <c r="D102" s="68" t="s">
        <v>1647</v>
      </c>
      <c r="E102" s="62" t="s">
        <v>1818</v>
      </c>
      <c r="F102" s="68" t="s">
        <v>432</v>
      </c>
    </row>
    <row r="103" spans="2:6" ht="47.25" x14ac:dyDescent="0.15">
      <c r="B103" s="59" t="s">
        <v>139</v>
      </c>
      <c r="C103" s="68" t="s">
        <v>1819</v>
      </c>
      <c r="D103" s="68" t="s">
        <v>1834</v>
      </c>
      <c r="E103" s="62" t="s">
        <v>1819</v>
      </c>
      <c r="F103" s="68" t="s">
        <v>296</v>
      </c>
    </row>
    <row r="104" spans="2:6" ht="47.25" x14ac:dyDescent="0.15">
      <c r="B104" s="59" t="s">
        <v>506</v>
      </c>
      <c r="C104" s="68" t="s">
        <v>1820</v>
      </c>
      <c r="D104" s="68" t="s">
        <v>1833</v>
      </c>
      <c r="E104" s="62" t="s">
        <v>1820</v>
      </c>
      <c r="F104" s="68" t="s">
        <v>297</v>
      </c>
    </row>
    <row r="105" spans="2:6" ht="47.25" x14ac:dyDescent="0.15">
      <c r="B105" s="59" t="s">
        <v>140</v>
      </c>
      <c r="C105" s="68" t="s">
        <v>1821</v>
      </c>
      <c r="D105" s="68" t="s">
        <v>1832</v>
      </c>
      <c r="E105" s="62" t="s">
        <v>1821</v>
      </c>
      <c r="F105" s="68" t="s">
        <v>298</v>
      </c>
    </row>
    <row r="106" spans="2:6" x14ac:dyDescent="0.15">
      <c r="B106" s="59" t="s">
        <v>507</v>
      </c>
      <c r="C106" s="68" t="s">
        <v>267</v>
      </c>
      <c r="D106" s="68" t="s">
        <v>1648</v>
      </c>
      <c r="E106" s="62" t="s">
        <v>267</v>
      </c>
      <c r="F106" s="68" t="s">
        <v>299</v>
      </c>
    </row>
    <row r="107" spans="2:6" ht="31.5" x14ac:dyDescent="0.15">
      <c r="B107" s="59" t="s">
        <v>141</v>
      </c>
      <c r="C107" s="57" t="s">
        <v>1907</v>
      </c>
      <c r="D107" s="68" t="s">
        <v>1649</v>
      </c>
      <c r="E107" s="62" t="s">
        <v>1822</v>
      </c>
      <c r="F107" s="68" t="s">
        <v>337</v>
      </c>
    </row>
    <row r="108" spans="2:6" ht="31.5" x14ac:dyDescent="0.15">
      <c r="B108" s="59" t="s">
        <v>508</v>
      </c>
      <c r="C108" s="57" t="s">
        <v>1823</v>
      </c>
      <c r="D108" s="68" t="s">
        <v>1831</v>
      </c>
      <c r="E108" s="62" t="s">
        <v>1823</v>
      </c>
      <c r="F108" s="68" t="s">
        <v>300</v>
      </c>
    </row>
    <row r="109" spans="2:6" ht="31.5" x14ac:dyDescent="0.15">
      <c r="B109" s="59" t="s">
        <v>142</v>
      </c>
      <c r="C109" s="57" t="s">
        <v>1824</v>
      </c>
      <c r="D109" s="68" t="s">
        <v>1829</v>
      </c>
      <c r="E109" s="62" t="s">
        <v>1824</v>
      </c>
      <c r="F109" s="68" t="s">
        <v>301</v>
      </c>
    </row>
    <row r="110" spans="2:6" ht="31.5" x14ac:dyDescent="0.15">
      <c r="B110" s="59" t="s">
        <v>509</v>
      </c>
      <c r="C110" s="57" t="s">
        <v>1825</v>
      </c>
      <c r="D110" s="68" t="s">
        <v>1830</v>
      </c>
      <c r="E110" s="62" t="s">
        <v>1825</v>
      </c>
      <c r="F110" s="68" t="s">
        <v>302</v>
      </c>
    </row>
    <row r="111" spans="2:6" ht="31.5" x14ac:dyDescent="0.15">
      <c r="B111" s="59" t="s">
        <v>143</v>
      </c>
      <c r="C111" s="57" t="s">
        <v>1909</v>
      </c>
      <c r="D111" s="62" t="s">
        <v>1650</v>
      </c>
      <c r="E111" s="62" t="s">
        <v>1889</v>
      </c>
      <c r="F111" s="62" t="s">
        <v>1096</v>
      </c>
    </row>
    <row r="112" spans="2:6" ht="31.5" x14ac:dyDescent="0.15">
      <c r="B112" s="59" t="s">
        <v>510</v>
      </c>
      <c r="C112" s="57" t="s">
        <v>1910</v>
      </c>
      <c r="D112" s="62" t="s">
        <v>1651</v>
      </c>
      <c r="E112" s="62" t="s">
        <v>1890</v>
      </c>
      <c r="F112" s="62" t="s">
        <v>1098</v>
      </c>
    </row>
    <row r="113" spans="1:6" ht="47.25" x14ac:dyDescent="0.15">
      <c r="B113" s="75" t="s">
        <v>1524</v>
      </c>
      <c r="C113" s="509" t="s">
        <v>1826</v>
      </c>
      <c r="D113" s="509" t="s">
        <v>1452</v>
      </c>
      <c r="E113" s="510" t="s">
        <v>1891</v>
      </c>
      <c r="F113" s="510" t="s">
        <v>305</v>
      </c>
    </row>
    <row r="114" spans="1:6" ht="47.25" x14ac:dyDescent="0.15">
      <c r="B114" s="75" t="s">
        <v>1524</v>
      </c>
      <c r="C114" s="509" t="s">
        <v>1827</v>
      </c>
      <c r="D114" s="509" t="s">
        <v>1453</v>
      </c>
      <c r="E114" s="510" t="s">
        <v>1892</v>
      </c>
      <c r="F114" s="510" t="s">
        <v>304</v>
      </c>
    </row>
    <row r="115" spans="1:6" ht="31.5" x14ac:dyDescent="0.15">
      <c r="B115" s="75" t="s">
        <v>1524</v>
      </c>
      <c r="C115" s="509" t="s">
        <v>1828</v>
      </c>
      <c r="D115" s="509" t="s">
        <v>978</v>
      </c>
      <c r="E115" s="510" t="s">
        <v>1893</v>
      </c>
      <c r="F115" s="510" t="s">
        <v>1097</v>
      </c>
    </row>
    <row r="116" spans="1:6" ht="31.5" x14ac:dyDescent="0.15">
      <c r="B116" s="59" t="s">
        <v>598</v>
      </c>
      <c r="C116" s="57" t="s">
        <v>1100</v>
      </c>
      <c r="D116" s="62" t="s">
        <v>671</v>
      </c>
      <c r="E116" s="62" t="s">
        <v>1102</v>
      </c>
      <c r="F116" s="62" t="s">
        <v>1099</v>
      </c>
    </row>
    <row r="117" spans="1:6" x14ac:dyDescent="0.15">
      <c r="B117" s="59" t="s">
        <v>599</v>
      </c>
      <c r="C117" s="57" t="s">
        <v>1101</v>
      </c>
      <c r="D117" s="60" t="s">
        <v>136</v>
      </c>
      <c r="E117" s="62" t="s">
        <v>1101</v>
      </c>
      <c r="F117" s="62" t="s">
        <v>135</v>
      </c>
    </row>
    <row r="118" spans="1:6" x14ac:dyDescent="0.15">
      <c r="E118" s="19"/>
      <c r="F118" s="19"/>
    </row>
    <row r="119" spans="1:6" x14ac:dyDescent="0.15">
      <c r="A119" s="18" t="s">
        <v>556</v>
      </c>
    </row>
    <row r="120" spans="1:6" x14ac:dyDescent="0.15">
      <c r="B120" s="58" t="s">
        <v>310</v>
      </c>
      <c r="C120" s="58" t="s">
        <v>557</v>
      </c>
      <c r="D120" s="58" t="s">
        <v>1433</v>
      </c>
      <c r="E120" s="58" t="s">
        <v>1434</v>
      </c>
      <c r="F120" s="58" t="s">
        <v>1435</v>
      </c>
    </row>
    <row r="121" spans="1:6" x14ac:dyDescent="0.15">
      <c r="B121" s="83"/>
      <c r="C121" s="83" t="s">
        <v>1062</v>
      </c>
      <c r="D121" s="83" t="s">
        <v>575</v>
      </c>
      <c r="E121" s="83" t="s">
        <v>574</v>
      </c>
      <c r="F121" s="83" t="s">
        <v>574</v>
      </c>
    </row>
    <row r="122" spans="1:6" x14ac:dyDescent="0.15">
      <c r="B122" s="92" t="s">
        <v>1091</v>
      </c>
      <c r="C122" s="90"/>
      <c r="D122" s="90"/>
      <c r="E122" s="90"/>
      <c r="F122" s="91"/>
    </row>
    <row r="123" spans="1:6" x14ac:dyDescent="0.15">
      <c r="B123" s="68" t="s">
        <v>1658</v>
      </c>
      <c r="C123" s="61" t="s">
        <v>979</v>
      </c>
      <c r="D123" s="59" t="s">
        <v>1664</v>
      </c>
      <c r="E123" s="60" t="s">
        <v>1398</v>
      </c>
      <c r="F123" s="59" t="s">
        <v>349</v>
      </c>
    </row>
    <row r="124" spans="1:6" x14ac:dyDescent="0.15">
      <c r="B124" s="68" t="s">
        <v>1657</v>
      </c>
      <c r="C124" s="61" t="s">
        <v>980</v>
      </c>
      <c r="D124" s="60" t="s">
        <v>1665</v>
      </c>
      <c r="E124" s="60" t="s">
        <v>1399</v>
      </c>
      <c r="F124" s="60" t="s">
        <v>401</v>
      </c>
    </row>
    <row r="125" spans="1:6" x14ac:dyDescent="0.15">
      <c r="B125" s="59" t="s">
        <v>1656</v>
      </c>
      <c r="C125" s="61" t="s">
        <v>1103</v>
      </c>
      <c r="D125" s="61" t="s">
        <v>1666</v>
      </c>
      <c r="E125" s="60" t="s">
        <v>1386</v>
      </c>
      <c r="F125" s="60" t="s">
        <v>403</v>
      </c>
    </row>
    <row r="126" spans="1:6" x14ac:dyDescent="0.15">
      <c r="B126" s="68" t="s">
        <v>1655</v>
      </c>
      <c r="C126" s="57" t="s">
        <v>981</v>
      </c>
      <c r="D126" s="60" t="s">
        <v>1667</v>
      </c>
      <c r="E126" s="62" t="s">
        <v>1387</v>
      </c>
      <c r="F126" s="62" t="s">
        <v>653</v>
      </c>
    </row>
    <row r="127" spans="1:6" ht="78.75" x14ac:dyDescent="0.15">
      <c r="B127" s="68" t="s">
        <v>1654</v>
      </c>
      <c r="C127" s="57" t="s">
        <v>1371</v>
      </c>
      <c r="D127" s="61" t="s">
        <v>1668</v>
      </c>
      <c r="E127" s="62" t="s">
        <v>1371</v>
      </c>
      <c r="F127" s="62" t="s">
        <v>430</v>
      </c>
    </row>
    <row r="128" spans="1:6" x14ac:dyDescent="0.15">
      <c r="B128" s="59" t="s">
        <v>1551</v>
      </c>
      <c r="C128" s="61" t="s">
        <v>1391</v>
      </c>
      <c r="D128" s="59" t="s">
        <v>1669</v>
      </c>
      <c r="E128" s="60" t="s">
        <v>1391</v>
      </c>
      <c r="F128" s="59" t="s">
        <v>353</v>
      </c>
    </row>
    <row r="129" spans="2:6" x14ac:dyDescent="0.15">
      <c r="B129" s="59" t="s">
        <v>494</v>
      </c>
      <c r="C129" s="61" t="s">
        <v>1392</v>
      </c>
      <c r="D129" s="59" t="s">
        <v>1670</v>
      </c>
      <c r="E129" s="60" t="s">
        <v>1392</v>
      </c>
      <c r="F129" s="59" t="s">
        <v>354</v>
      </c>
    </row>
    <row r="130" spans="2:6" x14ac:dyDescent="0.15">
      <c r="B130" s="59" t="s">
        <v>495</v>
      </c>
      <c r="C130" s="61" t="s">
        <v>1393</v>
      </c>
      <c r="D130" s="61" t="s">
        <v>1671</v>
      </c>
      <c r="E130" s="60" t="s">
        <v>1652</v>
      </c>
      <c r="F130" s="60" t="s">
        <v>350</v>
      </c>
    </row>
    <row r="131" spans="2:6" x14ac:dyDescent="0.15">
      <c r="B131" s="59" t="s">
        <v>496</v>
      </c>
      <c r="C131" s="61" t="s">
        <v>1525</v>
      </c>
      <c r="D131" s="60" t="s">
        <v>1672</v>
      </c>
      <c r="E131" s="60" t="s">
        <v>1394</v>
      </c>
      <c r="F131" s="60" t="s">
        <v>402</v>
      </c>
    </row>
    <row r="132" spans="2:6" x14ac:dyDescent="0.15">
      <c r="B132" s="59" t="s">
        <v>1552</v>
      </c>
      <c r="C132" s="61" t="s">
        <v>1395</v>
      </c>
      <c r="D132" s="59" t="s">
        <v>1673</v>
      </c>
      <c r="E132" s="60" t="s">
        <v>1400</v>
      </c>
      <c r="F132" s="59" t="s">
        <v>351</v>
      </c>
    </row>
    <row r="133" spans="2:6" x14ac:dyDescent="0.15">
      <c r="B133" s="59" t="s">
        <v>1653</v>
      </c>
      <c r="C133" s="61" t="s">
        <v>0</v>
      </c>
      <c r="D133" s="59" t="s">
        <v>1674</v>
      </c>
      <c r="E133" s="60" t="s">
        <v>1401</v>
      </c>
      <c r="F133" s="59" t="s">
        <v>352</v>
      </c>
    </row>
    <row r="134" spans="2:6" x14ac:dyDescent="0.15">
      <c r="B134" s="58" t="s">
        <v>261</v>
      </c>
      <c r="C134" s="58" t="s">
        <v>557</v>
      </c>
      <c r="D134" s="58" t="s">
        <v>1433</v>
      </c>
      <c r="E134" s="58" t="s">
        <v>1434</v>
      </c>
      <c r="F134" s="58" t="s">
        <v>1435</v>
      </c>
    </row>
    <row r="135" spans="2:6" x14ac:dyDescent="0.15">
      <c r="B135" s="92" t="s">
        <v>1532</v>
      </c>
      <c r="C135" s="90"/>
      <c r="D135" s="90"/>
      <c r="E135" s="90"/>
      <c r="F135" s="91"/>
    </row>
    <row r="136" spans="2:6" x14ac:dyDescent="0.15">
      <c r="B136" s="59" t="s">
        <v>1537</v>
      </c>
      <c r="C136" s="61" t="s">
        <v>1553</v>
      </c>
      <c r="D136" s="59" t="s">
        <v>1662</v>
      </c>
      <c r="E136" s="60" t="s">
        <v>1553</v>
      </c>
      <c r="F136" s="59" t="s">
        <v>1555</v>
      </c>
    </row>
    <row r="137" spans="2:6" x14ac:dyDescent="0.15">
      <c r="B137" s="59" t="s">
        <v>1659</v>
      </c>
      <c r="C137" s="61" t="s">
        <v>1554</v>
      </c>
      <c r="D137" s="59" t="s">
        <v>1663</v>
      </c>
      <c r="E137" s="60" t="s">
        <v>1554</v>
      </c>
      <c r="F137" s="59" t="s">
        <v>1556</v>
      </c>
    </row>
    <row r="138" spans="2:6" x14ac:dyDescent="0.15">
      <c r="B138" s="58" t="s">
        <v>261</v>
      </c>
      <c r="C138" s="58" t="s">
        <v>557</v>
      </c>
      <c r="D138" s="58" t="s">
        <v>1433</v>
      </c>
      <c r="E138" s="58" t="s">
        <v>1434</v>
      </c>
      <c r="F138" s="58" t="s">
        <v>1435</v>
      </c>
    </row>
    <row r="139" spans="2:6" x14ac:dyDescent="0.15">
      <c r="B139" s="92" t="s">
        <v>1533</v>
      </c>
      <c r="C139" s="90"/>
      <c r="D139" s="90"/>
      <c r="E139" s="90"/>
      <c r="F139" s="91"/>
    </row>
    <row r="140" spans="2:6" x14ac:dyDescent="0.15">
      <c r="B140" s="59" t="s">
        <v>1537</v>
      </c>
      <c r="C140" s="61" t="s">
        <v>1534</v>
      </c>
      <c r="D140" s="59" t="s">
        <v>1660</v>
      </c>
      <c r="E140" s="60" t="s">
        <v>1535</v>
      </c>
      <c r="F140" s="59" t="s">
        <v>1536</v>
      </c>
    </row>
    <row r="141" spans="2:6" x14ac:dyDescent="0.15">
      <c r="B141" s="59" t="s">
        <v>1557</v>
      </c>
      <c r="C141" s="61" t="s">
        <v>693</v>
      </c>
      <c r="D141" s="59" t="s">
        <v>1661</v>
      </c>
      <c r="E141" s="60" t="s">
        <v>1080</v>
      </c>
      <c r="F141" s="59" t="s">
        <v>693</v>
      </c>
    </row>
    <row r="142" spans="2:6" x14ac:dyDescent="0.15">
      <c r="B142" s="59" t="s">
        <v>1558</v>
      </c>
      <c r="C142" s="61" t="s">
        <v>1534</v>
      </c>
      <c r="D142" s="59" t="s">
        <v>1660</v>
      </c>
      <c r="E142" s="60" t="s">
        <v>1535</v>
      </c>
      <c r="F142" s="59" t="s">
        <v>1536</v>
      </c>
    </row>
    <row r="143" spans="2:6" x14ac:dyDescent="0.15">
      <c r="B143" s="59" t="s">
        <v>1559</v>
      </c>
      <c r="C143" s="61" t="s">
        <v>693</v>
      </c>
      <c r="D143" s="59" t="s">
        <v>1661</v>
      </c>
      <c r="E143" s="60" t="s">
        <v>1080</v>
      </c>
      <c r="F143" s="59" t="s">
        <v>693</v>
      </c>
    </row>
    <row r="144" spans="2:6" x14ac:dyDescent="0.15">
      <c r="B144" s="58" t="s">
        <v>261</v>
      </c>
      <c r="C144" s="58" t="s">
        <v>557</v>
      </c>
      <c r="D144" s="58" t="s">
        <v>1433</v>
      </c>
      <c r="E144" s="58" t="s">
        <v>1434</v>
      </c>
      <c r="F144" s="58" t="s">
        <v>1435</v>
      </c>
    </row>
    <row r="145" spans="2:6" x14ac:dyDescent="0.15">
      <c r="B145" s="92" t="s">
        <v>1092</v>
      </c>
      <c r="C145" s="90"/>
      <c r="D145" s="90"/>
      <c r="E145" s="90"/>
      <c r="F145" s="91"/>
    </row>
    <row r="146" spans="2:6" ht="31.5" x14ac:dyDescent="0.15">
      <c r="B146" s="59" t="s">
        <v>145</v>
      </c>
      <c r="C146" s="57" t="s">
        <v>1075</v>
      </c>
      <c r="D146" s="57" t="s">
        <v>1580</v>
      </c>
      <c r="E146" s="62" t="s">
        <v>1372</v>
      </c>
      <c r="F146" s="68" t="s">
        <v>694</v>
      </c>
    </row>
    <row r="147" spans="2:6" ht="31.5" x14ac:dyDescent="0.15">
      <c r="B147" s="59" t="s">
        <v>1538</v>
      </c>
      <c r="C147" s="57" t="s">
        <v>1076</v>
      </c>
      <c r="D147" s="57" t="s">
        <v>1581</v>
      </c>
      <c r="E147" s="62" t="s">
        <v>1373</v>
      </c>
      <c r="F147" s="62" t="s">
        <v>695</v>
      </c>
    </row>
    <row r="148" spans="2:6" ht="31.5" x14ac:dyDescent="0.15">
      <c r="B148" s="59" t="s">
        <v>146</v>
      </c>
      <c r="C148" s="57" t="s">
        <v>1074</v>
      </c>
      <c r="D148" s="57" t="s">
        <v>1449</v>
      </c>
      <c r="E148" s="62" t="s">
        <v>1374</v>
      </c>
      <c r="F148" s="62" t="s">
        <v>696</v>
      </c>
    </row>
    <row r="149" spans="2:6" x14ac:dyDescent="0.15">
      <c r="B149" s="59" t="s">
        <v>147</v>
      </c>
      <c r="C149" s="57" t="s">
        <v>869</v>
      </c>
      <c r="D149" s="68" t="s">
        <v>697</v>
      </c>
      <c r="E149" s="62" t="s">
        <v>1375</v>
      </c>
      <c r="F149" s="68" t="s">
        <v>869</v>
      </c>
    </row>
    <row r="150" spans="2:6" ht="31.5" x14ac:dyDescent="0.15">
      <c r="B150" s="59" t="s">
        <v>1539</v>
      </c>
      <c r="C150" s="57" t="s">
        <v>1576</v>
      </c>
      <c r="D150" s="57" t="s">
        <v>1582</v>
      </c>
      <c r="E150" s="62" t="s">
        <v>1376</v>
      </c>
      <c r="F150" s="62" t="s">
        <v>665</v>
      </c>
    </row>
    <row r="151" spans="2:6" x14ac:dyDescent="0.15">
      <c r="B151" s="59" t="s">
        <v>148</v>
      </c>
      <c r="C151" s="501" t="s">
        <v>1577</v>
      </c>
      <c r="D151" s="503" t="s">
        <v>1583</v>
      </c>
      <c r="E151" s="503"/>
      <c r="F151" s="503"/>
    </row>
    <row r="152" spans="2:6" x14ac:dyDescent="0.15">
      <c r="B152" s="59" t="s">
        <v>1540</v>
      </c>
      <c r="C152" s="57" t="s">
        <v>1072</v>
      </c>
      <c r="D152" s="62" t="s">
        <v>1584</v>
      </c>
      <c r="E152" s="62" t="s">
        <v>1377</v>
      </c>
      <c r="F152" s="62" t="s">
        <v>698</v>
      </c>
    </row>
    <row r="153" spans="2:6" x14ac:dyDescent="0.15">
      <c r="B153" s="59" t="s">
        <v>149</v>
      </c>
      <c r="C153" s="57" t="s">
        <v>961</v>
      </c>
      <c r="D153" s="57" t="s">
        <v>963</v>
      </c>
      <c r="E153" s="62" t="s">
        <v>1381</v>
      </c>
      <c r="F153" s="62" t="s">
        <v>702</v>
      </c>
    </row>
    <row r="154" spans="2:6" ht="31.5" x14ac:dyDescent="0.15">
      <c r="B154" s="59" t="s">
        <v>1541</v>
      </c>
      <c r="C154" s="57" t="s">
        <v>1077</v>
      </c>
      <c r="D154" s="57" t="s">
        <v>1585</v>
      </c>
      <c r="E154" s="62" t="s">
        <v>1378</v>
      </c>
      <c r="F154" s="68" t="s">
        <v>699</v>
      </c>
    </row>
    <row r="155" spans="2:6" ht="31.5" x14ac:dyDescent="0.15">
      <c r="B155" s="59" t="s">
        <v>150</v>
      </c>
      <c r="C155" s="57" t="s">
        <v>1073</v>
      </c>
      <c r="D155" s="57" t="s">
        <v>1586</v>
      </c>
      <c r="E155" s="62" t="s">
        <v>1379</v>
      </c>
      <c r="F155" s="62" t="s">
        <v>700</v>
      </c>
    </row>
    <row r="156" spans="2:6" ht="31.5" x14ac:dyDescent="0.15">
      <c r="B156" s="59" t="s">
        <v>1542</v>
      </c>
      <c r="C156" s="57" t="s">
        <v>1448</v>
      </c>
      <c r="D156" s="61" t="s">
        <v>1450</v>
      </c>
      <c r="E156" s="62" t="s">
        <v>1451</v>
      </c>
      <c r="F156" s="60" t="s">
        <v>701</v>
      </c>
    </row>
    <row r="157" spans="2:6" ht="31.5" x14ac:dyDescent="0.15">
      <c r="B157" s="59" t="s">
        <v>1543</v>
      </c>
      <c r="C157" s="57" t="s">
        <v>1578</v>
      </c>
      <c r="D157" s="61" t="s">
        <v>1587</v>
      </c>
      <c r="E157" s="60" t="s">
        <v>1380</v>
      </c>
      <c r="F157" s="60" t="s">
        <v>663</v>
      </c>
    </row>
    <row r="158" spans="2:6" x14ac:dyDescent="0.15">
      <c r="B158" s="59" t="s">
        <v>982</v>
      </c>
      <c r="C158" s="501" t="s">
        <v>1579</v>
      </c>
      <c r="D158" s="61" t="s">
        <v>1588</v>
      </c>
      <c r="E158" s="502"/>
      <c r="F158" s="502"/>
    </row>
    <row r="159" spans="2:6" x14ac:dyDescent="0.15">
      <c r="B159" s="59" t="s">
        <v>1544</v>
      </c>
      <c r="C159" s="57" t="s">
        <v>962</v>
      </c>
      <c r="D159" s="57" t="s">
        <v>964</v>
      </c>
      <c r="E159" s="62" t="s">
        <v>1382</v>
      </c>
      <c r="F159" s="62" t="s">
        <v>703</v>
      </c>
    </row>
    <row r="160" spans="2:6" x14ac:dyDescent="0.15">
      <c r="B160" s="59" t="s">
        <v>983</v>
      </c>
      <c r="C160" s="61" t="s">
        <v>1475</v>
      </c>
      <c r="D160" s="59" t="s">
        <v>407</v>
      </c>
      <c r="E160" s="62" t="s">
        <v>1383</v>
      </c>
      <c r="F160" s="59" t="s">
        <v>491</v>
      </c>
    </row>
    <row r="161" spans="2:8" x14ac:dyDescent="0.15">
      <c r="B161" s="59" t="s">
        <v>1545</v>
      </c>
      <c r="C161" s="61" t="s">
        <v>1078</v>
      </c>
      <c r="D161" s="61" t="s">
        <v>1589</v>
      </c>
      <c r="E161" s="62" t="s">
        <v>1384</v>
      </c>
      <c r="F161" s="59" t="s">
        <v>490</v>
      </c>
    </row>
    <row r="162" spans="2:8" x14ac:dyDescent="0.15">
      <c r="B162" s="59" t="s">
        <v>1546</v>
      </c>
      <c r="C162" s="61" t="s">
        <v>957</v>
      </c>
      <c r="D162" s="59" t="s">
        <v>406</v>
      </c>
      <c r="E162" s="60" t="s">
        <v>1385</v>
      </c>
      <c r="F162" s="59" t="s">
        <v>489</v>
      </c>
    </row>
    <row r="163" spans="2:8" x14ac:dyDescent="0.15">
      <c r="B163" s="59" t="s">
        <v>1547</v>
      </c>
      <c r="C163" s="61" t="s">
        <v>1079</v>
      </c>
      <c r="D163" s="61" t="s">
        <v>960</v>
      </c>
      <c r="E163" s="60" t="s">
        <v>1386</v>
      </c>
      <c r="F163" s="60" t="s">
        <v>403</v>
      </c>
    </row>
    <row r="164" spans="2:8" ht="47.25" x14ac:dyDescent="0.15">
      <c r="B164" s="59" t="s">
        <v>1548</v>
      </c>
      <c r="C164" s="57" t="s">
        <v>1436</v>
      </c>
      <c r="D164" s="68" t="s">
        <v>1590</v>
      </c>
      <c r="E164" s="60" t="s">
        <v>1387</v>
      </c>
      <c r="F164" s="59" t="s">
        <v>443</v>
      </c>
    </row>
    <row r="165" spans="2:8" ht="31.5" x14ac:dyDescent="0.15">
      <c r="B165" s="59" t="s">
        <v>1549</v>
      </c>
      <c r="C165" s="57" t="s">
        <v>1420</v>
      </c>
      <c r="D165" s="68" t="s">
        <v>408</v>
      </c>
      <c r="E165" s="62" t="s">
        <v>1421</v>
      </c>
      <c r="F165" s="68" t="s">
        <v>486</v>
      </c>
    </row>
    <row r="166" spans="2:8" x14ac:dyDescent="0.15">
      <c r="B166" s="59" t="s">
        <v>1550</v>
      </c>
      <c r="C166" s="61" t="s">
        <v>444</v>
      </c>
      <c r="D166" s="60" t="s">
        <v>409</v>
      </c>
      <c r="E166" s="60" t="s">
        <v>1388</v>
      </c>
      <c r="F166" s="60" t="s">
        <v>444</v>
      </c>
    </row>
    <row r="167" spans="2:8" ht="31.5" x14ac:dyDescent="0.15">
      <c r="B167" s="59" t="s">
        <v>492</v>
      </c>
      <c r="C167" s="57" t="s">
        <v>958</v>
      </c>
      <c r="D167" s="60" t="s">
        <v>410</v>
      </c>
      <c r="E167" s="62" t="s">
        <v>1389</v>
      </c>
      <c r="F167" s="62" t="s">
        <v>404</v>
      </c>
    </row>
    <row r="168" spans="2:8" x14ac:dyDescent="0.15">
      <c r="B168" s="59" t="s">
        <v>493</v>
      </c>
      <c r="C168" s="57" t="s">
        <v>405</v>
      </c>
      <c r="D168" s="67" t="s">
        <v>482</v>
      </c>
      <c r="E168" s="62" t="s">
        <v>1390</v>
      </c>
      <c r="F168" s="62" t="s">
        <v>405</v>
      </c>
    </row>
    <row r="169" spans="2:8" x14ac:dyDescent="0.15">
      <c r="B169" s="59" t="s">
        <v>1551</v>
      </c>
      <c r="C169" s="61" t="s">
        <v>353</v>
      </c>
      <c r="D169" s="59" t="s">
        <v>411</v>
      </c>
      <c r="E169" s="60" t="s">
        <v>1391</v>
      </c>
      <c r="F169" s="59" t="s">
        <v>353</v>
      </c>
    </row>
    <row r="170" spans="2:8" x14ac:dyDescent="0.15">
      <c r="B170" s="59" t="s">
        <v>494</v>
      </c>
      <c r="C170" s="61" t="s">
        <v>354</v>
      </c>
      <c r="D170" s="59" t="s">
        <v>400</v>
      </c>
      <c r="E170" s="60" t="s">
        <v>1392</v>
      </c>
      <c r="F170" s="59" t="s">
        <v>354</v>
      </c>
    </row>
    <row r="171" spans="2:8" x14ac:dyDescent="0.15">
      <c r="B171" s="59" t="s">
        <v>495</v>
      </c>
      <c r="C171" s="61" t="s">
        <v>959</v>
      </c>
      <c r="D171" s="61" t="s">
        <v>1932</v>
      </c>
      <c r="E171" s="60" t="s">
        <v>1393</v>
      </c>
      <c r="F171" s="60" t="s">
        <v>350</v>
      </c>
    </row>
    <row r="172" spans="2:8" x14ac:dyDescent="0.15">
      <c r="B172" s="59" t="s">
        <v>496</v>
      </c>
      <c r="C172" s="61" t="s">
        <v>1437</v>
      </c>
      <c r="D172" s="60" t="s">
        <v>412</v>
      </c>
      <c r="E172" s="60" t="s">
        <v>1394</v>
      </c>
      <c r="F172" s="60" t="s">
        <v>402</v>
      </c>
    </row>
    <row r="173" spans="2:8" x14ac:dyDescent="0.15">
      <c r="B173" s="59" t="s">
        <v>1552</v>
      </c>
      <c r="C173" s="61" t="s">
        <v>487</v>
      </c>
      <c r="D173" s="59" t="s">
        <v>1591</v>
      </c>
      <c r="E173" s="60" t="s">
        <v>1395</v>
      </c>
      <c r="F173" s="59" t="s">
        <v>487</v>
      </c>
    </row>
    <row r="174" spans="2:8" x14ac:dyDescent="0.15">
      <c r="B174" s="59" t="s">
        <v>1594</v>
      </c>
      <c r="C174" s="61" t="s">
        <v>1180</v>
      </c>
      <c r="D174" s="59" t="s">
        <v>1592</v>
      </c>
      <c r="E174" s="60" t="s">
        <v>0</v>
      </c>
      <c r="F174" s="59" t="s">
        <v>488</v>
      </c>
    </row>
    <row r="175" spans="2:8" ht="47.25" x14ac:dyDescent="0.15">
      <c r="B175" s="68" t="s">
        <v>1595</v>
      </c>
      <c r="C175" s="57" t="s">
        <v>1703</v>
      </c>
      <c r="D175" s="68" t="s">
        <v>1593</v>
      </c>
      <c r="E175" s="62" t="s">
        <v>1396</v>
      </c>
      <c r="F175" s="68" t="s">
        <v>691</v>
      </c>
      <c r="H175" s="17" t="s">
        <v>1596</v>
      </c>
    </row>
    <row r="176" spans="2:8" ht="47.25" x14ac:dyDescent="0.15">
      <c r="B176" s="68" t="s">
        <v>1598</v>
      </c>
      <c r="C176" s="57" t="s">
        <v>1597</v>
      </c>
      <c r="D176" s="68" t="s">
        <v>1704</v>
      </c>
      <c r="E176" s="62" t="s">
        <v>1397</v>
      </c>
      <c r="F176" s="68" t="s">
        <v>692</v>
      </c>
      <c r="H176" s="17" t="s">
        <v>1596</v>
      </c>
    </row>
    <row r="177" spans="1:12" ht="31.5" x14ac:dyDescent="0.15">
      <c r="B177" s="68" t="s">
        <v>1600</v>
      </c>
      <c r="C177" s="57" t="s">
        <v>1602</v>
      </c>
      <c r="D177" s="68" t="s">
        <v>1605</v>
      </c>
      <c r="E177" s="62"/>
      <c r="F177" s="68"/>
      <c r="H177" s="17" t="s">
        <v>1599</v>
      </c>
    </row>
    <row r="178" spans="1:12" ht="31.5" x14ac:dyDescent="0.15">
      <c r="B178" s="68" t="s">
        <v>1601</v>
      </c>
      <c r="C178" s="57" t="s">
        <v>1603</v>
      </c>
      <c r="D178" s="68" t="s">
        <v>1604</v>
      </c>
      <c r="E178" s="62"/>
      <c r="F178" s="68"/>
      <c r="H178" s="17" t="s">
        <v>1599</v>
      </c>
    </row>
    <row r="179" spans="1:12" x14ac:dyDescent="0.15">
      <c r="C179" s="82"/>
    </row>
    <row r="180" spans="1:12" x14ac:dyDescent="0.15">
      <c r="A180" s="18" t="s">
        <v>560</v>
      </c>
    </row>
    <row r="181" spans="1:12" x14ac:dyDescent="0.15">
      <c r="B181" s="58" t="s">
        <v>261</v>
      </c>
      <c r="C181" s="58" t="s">
        <v>557</v>
      </c>
      <c r="D181" s="58" t="s">
        <v>1433</v>
      </c>
      <c r="E181" s="58" t="s">
        <v>1434</v>
      </c>
      <c r="F181" s="58" t="s">
        <v>1435</v>
      </c>
    </row>
    <row r="182" spans="1:12" x14ac:dyDescent="0.15">
      <c r="B182" s="83"/>
      <c r="C182" s="85" t="s">
        <v>576</v>
      </c>
      <c r="D182" s="84" t="s">
        <v>576</v>
      </c>
      <c r="E182" s="84"/>
      <c r="F182" s="84" t="s">
        <v>576</v>
      </c>
    </row>
    <row r="183" spans="1:12" ht="31.5" x14ac:dyDescent="0.15">
      <c r="B183" s="59" t="s">
        <v>638</v>
      </c>
      <c r="C183" s="62" t="s">
        <v>1922</v>
      </c>
      <c r="D183" s="62" t="s">
        <v>1923</v>
      </c>
      <c r="E183" s="62" t="s">
        <v>872</v>
      </c>
      <c r="F183" s="62" t="s">
        <v>872</v>
      </c>
      <c r="J183" s="429"/>
      <c r="K183" s="428"/>
      <c r="L183" s="428"/>
    </row>
    <row r="184" spans="1:12" ht="31.5" x14ac:dyDescent="0.15">
      <c r="B184" s="59" t="s">
        <v>639</v>
      </c>
      <c r="C184" s="62" t="s">
        <v>1924</v>
      </c>
      <c r="D184" s="62" t="s">
        <v>1925</v>
      </c>
      <c r="E184" s="62" t="s">
        <v>873</v>
      </c>
      <c r="F184" s="62" t="s">
        <v>873</v>
      </c>
    </row>
    <row r="185" spans="1:12" ht="31.5" x14ac:dyDescent="0.15">
      <c r="B185" s="59" t="s">
        <v>550</v>
      </c>
      <c r="C185" s="62" t="s">
        <v>1926</v>
      </c>
      <c r="D185" s="62" t="s">
        <v>1927</v>
      </c>
      <c r="E185" s="62" t="s">
        <v>871</v>
      </c>
      <c r="F185" s="62" t="s">
        <v>871</v>
      </c>
    </row>
    <row r="186" spans="1:12" ht="31.5" x14ac:dyDescent="0.15">
      <c r="B186" s="59" t="s">
        <v>1516</v>
      </c>
      <c r="C186" s="62" t="s">
        <v>1431</v>
      </c>
      <c r="D186" s="62" t="s">
        <v>1675</v>
      </c>
      <c r="E186" s="62" t="s">
        <v>1431</v>
      </c>
      <c r="F186" s="62" t="s">
        <v>656</v>
      </c>
    </row>
    <row r="187" spans="1:12" x14ac:dyDescent="0.15">
      <c r="C187" s="428"/>
      <c r="D187" s="428"/>
      <c r="E187" s="428"/>
      <c r="F187" s="428"/>
    </row>
    <row r="188" spans="1:12" x14ac:dyDescent="0.15">
      <c r="A188" s="18" t="s">
        <v>562</v>
      </c>
    </row>
    <row r="189" spans="1:12" x14ac:dyDescent="0.15">
      <c r="B189" s="58" t="s">
        <v>310</v>
      </c>
      <c r="C189" s="58" t="s">
        <v>557</v>
      </c>
      <c r="D189" s="58" t="s">
        <v>1433</v>
      </c>
      <c r="E189" s="58" t="s">
        <v>1434</v>
      </c>
      <c r="F189" s="58" t="s">
        <v>1435</v>
      </c>
    </row>
    <row r="190" spans="1:12" x14ac:dyDescent="0.15">
      <c r="B190" s="83"/>
      <c r="C190" s="83" t="s">
        <v>1364</v>
      </c>
      <c r="D190" s="83" t="s">
        <v>578</v>
      </c>
      <c r="E190" s="83"/>
      <c r="F190" s="83" t="s">
        <v>577</v>
      </c>
    </row>
    <row r="191" spans="1:12" x14ac:dyDescent="0.15">
      <c r="B191" s="68" t="s">
        <v>1509</v>
      </c>
      <c r="C191" s="60" t="s">
        <v>1835</v>
      </c>
      <c r="D191" s="60" t="s">
        <v>709</v>
      </c>
      <c r="E191" s="60"/>
      <c r="F191" s="60" t="s">
        <v>1852</v>
      </c>
    </row>
    <row r="192" spans="1:12" x14ac:dyDescent="0.15">
      <c r="B192" s="68" t="s">
        <v>1510</v>
      </c>
      <c r="C192" s="60" t="s">
        <v>144</v>
      </c>
      <c r="D192" s="60" t="s">
        <v>445</v>
      </c>
      <c r="E192" s="60"/>
      <c r="F192" s="60" t="s">
        <v>144</v>
      </c>
    </row>
    <row r="193" spans="2:6" x14ac:dyDescent="0.15">
      <c r="B193" s="73" t="s">
        <v>1511</v>
      </c>
      <c r="C193" s="74" t="s">
        <v>1836</v>
      </c>
      <c r="D193" s="74" t="s">
        <v>1837</v>
      </c>
      <c r="E193" s="74"/>
      <c r="F193" s="74" t="s">
        <v>1836</v>
      </c>
    </row>
    <row r="194" spans="2:6" x14ac:dyDescent="0.15">
      <c r="B194" s="58" t="s">
        <v>261</v>
      </c>
      <c r="C194" s="58" t="s">
        <v>557</v>
      </c>
      <c r="D194" s="58" t="s">
        <v>1433</v>
      </c>
      <c r="E194" s="58" t="s">
        <v>1434</v>
      </c>
      <c r="F194" s="58" t="s">
        <v>1435</v>
      </c>
    </row>
    <row r="195" spans="2:6" x14ac:dyDescent="0.15">
      <c r="B195" s="73" t="s">
        <v>1071</v>
      </c>
      <c r="C195" s="74" t="s">
        <v>661</v>
      </c>
      <c r="D195" s="74" t="s">
        <v>661</v>
      </c>
      <c r="E195" s="74"/>
      <c r="F195" s="74" t="s">
        <v>661</v>
      </c>
    </row>
    <row r="196" spans="2:6" x14ac:dyDescent="0.15">
      <c r="B196" s="73"/>
      <c r="C196" s="74" t="s">
        <v>662</v>
      </c>
      <c r="D196" s="74" t="s">
        <v>662</v>
      </c>
      <c r="E196" s="74"/>
      <c r="F196" s="74" t="s">
        <v>662</v>
      </c>
    </row>
    <row r="197" spans="2:6" x14ac:dyDescent="0.15">
      <c r="B197" s="73" t="s">
        <v>999</v>
      </c>
      <c r="C197" s="74" t="s">
        <v>1181</v>
      </c>
      <c r="D197" s="74" t="s">
        <v>660</v>
      </c>
      <c r="E197" s="74"/>
      <c r="F197" s="74" t="s">
        <v>660</v>
      </c>
    </row>
    <row r="198" spans="2:6" x14ac:dyDescent="0.15">
      <c r="B198" s="73" t="s">
        <v>1000</v>
      </c>
      <c r="C198" s="74" t="s">
        <v>1182</v>
      </c>
      <c r="D198" s="74" t="s">
        <v>659</v>
      </c>
      <c r="E198" s="74"/>
      <c r="F198" s="74" t="s">
        <v>659</v>
      </c>
    </row>
    <row r="199" spans="2:6" x14ac:dyDescent="0.15">
      <c r="B199" s="58" t="s">
        <v>261</v>
      </c>
      <c r="C199" s="58" t="s">
        <v>557</v>
      </c>
      <c r="D199" s="58" t="s">
        <v>1433</v>
      </c>
      <c r="E199" s="58" t="s">
        <v>1434</v>
      </c>
      <c r="F199" s="58" t="s">
        <v>1435</v>
      </c>
    </row>
    <row r="200" spans="2:6" ht="47.25" x14ac:dyDescent="0.15">
      <c r="B200" s="59" t="s">
        <v>1514</v>
      </c>
      <c r="C200" s="57" t="s">
        <v>1838</v>
      </c>
      <c r="D200" s="62" t="s">
        <v>1843</v>
      </c>
      <c r="E200" s="62" t="s">
        <v>1851</v>
      </c>
      <c r="F200" s="62" t="s">
        <v>670</v>
      </c>
    </row>
    <row r="201" spans="2:6" ht="31.5" x14ac:dyDescent="0.15">
      <c r="B201" s="59" t="s">
        <v>984</v>
      </c>
      <c r="C201" s="57" t="s">
        <v>1839</v>
      </c>
      <c r="D201" s="62" t="s">
        <v>1844</v>
      </c>
      <c r="E201" s="62" t="s">
        <v>1850</v>
      </c>
      <c r="F201" s="62" t="s">
        <v>669</v>
      </c>
    </row>
    <row r="202" spans="2:6" ht="31.5" x14ac:dyDescent="0.15">
      <c r="B202" s="59" t="s">
        <v>985</v>
      </c>
      <c r="C202" s="57" t="s">
        <v>1840</v>
      </c>
      <c r="D202" s="62" t="s">
        <v>1845</v>
      </c>
      <c r="E202" s="62" t="s">
        <v>1849</v>
      </c>
      <c r="F202" s="62" t="s">
        <v>668</v>
      </c>
    </row>
    <row r="203" spans="2:6" x14ac:dyDescent="0.15">
      <c r="B203" s="59" t="s">
        <v>986</v>
      </c>
      <c r="C203" s="57" t="s">
        <v>586</v>
      </c>
      <c r="D203" s="62" t="s">
        <v>587</v>
      </c>
      <c r="E203" s="62" t="s">
        <v>586</v>
      </c>
      <c r="F203" s="62" t="s">
        <v>586</v>
      </c>
    </row>
    <row r="204" spans="2:6" ht="31.5" x14ac:dyDescent="0.15">
      <c r="B204" s="59" t="s">
        <v>987</v>
      </c>
      <c r="C204" s="57" t="s">
        <v>996</v>
      </c>
      <c r="D204" s="62" t="s">
        <v>396</v>
      </c>
      <c r="E204" s="62" t="s">
        <v>996</v>
      </c>
      <c r="F204" s="62" t="s">
        <v>589</v>
      </c>
    </row>
    <row r="205" spans="2:6" x14ac:dyDescent="0.15">
      <c r="B205" s="59" t="s">
        <v>988</v>
      </c>
      <c r="C205" s="57" t="s">
        <v>997</v>
      </c>
      <c r="D205" s="62" t="s">
        <v>1676</v>
      </c>
      <c r="E205" s="62" t="s">
        <v>997</v>
      </c>
      <c r="F205" s="62" t="s">
        <v>588</v>
      </c>
    </row>
    <row r="206" spans="2:6" x14ac:dyDescent="0.15">
      <c r="B206" s="59" t="s">
        <v>989</v>
      </c>
      <c r="C206" s="57" t="s">
        <v>590</v>
      </c>
      <c r="D206" s="62" t="s">
        <v>1933</v>
      </c>
      <c r="E206" s="62" t="s">
        <v>590</v>
      </c>
      <c r="F206" s="62" t="s">
        <v>590</v>
      </c>
    </row>
    <row r="207" spans="2:6" x14ac:dyDescent="0.15">
      <c r="B207" s="59" t="s">
        <v>990</v>
      </c>
      <c r="C207" s="57" t="s">
        <v>998</v>
      </c>
      <c r="D207" s="62" t="s">
        <v>483</v>
      </c>
      <c r="E207" s="62" t="s">
        <v>998</v>
      </c>
      <c r="F207" s="62" t="s">
        <v>592</v>
      </c>
    </row>
    <row r="208" spans="2:6" ht="31.5" x14ac:dyDescent="0.15">
      <c r="B208" s="59" t="s">
        <v>991</v>
      </c>
      <c r="C208" s="62" t="s">
        <v>1841</v>
      </c>
      <c r="D208" s="62" t="s">
        <v>1847</v>
      </c>
      <c r="E208" s="62" t="s">
        <v>1848</v>
      </c>
      <c r="F208" s="62" t="s">
        <v>591</v>
      </c>
    </row>
    <row r="209" spans="1:6" x14ac:dyDescent="0.15">
      <c r="B209" s="59" t="s">
        <v>992</v>
      </c>
      <c r="C209" s="57" t="s">
        <v>1842</v>
      </c>
      <c r="D209" s="62" t="s">
        <v>1846</v>
      </c>
      <c r="E209" s="62" t="s">
        <v>1842</v>
      </c>
      <c r="F209" s="62" t="s">
        <v>708</v>
      </c>
    </row>
    <row r="210" spans="1:6" x14ac:dyDescent="0.15">
      <c r="B210" s="75" t="s">
        <v>1515</v>
      </c>
      <c r="C210" s="509" t="s">
        <v>666</v>
      </c>
      <c r="D210" s="510" t="s">
        <v>667</v>
      </c>
      <c r="E210" s="510" t="s">
        <v>666</v>
      </c>
      <c r="F210" s="510" t="s">
        <v>666</v>
      </c>
    </row>
    <row r="211" spans="1:6" ht="31.5" x14ac:dyDescent="0.15">
      <c r="B211" s="75" t="s">
        <v>1515</v>
      </c>
      <c r="C211" s="509" t="s">
        <v>993</v>
      </c>
      <c r="D211" s="510" t="s">
        <v>995</v>
      </c>
      <c r="E211" s="510" t="s">
        <v>993</v>
      </c>
      <c r="F211" s="510" t="s">
        <v>865</v>
      </c>
    </row>
    <row r="212" spans="1:6" x14ac:dyDescent="0.15">
      <c r="B212" s="75" t="s">
        <v>1515</v>
      </c>
      <c r="C212" s="509" t="s">
        <v>664</v>
      </c>
      <c r="D212" s="510" t="s">
        <v>395</v>
      </c>
      <c r="E212" s="510" t="s">
        <v>664</v>
      </c>
      <c r="F212" s="510" t="s">
        <v>664</v>
      </c>
    </row>
    <row r="213" spans="1:6" ht="31.5" x14ac:dyDescent="0.15">
      <c r="B213" s="75" t="s">
        <v>1515</v>
      </c>
      <c r="C213" s="509" t="s">
        <v>1402</v>
      </c>
      <c r="D213" s="510" t="s">
        <v>994</v>
      </c>
      <c r="E213" s="510" t="s">
        <v>1402</v>
      </c>
      <c r="F213" s="510" t="s">
        <v>864</v>
      </c>
    </row>
    <row r="214" spans="1:6" x14ac:dyDescent="0.15">
      <c r="B214" s="58" t="s">
        <v>310</v>
      </c>
      <c r="C214" s="58" t="s">
        <v>557</v>
      </c>
      <c r="D214" s="58" t="s">
        <v>1433</v>
      </c>
      <c r="E214" s="58" t="s">
        <v>1434</v>
      </c>
      <c r="F214" s="58" t="s">
        <v>1435</v>
      </c>
    </row>
    <row r="215" spans="1:6" x14ac:dyDescent="0.15">
      <c r="B215" s="59"/>
      <c r="C215" s="59" t="s">
        <v>151</v>
      </c>
      <c r="D215" s="59" t="s">
        <v>152</v>
      </c>
      <c r="E215" s="59"/>
      <c r="F215" s="59" t="s">
        <v>451</v>
      </c>
    </row>
    <row r="217" spans="1:6" x14ac:dyDescent="0.15">
      <c r="A217" s="18" t="s">
        <v>1051</v>
      </c>
    </row>
    <row r="218" spans="1:6" x14ac:dyDescent="0.15">
      <c r="B218" s="58" t="s">
        <v>310</v>
      </c>
      <c r="C218" s="58" t="s">
        <v>557</v>
      </c>
      <c r="D218" s="58" t="s">
        <v>1433</v>
      </c>
      <c r="E218" s="58" t="s">
        <v>1434</v>
      </c>
      <c r="F218" s="58" t="s">
        <v>1435</v>
      </c>
    </row>
    <row r="219" spans="1:6" x14ac:dyDescent="0.15">
      <c r="B219" s="83"/>
      <c r="C219" s="86" t="s">
        <v>1060</v>
      </c>
      <c r="D219" s="87" t="s">
        <v>1858</v>
      </c>
      <c r="E219" s="87"/>
      <c r="F219" s="87" t="s">
        <v>567</v>
      </c>
    </row>
    <row r="220" spans="1:6" x14ac:dyDescent="0.15">
      <c r="B220" s="75"/>
      <c r="C220" s="74"/>
      <c r="D220" s="510"/>
      <c r="E220" s="510"/>
      <c r="F220" s="510"/>
    </row>
    <row r="221" spans="1:6" x14ac:dyDescent="0.15">
      <c r="B221" s="75" t="s">
        <v>600</v>
      </c>
      <c r="C221" s="509" t="s">
        <v>343</v>
      </c>
      <c r="D221" s="510" t="s">
        <v>157</v>
      </c>
      <c r="E221" s="510" t="s">
        <v>1008</v>
      </c>
      <c r="F221" s="510" t="s">
        <v>343</v>
      </c>
    </row>
    <row r="222" spans="1:6" x14ac:dyDescent="0.15">
      <c r="B222" s="75" t="s">
        <v>601</v>
      </c>
      <c r="C222" s="74" t="s">
        <v>158</v>
      </c>
      <c r="D222" s="510" t="s">
        <v>159</v>
      </c>
      <c r="E222" s="510" t="s">
        <v>158</v>
      </c>
      <c r="F222" s="510" t="s">
        <v>158</v>
      </c>
    </row>
    <row r="224" spans="1:6" x14ac:dyDescent="0.15">
      <c r="A224" s="18" t="s">
        <v>1061</v>
      </c>
    </row>
    <row r="225" spans="1:6" x14ac:dyDescent="0.15">
      <c r="B225" s="58" t="s">
        <v>310</v>
      </c>
      <c r="C225" s="58" t="s">
        <v>557</v>
      </c>
      <c r="D225" s="58" t="s">
        <v>1433</v>
      </c>
      <c r="E225" s="58" t="s">
        <v>1434</v>
      </c>
      <c r="F225" s="58" t="s">
        <v>1435</v>
      </c>
    </row>
    <row r="226" spans="1:6" ht="31.5" x14ac:dyDescent="0.15">
      <c r="B226" s="83"/>
      <c r="C226" s="87" t="s">
        <v>1853</v>
      </c>
      <c r="D226" s="87" t="s">
        <v>1854</v>
      </c>
      <c r="E226" s="87" t="s">
        <v>1853</v>
      </c>
      <c r="F226" s="87" t="s">
        <v>1855</v>
      </c>
    </row>
    <row r="227" spans="1:6" x14ac:dyDescent="0.15">
      <c r="B227" s="59" t="s">
        <v>710</v>
      </c>
      <c r="C227" s="59" t="s">
        <v>160</v>
      </c>
      <c r="D227" s="68" t="s">
        <v>161</v>
      </c>
      <c r="E227" s="59" t="s">
        <v>160</v>
      </c>
      <c r="F227" s="68" t="s">
        <v>46</v>
      </c>
    </row>
    <row r="228" spans="1:6" x14ac:dyDescent="0.15">
      <c r="B228" s="59" t="s">
        <v>711</v>
      </c>
      <c r="C228" s="59" t="s">
        <v>162</v>
      </c>
      <c r="D228" s="68" t="s">
        <v>163</v>
      </c>
      <c r="E228" s="59" t="s">
        <v>162</v>
      </c>
      <c r="F228" s="68" t="s">
        <v>162</v>
      </c>
    </row>
    <row r="229" spans="1:6" x14ac:dyDescent="0.15">
      <c r="B229" s="59" t="s">
        <v>603</v>
      </c>
      <c r="C229" s="59" t="s">
        <v>164</v>
      </c>
      <c r="D229" s="68" t="s">
        <v>47</v>
      </c>
      <c r="E229" s="59" t="s">
        <v>47</v>
      </c>
      <c r="F229" s="68" t="s">
        <v>164</v>
      </c>
    </row>
    <row r="230" spans="1:6" x14ac:dyDescent="0.15">
      <c r="B230" s="58" t="s">
        <v>261</v>
      </c>
      <c r="C230" s="58" t="s">
        <v>557</v>
      </c>
      <c r="D230" s="58" t="s">
        <v>1433</v>
      </c>
      <c r="E230" s="58" t="s">
        <v>1434</v>
      </c>
      <c r="F230" s="58" t="s">
        <v>1435</v>
      </c>
    </row>
    <row r="231" spans="1:6" ht="31.5" x14ac:dyDescent="0.15">
      <c r="B231" s="59" t="s">
        <v>602</v>
      </c>
      <c r="C231" s="57" t="s">
        <v>951</v>
      </c>
      <c r="D231" s="62" t="s">
        <v>1677</v>
      </c>
      <c r="E231" s="57" t="s">
        <v>1001</v>
      </c>
      <c r="F231" s="62" t="s">
        <v>344</v>
      </c>
    </row>
    <row r="232" spans="1:6" ht="53.25" customHeight="1" x14ac:dyDescent="0.15">
      <c r="B232" s="59" t="s">
        <v>604</v>
      </c>
      <c r="C232" s="57" t="s">
        <v>953</v>
      </c>
      <c r="D232" s="62" t="s">
        <v>1678</v>
      </c>
      <c r="E232" s="57" t="s">
        <v>1002</v>
      </c>
      <c r="F232" s="62" t="s">
        <v>952</v>
      </c>
    </row>
    <row r="233" spans="1:6" ht="55.5" customHeight="1" x14ac:dyDescent="0.15">
      <c r="B233" s="59" t="s">
        <v>605</v>
      </c>
      <c r="C233" s="57" t="s">
        <v>954</v>
      </c>
      <c r="D233" s="62" t="s">
        <v>1679</v>
      </c>
      <c r="E233" s="57" t="s">
        <v>1003</v>
      </c>
      <c r="F233" s="62" t="s">
        <v>346</v>
      </c>
    </row>
    <row r="234" spans="1:6" ht="31.5" x14ac:dyDescent="0.15">
      <c r="B234" s="59" t="s">
        <v>606</v>
      </c>
      <c r="C234" s="57" t="s">
        <v>955</v>
      </c>
      <c r="D234" s="62" t="s">
        <v>1677</v>
      </c>
      <c r="E234" s="57" t="s">
        <v>1004</v>
      </c>
      <c r="F234" s="62" t="s">
        <v>344</v>
      </c>
    </row>
    <row r="235" spans="1:6" ht="47.25" x14ac:dyDescent="0.15">
      <c r="B235" s="59" t="s">
        <v>607</v>
      </c>
      <c r="C235" s="57" t="s">
        <v>953</v>
      </c>
      <c r="D235" s="62" t="s">
        <v>1678</v>
      </c>
      <c r="E235" s="57" t="s">
        <v>1005</v>
      </c>
      <c r="F235" s="62" t="s">
        <v>345</v>
      </c>
    </row>
    <row r="236" spans="1:6" ht="47.25" x14ac:dyDescent="0.15">
      <c r="B236" s="59" t="s">
        <v>608</v>
      </c>
      <c r="C236" s="57" t="s">
        <v>954</v>
      </c>
      <c r="D236" s="62" t="s">
        <v>1679</v>
      </c>
      <c r="E236" s="57" t="s">
        <v>1006</v>
      </c>
      <c r="F236" s="62" t="s">
        <v>346</v>
      </c>
    </row>
    <row r="237" spans="1:6" ht="31.5" x14ac:dyDescent="0.15">
      <c r="B237" s="59" t="s">
        <v>609</v>
      </c>
      <c r="C237" s="57" t="s">
        <v>956</v>
      </c>
      <c r="D237" s="62" t="s">
        <v>1680</v>
      </c>
      <c r="E237" s="57" t="s">
        <v>1007</v>
      </c>
      <c r="F237" s="62" t="s">
        <v>347</v>
      </c>
    </row>
    <row r="239" spans="1:6" x14ac:dyDescent="0.15">
      <c r="A239" s="18" t="s">
        <v>561</v>
      </c>
    </row>
    <row r="240" spans="1:6" x14ac:dyDescent="0.15">
      <c r="B240" s="58" t="s">
        <v>310</v>
      </c>
      <c r="C240" s="58" t="s">
        <v>557</v>
      </c>
      <c r="D240" s="58" t="s">
        <v>1433</v>
      </c>
      <c r="E240" s="58" t="s">
        <v>1434</v>
      </c>
      <c r="F240" s="58" t="s">
        <v>1435</v>
      </c>
    </row>
    <row r="241" spans="2:6" ht="13.5" customHeight="1" x14ac:dyDescent="0.15">
      <c r="B241" s="83"/>
      <c r="C241" s="84" t="s">
        <v>1330</v>
      </c>
      <c r="D241" s="84" t="s">
        <v>566</v>
      </c>
      <c r="E241" s="84"/>
      <c r="F241" s="84" t="s">
        <v>566</v>
      </c>
    </row>
    <row r="242" spans="2:6" x14ac:dyDescent="0.15">
      <c r="B242" s="75" t="s">
        <v>713</v>
      </c>
      <c r="C242" s="74" t="s">
        <v>154</v>
      </c>
      <c r="D242" s="74" t="s">
        <v>155</v>
      </c>
      <c r="E242" s="74"/>
      <c r="F242" s="74" t="s">
        <v>341</v>
      </c>
    </row>
    <row r="243" spans="2:6" x14ac:dyDescent="0.15">
      <c r="B243" s="59" t="s">
        <v>712</v>
      </c>
      <c r="C243" s="60" t="s">
        <v>1408</v>
      </c>
      <c r="D243" s="60" t="s">
        <v>705</v>
      </c>
      <c r="E243" s="60"/>
      <c r="F243" s="60" t="s">
        <v>704</v>
      </c>
    </row>
    <row r="244" spans="2:6" x14ac:dyDescent="0.15">
      <c r="B244" s="58" t="s">
        <v>310</v>
      </c>
      <c r="C244" s="58" t="s">
        <v>557</v>
      </c>
      <c r="D244" s="58" t="s">
        <v>1433</v>
      </c>
      <c r="E244" s="58" t="s">
        <v>1434</v>
      </c>
      <c r="F244" s="58" t="s">
        <v>1435</v>
      </c>
    </row>
    <row r="245" spans="2:6" x14ac:dyDescent="0.15">
      <c r="B245" s="76"/>
      <c r="C245" s="77" t="s">
        <v>323</v>
      </c>
      <c r="D245" s="78" t="s">
        <v>707</v>
      </c>
      <c r="E245" s="78"/>
      <c r="F245" s="78" t="s">
        <v>399</v>
      </c>
    </row>
    <row r="246" spans="2:6" x14ac:dyDescent="0.15">
      <c r="B246" s="76"/>
      <c r="C246" s="77" t="s">
        <v>324</v>
      </c>
      <c r="D246" s="78" t="s">
        <v>706</v>
      </c>
      <c r="E246" s="78"/>
      <c r="F246" s="78" t="s">
        <v>397</v>
      </c>
    </row>
    <row r="247" spans="2:6" x14ac:dyDescent="0.15">
      <c r="B247" s="58" t="s">
        <v>310</v>
      </c>
      <c r="C247" s="58" t="s">
        <v>557</v>
      </c>
      <c r="D247" s="58" t="s">
        <v>1433</v>
      </c>
      <c r="E247" s="58" t="s">
        <v>1434</v>
      </c>
      <c r="F247" s="58" t="s">
        <v>1435</v>
      </c>
    </row>
    <row r="248" spans="2:6" ht="13.5" customHeight="1" x14ac:dyDescent="0.15">
      <c r="B248" s="83" t="s">
        <v>610</v>
      </c>
      <c r="C248" s="83"/>
      <c r="D248" s="83"/>
      <c r="E248" s="83"/>
      <c r="F248" s="83"/>
    </row>
    <row r="249" spans="2:6" ht="31.5" x14ac:dyDescent="0.15">
      <c r="B249" s="59" t="s">
        <v>1009</v>
      </c>
      <c r="C249" s="62" t="s">
        <v>1938</v>
      </c>
      <c r="D249" s="62" t="s">
        <v>1859</v>
      </c>
      <c r="E249" s="62" t="s">
        <v>1866</v>
      </c>
      <c r="F249" s="62" t="s">
        <v>342</v>
      </c>
    </row>
    <row r="250" spans="2:6" ht="31.5" x14ac:dyDescent="0.15">
      <c r="B250" s="59" t="s">
        <v>1010</v>
      </c>
      <c r="C250" s="62" t="s">
        <v>1937</v>
      </c>
      <c r="D250" s="62" t="s">
        <v>1860</v>
      </c>
      <c r="E250" s="62" t="s">
        <v>1867</v>
      </c>
      <c r="F250" s="62" t="s">
        <v>43</v>
      </c>
    </row>
    <row r="251" spans="2:6" ht="31.5" x14ac:dyDescent="0.15">
      <c r="B251" s="59" t="s">
        <v>1011</v>
      </c>
      <c r="C251" s="62" t="s">
        <v>44</v>
      </c>
      <c r="D251" s="62" t="s">
        <v>1861</v>
      </c>
      <c r="E251" s="62" t="s">
        <v>1868</v>
      </c>
      <c r="F251" s="62" t="s">
        <v>44</v>
      </c>
    </row>
    <row r="252" spans="2:6" ht="31.5" x14ac:dyDescent="0.15">
      <c r="B252" s="59" t="s">
        <v>1012</v>
      </c>
      <c r="C252" s="62" t="s">
        <v>45</v>
      </c>
      <c r="D252" s="62" t="s">
        <v>1862</v>
      </c>
      <c r="E252" s="62" t="s">
        <v>1869</v>
      </c>
      <c r="F252" s="62" t="s">
        <v>45</v>
      </c>
    </row>
    <row r="253" spans="2:6" ht="31.5" x14ac:dyDescent="0.15">
      <c r="B253" s="59" t="s">
        <v>1013</v>
      </c>
      <c r="C253" s="62" t="s">
        <v>1403</v>
      </c>
      <c r="D253" s="62" t="s">
        <v>1863</v>
      </c>
      <c r="E253" s="62" t="s">
        <v>1870</v>
      </c>
      <c r="F253" s="62" t="s">
        <v>325</v>
      </c>
    </row>
    <row r="254" spans="2:6" ht="31.5" x14ac:dyDescent="0.15">
      <c r="B254" s="59" t="s">
        <v>1014</v>
      </c>
      <c r="C254" s="62" t="s">
        <v>326</v>
      </c>
      <c r="D254" s="62" t="s">
        <v>1864</v>
      </c>
      <c r="E254" s="62" t="s">
        <v>1871</v>
      </c>
      <c r="F254" s="62" t="s">
        <v>326</v>
      </c>
    </row>
    <row r="255" spans="2:6" ht="31.5" x14ac:dyDescent="0.15">
      <c r="B255" s="59" t="s">
        <v>1015</v>
      </c>
      <c r="C255" s="62" t="s">
        <v>327</v>
      </c>
      <c r="D255" s="62" t="s">
        <v>1865</v>
      </c>
      <c r="E255" s="62" t="s">
        <v>1872</v>
      </c>
      <c r="F255" s="62" t="s">
        <v>327</v>
      </c>
    </row>
    <row r="256" spans="2:6" x14ac:dyDescent="0.15">
      <c r="B256" s="58" t="s">
        <v>261</v>
      </c>
      <c r="C256" s="58" t="s">
        <v>557</v>
      </c>
      <c r="D256" s="58" t="s">
        <v>1433</v>
      </c>
      <c r="E256" s="58" t="s">
        <v>1434</v>
      </c>
      <c r="F256" s="58" t="s">
        <v>1435</v>
      </c>
    </row>
    <row r="257" spans="1:6" ht="13.5" customHeight="1" x14ac:dyDescent="0.15">
      <c r="B257" s="83" t="s">
        <v>328</v>
      </c>
      <c r="C257" s="83"/>
      <c r="D257" s="83"/>
      <c r="E257" s="83"/>
      <c r="F257" s="83"/>
    </row>
    <row r="258" spans="1:6" ht="31.5" x14ac:dyDescent="0.15">
      <c r="B258" s="59" t="s">
        <v>1016</v>
      </c>
      <c r="C258" s="62" t="s">
        <v>262</v>
      </c>
      <c r="D258" s="62" t="s">
        <v>1880</v>
      </c>
      <c r="E258" s="62" t="s">
        <v>1873</v>
      </c>
      <c r="F258" s="62" t="s">
        <v>262</v>
      </c>
    </row>
    <row r="259" spans="1:6" ht="31.5" x14ac:dyDescent="0.15">
      <c r="B259" s="59" t="s">
        <v>1017</v>
      </c>
      <c r="C259" s="62" t="s">
        <v>43</v>
      </c>
      <c r="D259" s="62" t="s">
        <v>1881</v>
      </c>
      <c r="E259" s="62" t="s">
        <v>1874</v>
      </c>
      <c r="F259" s="62" t="s">
        <v>43</v>
      </c>
    </row>
    <row r="260" spans="1:6" ht="31.5" x14ac:dyDescent="0.15">
      <c r="B260" s="59" t="s">
        <v>1018</v>
      </c>
      <c r="C260" s="62" t="s">
        <v>44</v>
      </c>
      <c r="D260" s="62" t="s">
        <v>1882</v>
      </c>
      <c r="E260" s="62" t="s">
        <v>1875</v>
      </c>
      <c r="F260" s="62" t="s">
        <v>44</v>
      </c>
    </row>
    <row r="261" spans="1:6" ht="31.5" x14ac:dyDescent="0.15">
      <c r="B261" s="59" t="s">
        <v>1019</v>
      </c>
      <c r="C261" s="62" t="s">
        <v>45</v>
      </c>
      <c r="D261" s="62" t="s">
        <v>1883</v>
      </c>
      <c r="E261" s="62" t="s">
        <v>1876</v>
      </c>
      <c r="F261" s="62" t="s">
        <v>45</v>
      </c>
    </row>
    <row r="262" spans="1:6" ht="31.5" x14ac:dyDescent="0.15">
      <c r="B262" s="59" t="s">
        <v>1020</v>
      </c>
      <c r="C262" s="62" t="s">
        <v>1403</v>
      </c>
      <c r="D262" s="62" t="s">
        <v>1884</v>
      </c>
      <c r="E262" s="62" t="s">
        <v>1877</v>
      </c>
      <c r="F262" s="62" t="s">
        <v>325</v>
      </c>
    </row>
    <row r="263" spans="1:6" ht="31.5" x14ac:dyDescent="0.15">
      <c r="B263" s="59" t="s">
        <v>1021</v>
      </c>
      <c r="C263" s="62" t="s">
        <v>326</v>
      </c>
      <c r="D263" s="62" t="s">
        <v>1885</v>
      </c>
      <c r="E263" s="62" t="s">
        <v>1878</v>
      </c>
      <c r="F263" s="62" t="s">
        <v>326</v>
      </c>
    </row>
    <row r="264" spans="1:6" ht="31.5" x14ac:dyDescent="0.15">
      <c r="B264" s="59" t="s">
        <v>1022</v>
      </c>
      <c r="C264" s="62" t="s">
        <v>327</v>
      </c>
      <c r="D264" s="62" t="s">
        <v>1886</v>
      </c>
      <c r="E264" s="62" t="s">
        <v>1879</v>
      </c>
      <c r="F264" s="62" t="s">
        <v>327</v>
      </c>
    </row>
    <row r="266" spans="1:6" x14ac:dyDescent="0.15">
      <c r="A266" s="18" t="s">
        <v>1749</v>
      </c>
    </row>
    <row r="267" spans="1:6" x14ac:dyDescent="0.15">
      <c r="B267" s="58" t="s">
        <v>310</v>
      </c>
      <c r="C267" s="58" t="s">
        <v>557</v>
      </c>
      <c r="D267" s="58" t="s">
        <v>1433</v>
      </c>
      <c r="E267" s="58" t="s">
        <v>1434</v>
      </c>
      <c r="F267" s="58" t="s">
        <v>1435</v>
      </c>
    </row>
    <row r="268" spans="1:6" x14ac:dyDescent="0.15">
      <c r="B268" s="83"/>
      <c r="C268" s="84" t="s">
        <v>1405</v>
      </c>
      <c r="D268" s="84" t="s">
        <v>1405</v>
      </c>
      <c r="E268" s="84" t="s">
        <v>1405</v>
      </c>
      <c r="F268" s="84" t="s">
        <v>1104</v>
      </c>
    </row>
    <row r="269" spans="1:6" x14ac:dyDescent="0.15">
      <c r="B269" s="59" t="s">
        <v>611</v>
      </c>
      <c r="C269" s="57" t="s">
        <v>1289</v>
      </c>
      <c r="D269" s="62" t="s">
        <v>1681</v>
      </c>
      <c r="E269" s="62" t="s">
        <v>1108</v>
      </c>
      <c r="F269" s="62" t="s">
        <v>1105</v>
      </c>
    </row>
    <row r="270" spans="1:6" ht="31.5" x14ac:dyDescent="0.15">
      <c r="B270" s="59" t="s">
        <v>612</v>
      </c>
      <c r="C270" s="57" t="s">
        <v>1290</v>
      </c>
      <c r="D270" s="62" t="s">
        <v>1682</v>
      </c>
      <c r="E270" s="62" t="s">
        <v>1109</v>
      </c>
      <c r="F270" s="62" t="s">
        <v>1106</v>
      </c>
    </row>
    <row r="271" spans="1:6" ht="31.5" x14ac:dyDescent="0.15">
      <c r="B271" s="59" t="s">
        <v>613</v>
      </c>
      <c r="C271" s="57" t="s">
        <v>1432</v>
      </c>
      <c r="D271" s="62" t="s">
        <v>1683</v>
      </c>
      <c r="E271" s="62" t="s">
        <v>1110</v>
      </c>
      <c r="F271" s="62" t="s">
        <v>1107</v>
      </c>
    </row>
    <row r="272" spans="1:6" x14ac:dyDescent="0.15">
      <c r="B272" s="59" t="s">
        <v>614</v>
      </c>
      <c r="C272" s="57" t="s">
        <v>1288</v>
      </c>
      <c r="D272" s="62" t="s">
        <v>156</v>
      </c>
      <c r="E272" s="62" t="s">
        <v>1164</v>
      </c>
      <c r="F272" s="62" t="s">
        <v>1111</v>
      </c>
    </row>
    <row r="274" spans="1:6" x14ac:dyDescent="0.15">
      <c r="A274" s="18" t="s">
        <v>1406</v>
      </c>
    </row>
    <row r="275" spans="1:6" x14ac:dyDescent="0.15">
      <c r="B275" s="58" t="s">
        <v>310</v>
      </c>
      <c r="C275" s="58" t="s">
        <v>557</v>
      </c>
      <c r="D275" s="58" t="s">
        <v>1433</v>
      </c>
      <c r="E275" s="58" t="s">
        <v>1434</v>
      </c>
      <c r="F275" s="58" t="s">
        <v>1435</v>
      </c>
    </row>
    <row r="276" spans="1:6" x14ac:dyDescent="0.15">
      <c r="B276" s="83"/>
      <c r="C276" s="88" t="s">
        <v>1286</v>
      </c>
      <c r="D276" s="87" t="s">
        <v>565</v>
      </c>
      <c r="E276" s="83" t="s">
        <v>949</v>
      </c>
      <c r="F276" s="83" t="s">
        <v>579</v>
      </c>
    </row>
    <row r="277" spans="1:6" x14ac:dyDescent="0.15">
      <c r="B277" s="59" t="s">
        <v>615</v>
      </c>
      <c r="C277" s="61" t="s">
        <v>1887</v>
      </c>
      <c r="D277" s="61" t="s">
        <v>1888</v>
      </c>
      <c r="E277" s="60"/>
      <c r="F277" s="60" t="s">
        <v>437</v>
      </c>
    </row>
    <row r="278" spans="1:6" x14ac:dyDescent="0.15">
      <c r="B278" s="59" t="s">
        <v>616</v>
      </c>
      <c r="C278" s="59" t="s">
        <v>1023</v>
      </c>
      <c r="D278" s="59" t="s">
        <v>1023</v>
      </c>
      <c r="E278" s="59"/>
      <c r="F278" s="59" t="s">
        <v>655</v>
      </c>
    </row>
    <row r="279" spans="1:6" x14ac:dyDescent="0.15">
      <c r="B279" s="59" t="s">
        <v>617</v>
      </c>
      <c r="C279" s="59" t="s">
        <v>1024</v>
      </c>
      <c r="D279" s="59" t="s">
        <v>1028</v>
      </c>
      <c r="E279" s="59"/>
      <c r="F279" s="59" t="s">
        <v>884</v>
      </c>
    </row>
    <row r="280" spans="1:6" x14ac:dyDescent="0.15">
      <c r="B280" s="59" t="s">
        <v>618</v>
      </c>
      <c r="C280" s="59" t="s">
        <v>1025</v>
      </c>
      <c r="D280" s="59" t="s">
        <v>1067</v>
      </c>
      <c r="E280" s="59"/>
      <c r="F280" s="59" t="s">
        <v>885</v>
      </c>
    </row>
    <row r="281" spans="1:6" x14ac:dyDescent="0.15">
      <c r="B281" s="59" t="s">
        <v>619</v>
      </c>
      <c r="C281" s="59" t="s">
        <v>1026</v>
      </c>
      <c r="D281" s="59" t="s">
        <v>1068</v>
      </c>
      <c r="E281" s="59"/>
      <c r="F281" s="59" t="s">
        <v>886</v>
      </c>
    </row>
    <row r="282" spans="1:6" x14ac:dyDescent="0.15">
      <c r="B282" s="59" t="s">
        <v>620</v>
      </c>
      <c r="C282" s="59" t="s">
        <v>1027</v>
      </c>
      <c r="D282" s="59" t="s">
        <v>1031</v>
      </c>
      <c r="E282" s="59"/>
      <c r="F282" s="59" t="s">
        <v>887</v>
      </c>
    </row>
    <row r="283" spans="1:6" x14ac:dyDescent="0.15">
      <c r="B283" s="59" t="s">
        <v>621</v>
      </c>
      <c r="C283" s="59" t="s">
        <v>1029</v>
      </c>
      <c r="D283" s="59" t="s">
        <v>1029</v>
      </c>
      <c r="E283" s="59"/>
      <c r="F283" s="59" t="s">
        <v>888</v>
      </c>
    </row>
    <row r="284" spans="1:6" x14ac:dyDescent="0.15">
      <c r="B284" s="59" t="s">
        <v>622</v>
      </c>
      <c r="C284" s="59" t="s">
        <v>1030</v>
      </c>
      <c r="D284" s="59" t="s">
        <v>1030</v>
      </c>
      <c r="E284" s="59"/>
      <c r="F284" s="59" t="s">
        <v>903</v>
      </c>
    </row>
    <row r="285" spans="1:6" x14ac:dyDescent="0.15">
      <c r="B285" s="59" t="s">
        <v>623</v>
      </c>
      <c r="C285" s="59" t="s">
        <v>1090</v>
      </c>
      <c r="D285" s="59" t="s">
        <v>1090</v>
      </c>
      <c r="E285" s="59"/>
      <c r="F285" s="59" t="s">
        <v>889</v>
      </c>
    </row>
    <row r="286" spans="1:6" x14ac:dyDescent="0.15">
      <c r="B286" s="59" t="s">
        <v>624</v>
      </c>
      <c r="C286" s="59" t="s">
        <v>1070</v>
      </c>
      <c r="D286" s="59" t="s">
        <v>1069</v>
      </c>
      <c r="E286" s="59"/>
      <c r="F286" s="59" t="s">
        <v>890</v>
      </c>
    </row>
    <row r="287" spans="1:6" x14ac:dyDescent="0.15">
      <c r="B287" s="59" t="s">
        <v>625</v>
      </c>
      <c r="C287" s="59" t="s">
        <v>1032</v>
      </c>
      <c r="D287" s="59" t="s">
        <v>1032</v>
      </c>
      <c r="E287" s="59"/>
      <c r="F287" s="59" t="s">
        <v>891</v>
      </c>
    </row>
    <row r="288" spans="1:6" x14ac:dyDescent="0.15">
      <c r="B288" s="59" t="s">
        <v>626</v>
      </c>
      <c r="C288" s="59" t="s">
        <v>1033</v>
      </c>
      <c r="D288" s="59" t="s">
        <v>1033</v>
      </c>
      <c r="E288" s="59"/>
      <c r="F288" s="59" t="s">
        <v>892</v>
      </c>
    </row>
    <row r="289" spans="2:6" x14ac:dyDescent="0.15">
      <c r="B289" s="59" t="s">
        <v>627</v>
      </c>
      <c r="C289" s="59" t="s">
        <v>1034</v>
      </c>
      <c r="D289" s="59" t="s">
        <v>1034</v>
      </c>
      <c r="E289" s="60"/>
      <c r="F289" s="60" t="s">
        <v>877</v>
      </c>
    </row>
    <row r="290" spans="2:6" x14ac:dyDescent="0.15">
      <c r="B290" s="59" t="s">
        <v>628</v>
      </c>
      <c r="C290" s="60" t="s">
        <v>1035</v>
      </c>
      <c r="D290" s="60" t="s">
        <v>1035</v>
      </c>
      <c r="E290" s="60"/>
      <c r="F290" s="60" t="s">
        <v>878</v>
      </c>
    </row>
    <row r="291" spans="2:6" x14ac:dyDescent="0.15">
      <c r="B291" s="59" t="s">
        <v>629</v>
      </c>
      <c r="C291" s="60" t="s">
        <v>1036</v>
      </c>
      <c r="D291" s="60" t="s">
        <v>1036</v>
      </c>
      <c r="E291" s="60"/>
      <c r="F291" s="60" t="s">
        <v>893</v>
      </c>
    </row>
    <row r="292" spans="2:6" x14ac:dyDescent="0.15">
      <c r="B292" s="59" t="s">
        <v>630</v>
      </c>
      <c r="C292" s="60" t="s">
        <v>908</v>
      </c>
      <c r="D292" s="60" t="s">
        <v>908</v>
      </c>
      <c r="E292" s="60"/>
      <c r="F292" s="60" t="s">
        <v>894</v>
      </c>
    </row>
    <row r="293" spans="2:6" x14ac:dyDescent="0.15">
      <c r="B293" s="59" t="s">
        <v>631</v>
      </c>
      <c r="C293" s="60" t="s">
        <v>43</v>
      </c>
      <c r="D293" s="60" t="s">
        <v>43</v>
      </c>
      <c r="E293" s="60"/>
      <c r="F293" s="60" t="s">
        <v>43</v>
      </c>
    </row>
    <row r="294" spans="2:6" x14ac:dyDescent="0.15">
      <c r="B294" s="59" t="s">
        <v>632</v>
      </c>
      <c r="C294" s="60" t="s">
        <v>44</v>
      </c>
      <c r="D294" s="60" t="s">
        <v>44</v>
      </c>
      <c r="E294" s="60"/>
      <c r="F294" s="60" t="s">
        <v>44</v>
      </c>
    </row>
    <row r="295" spans="2:6" ht="13.5" customHeight="1" x14ac:dyDescent="0.15">
      <c r="B295" s="58" t="s">
        <v>310</v>
      </c>
      <c r="C295" s="58" t="s">
        <v>557</v>
      </c>
      <c r="D295" s="58" t="s">
        <v>1433</v>
      </c>
      <c r="E295" s="58" t="s">
        <v>1434</v>
      </c>
      <c r="F295" s="58" t="s">
        <v>1435</v>
      </c>
    </row>
    <row r="296" spans="2:6" ht="13.5" customHeight="1" x14ac:dyDescent="0.15">
      <c r="B296" s="84"/>
      <c r="C296" s="89" t="s">
        <v>1038</v>
      </c>
      <c r="D296" s="84"/>
      <c r="E296" s="84"/>
      <c r="F296" s="84"/>
    </row>
    <row r="297" spans="2:6" x14ac:dyDescent="0.15">
      <c r="B297" s="59" t="s">
        <v>615</v>
      </c>
      <c r="C297" s="80" t="s">
        <v>1037</v>
      </c>
      <c r="D297" s="61"/>
      <c r="E297" s="60"/>
      <c r="F297" s="60"/>
    </row>
    <row r="298" spans="2:6" x14ac:dyDescent="0.15">
      <c r="B298" s="59" t="s">
        <v>616</v>
      </c>
      <c r="C298" s="59" t="s">
        <v>1039</v>
      </c>
      <c r="D298" s="59"/>
      <c r="E298" s="59"/>
      <c r="F298" s="59"/>
    </row>
    <row r="299" spans="2:6" x14ac:dyDescent="0.15">
      <c r="B299" s="59" t="s">
        <v>617</v>
      </c>
      <c r="C299" s="59" t="s">
        <v>1040</v>
      </c>
      <c r="D299" s="59"/>
      <c r="E299" s="59"/>
      <c r="F299" s="59"/>
    </row>
    <row r="300" spans="2:6" x14ac:dyDescent="0.15">
      <c r="B300" s="59" t="s">
        <v>618</v>
      </c>
      <c r="C300" s="59" t="s">
        <v>1041</v>
      </c>
      <c r="D300" s="59"/>
      <c r="E300" s="59"/>
      <c r="F300" s="59"/>
    </row>
    <row r="301" spans="2:6" x14ac:dyDescent="0.15">
      <c r="B301" s="59" t="s">
        <v>619</v>
      </c>
      <c r="C301" s="59" t="s">
        <v>1042</v>
      </c>
      <c r="D301" s="59"/>
      <c r="E301" s="59"/>
      <c r="F301" s="59"/>
    </row>
    <row r="302" spans="2:6" x14ac:dyDescent="0.15">
      <c r="B302" s="59" t="s">
        <v>620</v>
      </c>
      <c r="C302" s="59" t="s">
        <v>1043</v>
      </c>
      <c r="D302" s="59"/>
      <c r="E302" s="59"/>
      <c r="F302" s="59"/>
    </row>
    <row r="303" spans="2:6" x14ac:dyDescent="0.15">
      <c r="B303" s="59" t="s">
        <v>621</v>
      </c>
      <c r="C303" s="59" t="s">
        <v>1044</v>
      </c>
      <c r="D303" s="59"/>
      <c r="E303" s="59"/>
      <c r="F303" s="59"/>
    </row>
    <row r="304" spans="2:6" x14ac:dyDescent="0.15">
      <c r="B304" s="59" t="s">
        <v>622</v>
      </c>
      <c r="C304" s="59" t="s">
        <v>1045</v>
      </c>
      <c r="D304" s="59"/>
      <c r="E304" s="59"/>
      <c r="F304" s="59"/>
    </row>
    <row r="305" spans="1:6" x14ac:dyDescent="0.15">
      <c r="B305" s="59" t="s">
        <v>623</v>
      </c>
      <c r="C305" s="59" t="s">
        <v>1046</v>
      </c>
      <c r="D305" s="59"/>
      <c r="E305" s="59"/>
      <c r="F305" s="59"/>
    </row>
    <row r="306" spans="1:6" x14ac:dyDescent="0.15">
      <c r="B306" s="59" t="s">
        <v>624</v>
      </c>
      <c r="C306" s="59" t="s">
        <v>1047</v>
      </c>
      <c r="D306" s="59"/>
      <c r="E306" s="59"/>
      <c r="F306" s="59"/>
    </row>
    <row r="307" spans="1:6" x14ac:dyDescent="0.15">
      <c r="B307" s="59" t="s">
        <v>625</v>
      </c>
      <c r="C307" s="59" t="s">
        <v>895</v>
      </c>
      <c r="D307" s="59"/>
      <c r="E307" s="59"/>
      <c r="F307" s="59"/>
    </row>
    <row r="308" spans="1:6" x14ac:dyDescent="0.15">
      <c r="B308" s="59" t="s">
        <v>626</v>
      </c>
      <c r="C308" s="59" t="s">
        <v>896</v>
      </c>
      <c r="D308" s="59"/>
      <c r="E308" s="59"/>
      <c r="F308" s="59"/>
    </row>
    <row r="309" spans="1:6" x14ac:dyDescent="0.15">
      <c r="B309" s="59" t="s">
        <v>627</v>
      </c>
      <c r="C309" s="59" t="s">
        <v>897</v>
      </c>
      <c r="D309" s="59"/>
      <c r="E309" s="60"/>
      <c r="F309" s="60"/>
    </row>
    <row r="310" spans="1:6" x14ac:dyDescent="0.15">
      <c r="B310" s="59" t="s">
        <v>628</v>
      </c>
      <c r="C310" s="59" t="s">
        <v>898</v>
      </c>
      <c r="D310" s="60"/>
      <c r="E310" s="60"/>
      <c r="F310" s="60"/>
    </row>
    <row r="311" spans="1:6" x14ac:dyDescent="0.15">
      <c r="B311" s="59" t="s">
        <v>629</v>
      </c>
      <c r="C311" s="59" t="s">
        <v>899</v>
      </c>
      <c r="D311" s="60"/>
      <c r="E311" s="60"/>
      <c r="F311" s="60"/>
    </row>
    <row r="312" spans="1:6" x14ac:dyDescent="0.15">
      <c r="B312" s="59" t="s">
        <v>630</v>
      </c>
      <c r="C312" s="59" t="s">
        <v>900</v>
      </c>
      <c r="D312" s="60"/>
      <c r="E312" s="60"/>
      <c r="F312" s="60"/>
    </row>
    <row r="313" spans="1:6" x14ac:dyDescent="0.15">
      <c r="B313" s="59" t="s">
        <v>631</v>
      </c>
      <c r="C313" s="59" t="s">
        <v>901</v>
      </c>
      <c r="D313" s="60"/>
      <c r="E313" s="60"/>
      <c r="F313" s="60"/>
    </row>
    <row r="314" spans="1:6" x14ac:dyDescent="0.15">
      <c r="B314" s="59" t="s">
        <v>632</v>
      </c>
      <c r="C314" s="59" t="s">
        <v>902</v>
      </c>
      <c r="D314" s="60"/>
      <c r="E314" s="60"/>
      <c r="F314" s="60"/>
    </row>
    <row r="315" spans="1:6" ht="13.5" customHeight="1" x14ac:dyDescent="0.15"/>
    <row r="316" spans="1:6" x14ac:dyDescent="0.15">
      <c r="A316" s="18" t="s">
        <v>1065</v>
      </c>
    </row>
    <row r="317" spans="1:6" x14ac:dyDescent="0.15">
      <c r="B317" s="58" t="s">
        <v>310</v>
      </c>
      <c r="C317" s="58" t="s">
        <v>557</v>
      </c>
      <c r="D317" s="58" t="s">
        <v>1433</v>
      </c>
      <c r="E317" s="58" t="s">
        <v>1434</v>
      </c>
      <c r="F317" s="58" t="s">
        <v>1435</v>
      </c>
    </row>
    <row r="318" spans="1:6" x14ac:dyDescent="0.15">
      <c r="B318" s="83"/>
      <c r="C318" s="83" t="s">
        <v>1066</v>
      </c>
      <c r="D318" s="83"/>
      <c r="E318" s="83"/>
      <c r="F318" s="83"/>
    </row>
    <row r="319" spans="1:6" ht="13.5" customHeight="1" x14ac:dyDescent="0.15">
      <c r="B319" s="59" t="s">
        <v>633</v>
      </c>
      <c r="C319" s="60" t="s">
        <v>50</v>
      </c>
      <c r="D319" s="60" t="s">
        <v>484</v>
      </c>
      <c r="E319" s="60" t="s">
        <v>50</v>
      </c>
      <c r="F319" s="60" t="s">
        <v>50</v>
      </c>
    </row>
    <row r="320" spans="1:6" x14ac:dyDescent="0.15">
      <c r="B320" s="59" t="s">
        <v>634</v>
      </c>
      <c r="C320" s="59" t="s">
        <v>1856</v>
      </c>
      <c r="D320" s="59" t="s">
        <v>438</v>
      </c>
      <c r="E320" s="59" t="s">
        <v>1856</v>
      </c>
      <c r="F320" s="59" t="s">
        <v>1856</v>
      </c>
    </row>
    <row r="322" spans="1:6" x14ac:dyDescent="0.15">
      <c r="A322" s="18" t="s">
        <v>640</v>
      </c>
    </row>
    <row r="323" spans="1:6" x14ac:dyDescent="0.15">
      <c r="B323" s="58" t="s">
        <v>310</v>
      </c>
      <c r="C323" s="58" t="s">
        <v>557</v>
      </c>
      <c r="D323" s="58" t="s">
        <v>1433</v>
      </c>
      <c r="E323" s="58" t="s">
        <v>1434</v>
      </c>
      <c r="F323" s="58" t="s">
        <v>1435</v>
      </c>
    </row>
    <row r="324" spans="1:6" x14ac:dyDescent="0.15">
      <c r="B324" s="83"/>
      <c r="C324" s="83" t="s">
        <v>581</v>
      </c>
      <c r="D324" s="83" t="s">
        <v>580</v>
      </c>
      <c r="E324" s="83"/>
      <c r="F324" s="83" t="s">
        <v>581</v>
      </c>
    </row>
    <row r="325" spans="1:6" ht="13.5" customHeight="1" x14ac:dyDescent="0.15">
      <c r="B325" s="59" t="s">
        <v>635</v>
      </c>
      <c r="C325" s="59" t="s">
        <v>1048</v>
      </c>
      <c r="D325" s="59" t="s">
        <v>165</v>
      </c>
      <c r="E325" s="59" t="s">
        <v>1048</v>
      </c>
      <c r="F325" s="59" t="s">
        <v>167</v>
      </c>
    </row>
    <row r="326" spans="1:6" ht="13.5" customHeight="1" x14ac:dyDescent="0.15">
      <c r="B326" s="59" t="s">
        <v>636</v>
      </c>
      <c r="C326" s="59" t="s">
        <v>1050</v>
      </c>
      <c r="D326" s="59" t="s">
        <v>166</v>
      </c>
      <c r="E326" s="59" t="s">
        <v>1050</v>
      </c>
      <c r="F326" s="59" t="s">
        <v>309</v>
      </c>
    </row>
    <row r="327" spans="1:6" ht="13.5" customHeight="1" x14ac:dyDescent="0.15">
      <c r="B327" s="59" t="s">
        <v>551</v>
      </c>
      <c r="C327" s="59" t="s">
        <v>1049</v>
      </c>
      <c r="D327" s="59" t="s">
        <v>165</v>
      </c>
      <c r="E327" s="59" t="s">
        <v>1049</v>
      </c>
      <c r="F327" s="59" t="s">
        <v>167</v>
      </c>
    </row>
    <row r="328" spans="1:6" ht="13.5" customHeight="1" x14ac:dyDescent="0.15">
      <c r="B328" s="59" t="s">
        <v>637</v>
      </c>
      <c r="C328" s="59" t="s">
        <v>1050</v>
      </c>
      <c r="D328" s="59" t="s">
        <v>166</v>
      </c>
      <c r="E328" s="59" t="s">
        <v>1050</v>
      </c>
      <c r="F328" s="59" t="s">
        <v>309</v>
      </c>
    </row>
    <row r="330" spans="1:6" x14ac:dyDescent="0.15">
      <c r="A330" s="18" t="s">
        <v>1291</v>
      </c>
    </row>
    <row r="331" spans="1:6" x14ac:dyDescent="0.15">
      <c r="B331" s="58" t="s">
        <v>310</v>
      </c>
      <c r="C331" s="58" t="s">
        <v>557</v>
      </c>
      <c r="D331" s="58" t="s">
        <v>1433</v>
      </c>
      <c r="E331" s="58" t="s">
        <v>1434</v>
      </c>
      <c r="F331" s="58" t="s">
        <v>1435</v>
      </c>
    </row>
    <row r="332" spans="1:6" x14ac:dyDescent="0.15">
      <c r="B332" s="84"/>
      <c r="C332" s="84" t="s">
        <v>1292</v>
      </c>
      <c r="D332" s="85"/>
      <c r="E332" s="84"/>
      <c r="F332" s="84"/>
    </row>
    <row r="333" spans="1:6" x14ac:dyDescent="0.15">
      <c r="B333" s="59" t="s">
        <v>1293</v>
      </c>
      <c r="C333" s="59" t="s">
        <v>1039</v>
      </c>
      <c r="D333" s="59"/>
      <c r="E333" s="59"/>
      <c r="F333" s="59"/>
    </row>
    <row r="334" spans="1:6" x14ac:dyDescent="0.15">
      <c r="B334" s="59" t="s">
        <v>1294</v>
      </c>
      <c r="C334" s="59" t="s">
        <v>1040</v>
      </c>
      <c r="D334" s="59"/>
      <c r="E334" s="59"/>
      <c r="F334" s="59"/>
    </row>
    <row r="335" spans="1:6" x14ac:dyDescent="0.15">
      <c r="B335" s="59" t="s">
        <v>1295</v>
      </c>
      <c r="C335" s="59" t="s">
        <v>1041</v>
      </c>
      <c r="D335" s="59"/>
      <c r="E335" s="59"/>
      <c r="F335" s="59"/>
    </row>
    <row r="336" spans="1:6" x14ac:dyDescent="0.15">
      <c r="B336" s="59" t="s">
        <v>1296</v>
      </c>
      <c r="C336" s="59" t="s">
        <v>1042</v>
      </c>
      <c r="D336" s="59"/>
      <c r="E336" s="59"/>
      <c r="F336" s="59"/>
    </row>
    <row r="337" spans="2:6" x14ac:dyDescent="0.15">
      <c r="B337" s="59" t="s">
        <v>1297</v>
      </c>
      <c r="C337" s="59" t="s">
        <v>1043</v>
      </c>
      <c r="D337" s="59"/>
      <c r="E337" s="59"/>
      <c r="F337" s="59"/>
    </row>
    <row r="338" spans="2:6" x14ac:dyDescent="0.15">
      <c r="B338" s="59" t="s">
        <v>1298</v>
      </c>
      <c r="C338" s="59" t="s">
        <v>1044</v>
      </c>
      <c r="D338" s="59"/>
      <c r="E338" s="59"/>
      <c r="F338" s="59"/>
    </row>
    <row r="339" spans="2:6" x14ac:dyDescent="0.15">
      <c r="B339" s="59" t="s">
        <v>1299</v>
      </c>
      <c r="C339" s="59" t="s">
        <v>1045</v>
      </c>
      <c r="D339" s="59"/>
      <c r="E339" s="59"/>
      <c r="F339" s="59"/>
    </row>
    <row r="340" spans="2:6" x14ac:dyDescent="0.15">
      <c r="B340" s="59" t="s">
        <v>1300</v>
      </c>
      <c r="C340" s="59" t="s">
        <v>1046</v>
      </c>
      <c r="D340" s="59"/>
      <c r="E340" s="59"/>
      <c r="F340" s="59"/>
    </row>
    <row r="341" spans="2:6" x14ac:dyDescent="0.15">
      <c r="B341" s="59" t="s">
        <v>1301</v>
      </c>
      <c r="C341" s="59" t="s">
        <v>1047</v>
      </c>
      <c r="D341" s="59"/>
      <c r="E341" s="59"/>
      <c r="F341" s="59"/>
    </row>
    <row r="342" spans="2:6" x14ac:dyDescent="0.15">
      <c r="B342" s="59" t="s">
        <v>1302</v>
      </c>
      <c r="C342" s="59" t="s">
        <v>895</v>
      </c>
      <c r="D342" s="59"/>
      <c r="E342" s="59"/>
      <c r="F342" s="59"/>
    </row>
    <row r="343" spans="2:6" x14ac:dyDescent="0.15">
      <c r="B343" s="59" t="s">
        <v>1303</v>
      </c>
      <c r="C343" s="59" t="s">
        <v>896</v>
      </c>
      <c r="D343" s="59"/>
      <c r="E343" s="59"/>
      <c r="F343" s="59"/>
    </row>
    <row r="344" spans="2:6" x14ac:dyDescent="0.15">
      <c r="B344" s="59" t="s">
        <v>1304</v>
      </c>
      <c r="C344" s="59" t="s">
        <v>897</v>
      </c>
      <c r="D344" s="59"/>
      <c r="E344" s="60"/>
      <c r="F344" s="60"/>
    </row>
    <row r="345" spans="2:6" x14ac:dyDescent="0.15">
      <c r="B345" s="59" t="s">
        <v>1305</v>
      </c>
      <c r="C345" s="59" t="s">
        <v>898</v>
      </c>
      <c r="D345" s="60"/>
      <c r="E345" s="60"/>
      <c r="F345" s="60"/>
    </row>
    <row r="346" spans="2:6" x14ac:dyDescent="0.15">
      <c r="B346" s="59" t="s">
        <v>1306</v>
      </c>
      <c r="C346" s="59" t="s">
        <v>899</v>
      </c>
      <c r="D346" s="60"/>
      <c r="E346" s="60"/>
      <c r="F346" s="60"/>
    </row>
    <row r="347" spans="2:6" x14ac:dyDescent="0.15">
      <c r="B347" s="59" t="s">
        <v>1307</v>
      </c>
      <c r="C347" s="59" t="s">
        <v>900</v>
      </c>
      <c r="D347" s="60"/>
      <c r="E347" s="60"/>
      <c r="F347" s="60"/>
    </row>
    <row r="348" spans="2:6" x14ac:dyDescent="0.15">
      <c r="B348" s="59" t="s">
        <v>1308</v>
      </c>
      <c r="C348" s="59" t="s">
        <v>901</v>
      </c>
      <c r="D348" s="60"/>
      <c r="E348" s="60"/>
      <c r="F348" s="60"/>
    </row>
    <row r="349" spans="2:6" x14ac:dyDescent="0.15">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Miyoshi, Ikuo/三吉 郁夫</cp:lastModifiedBy>
  <cp:lastPrinted>2020-02-20T01:46:32Z</cp:lastPrinted>
  <dcterms:created xsi:type="dcterms:W3CDTF">2019-09-06T08:20:08Z</dcterms:created>
  <dcterms:modified xsi:type="dcterms:W3CDTF">2023-11-23T05:43:40Z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2023-11-23T05:43:40Z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6ba2ccd3-3769-44d1-ad83-627de4a98605</vt:lpwstr>
  </property>
  <property fmtid="{D5CDD505-2E9C-101B-9397-08002B2CF9AE}" pid="8" name="MSIP_Label_a7295cc1-d279-42ac-ab4d-3b0f4fece050_ContentBits">
    <vt:lpwstr>0</vt:lpwstr>
  </property>
</Properties>
</file>