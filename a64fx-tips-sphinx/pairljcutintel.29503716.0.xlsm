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ml.chartshapes+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ml.chartshapes+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C:\home\job\2023\231122\a64fx-tips-result\run.sh.29503716\pairljcutintel.29503716.0.cpupa\"/>
    </mc:Choice>
  </mc:AlternateContent>
  <xr:revisionPtr revIDLastSave="0" documentId="13_ncr:1_{B185DA55-01FE-4B46-B226-5ECB2D5F51B5}" xr6:coauthVersionLast="47" xr6:coauthVersionMax="47" xr10:uidLastSave="{00000000-0000-0000-0000-000000000000}"/>
  <workbookProtection workbookAlgorithmName="SHA-512" workbookHashValue="7g9nyTXNimYOWHpTgj4WAVmRp780xi5X+VH+UBPjS87C77egU1GxShkjV51ERm9L9oJBZNGc47RgsLkWw6rt3Q==" workbookSaltValue="LFzCPr74FgsqjORZVXPazg==" workbookSpinCount="100000" lockStructure="1"/>
  <bookViews>
    <workbookView xWindow="-120" yWindow="-120" windowWidth="29040" windowHeight="15720" xr2:uid="{6E303AFB-1113-470E-962C-9BA16BB29A63}"/>
  </bookViews>
  <sheets>
    <sheet name="report" sheetId="9" r:id="rId1"/>
    <sheet name="data" sheetId="25" state="hidden" r:id="rId2"/>
    <sheet name="label" sheetId="12" state="hidden" r:id="rId3"/>
  </sheets>
  <functionGroups builtInGroupCount="19"/>
  <definedNames>
    <definedName name="data_ES_CsvData">data!$AC$30:$LV$41</definedName>
    <definedName name="data_ES_Label">data!$AC$29:$LV$29</definedName>
    <definedName name="data_GuardLimitFlag">data!$Y$4</definedName>
    <definedName name="data_Hcl_CLOCKFREQ">data!$C$5</definedName>
    <definedName name="data_Hcl_CNTFREQ">data!$C$4</definedName>
    <definedName name="data_Hcl_CORE_ByCMG">data!$C$15</definedName>
    <definedName name="data_Hcl_CORE_ByNODE">data!$C$14</definedName>
    <definedName name="data_Hcl_CPUPA_Ver">data!$C$18</definedName>
    <definedName name="data_Hcl_CSV_Ver">data!$C$21</definedName>
    <definedName name="data_Hcl_CSV_Ver_lower">data!$C$20</definedName>
    <definedName name="data_Hcl_CSV_Ver_upper">data!$C$19</definedName>
    <definedName name="data_Hcl_DataSize">data!$C$9</definedName>
    <definedName name="data_Hcl_EFCTFRQ">data!$C$13</definedName>
    <definedName name="data_Hcl_LineSizeOfBus">data!$C$8</definedName>
    <definedName name="data_Hcl_LineSizeOfCache">data!$C$7</definedName>
    <definedName name="data_Hcl_MemBandWidth">data!$C$6</definedName>
    <definedName name="data_Hcl_Predicate_coefficient">data!$C$17</definedName>
    <definedName name="data_Hcl_VectorLength">data!$C$11</definedName>
    <definedName name="data_Hcl_VectorLengthBit">data!$C$10</definedName>
    <definedName name="data_Info_CmgNo">data!$G$11</definedName>
    <definedName name="data_Info_CPU_frequency">data!$G$15</definedName>
    <definedName name="data_Info_Measured_time">data!$G$4</definedName>
    <definedName name="data_Info_Node_name">data!$G$5</definedName>
    <definedName name="data_Info_PsNo">data!$G$10</definedName>
    <definedName name="data_Info_Region">data!$G$12</definedName>
    <definedName name="data_Info_VectorLength">data!$G$14</definedName>
    <definedName name="data_Lang_LangValue">data!$V$8</definedName>
    <definedName name="data_Level_Cache">data!$O$7</definedName>
    <definedName name="data_Level_CycleAccounting">data!$O$5</definedName>
    <definedName name="data_Level_Instruction">data!$O$8</definedName>
    <definedName name="data_MeanTime_MeanTime">data!$SN$30:$SN$41</definedName>
    <definedName name="data_Navi_pa1_pa17">data!$L$4:$L$20</definedName>
    <definedName name="data_VOTime_BaseTime">data!$RU$30:$RU$41</definedName>
    <definedName name="data_VOTime_Pa2_17PaName">data!$RW$28:$SL$28</definedName>
    <definedName name="data_VOTime_Pa2_Pa17Data">data!$RW$30:$SL$41</definedName>
    <definedName name="Label_Balance">label!$B$325:$F$328</definedName>
    <definedName name="Label_Busy">label!$B$80:$F$94</definedName>
    <definedName name="Label_Cache">label!$B$99:$F$117</definedName>
    <definedName name="Label_CMG_Above">label!$B$243:$F$243</definedName>
    <definedName name="Label_CMG_READ">label!$B$249:$F$255</definedName>
    <definedName name="Label_CMG_WRITE">label!$B$258:$F$264</definedName>
    <definedName name="Label_CycleAccExtra">label!$B$220:$F$222</definedName>
    <definedName name="Label_CycleAccounting">label!$B$54:$F$74</definedName>
    <definedName name="Label_CycleAccounting_Above">label!$B$42:$F$51</definedName>
    <definedName name="Label_Extra">label!$B$200:$F$209</definedName>
    <definedName name="Label_Extra_Above">label!$B$191:$F$192</definedName>
    <definedName name="Label_Extra_Middle">label!$B$195:$F$198</definedName>
    <definedName name="Label_Flops">label!$B$183:$F$186</definedName>
    <definedName name="Label_HardwarePrefetch">label!$B$231:$F$237</definedName>
    <definedName name="Label_HardwarePrefetch_Above">label!$B$227:$F$229</definedName>
    <definedName name="Label_Instruction">label!$B$146:$F$178</definedName>
    <definedName name="Label_Instruction_Above">label!$B$123:$F$133</definedName>
    <definedName name="Label_Instruction_Middle">label!$B$136:$F$137</definedName>
    <definedName name="Label_Instruction_Middle2">label!$B$140:$F$143</definedName>
    <definedName name="Label_MeanTime">label!$B$319:$F$320</definedName>
    <definedName name="Label_PowerConsumption">label!$B$269:$F$272</definedName>
    <definedName name="Label_Statistics">label!$B$24:$F$36</definedName>
    <definedName name="Label_Time">label!$B$277:$F$294</definedName>
    <definedName name="Label_Time_Short">label!$B$297:$F$314</definedName>
    <definedName name="_xlnm.Print_Area" localSheetId="0">report!$A$1:$AL$119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N48" i="25" l="1"/>
  <c r="TM48" i="25"/>
  <c r="TL48" i="25"/>
  <c r="RL28" i="25" l="1"/>
  <c r="D113" i="9" s="1"/>
  <c r="RK28" i="25"/>
  <c r="C113" i="9" s="1"/>
  <c r="C4" i="9" l="1"/>
  <c r="RA30" i="25"/>
  <c r="J3" i="9" l="1"/>
  <c r="RA41" i="25"/>
  <c r="RA40" i="25"/>
  <c r="RA39" i="25"/>
  <c r="RA38" i="25"/>
  <c r="RA37" i="25"/>
  <c r="RA36" i="25"/>
  <c r="RA35" i="25"/>
  <c r="RA34" i="25"/>
  <c r="RA33" i="25"/>
  <c r="RA32" i="25"/>
  <c r="RA31" i="25"/>
  <c r="PI41" i="25"/>
  <c r="PH41" i="25"/>
  <c r="PH40" i="25"/>
  <c r="PI40" i="25"/>
  <c r="PI39" i="25"/>
  <c r="PH39" i="25"/>
  <c r="PI38" i="25"/>
  <c r="PH38" i="25"/>
  <c r="PI37" i="25"/>
  <c r="PH37" i="25"/>
  <c r="PH36" i="25"/>
  <c r="PI36" i="25"/>
  <c r="PH35" i="25"/>
  <c r="PI35" i="25"/>
  <c r="PH34" i="25"/>
  <c r="PI34" i="25"/>
  <c r="PI33" i="25"/>
  <c r="PH33" i="25"/>
  <c r="PI32" i="25"/>
  <c r="PH32" i="25"/>
  <c r="PI31" i="25"/>
  <c r="PH31" i="25"/>
  <c r="PH30" i="25"/>
  <c r="PI30" i="25"/>
  <c r="PH42" i="25"/>
  <c r="PI42" i="25"/>
  <c r="OT41" i="25"/>
  <c r="OS41" i="25"/>
  <c r="NL41" i="25"/>
  <c r="OT40" i="25"/>
  <c r="NL40" i="25"/>
  <c r="OS40" i="25"/>
  <c r="OS39" i="25"/>
  <c r="NL39" i="25"/>
  <c r="OT39" i="25"/>
  <c r="NL38" i="25"/>
  <c r="OS38" i="25"/>
  <c r="OT38" i="25"/>
  <c r="OT37" i="25"/>
  <c r="NL37" i="25"/>
  <c r="OS37" i="25"/>
  <c r="NL36" i="25"/>
  <c r="OT36" i="25"/>
  <c r="OS36" i="25"/>
  <c r="OT35" i="25"/>
  <c r="NL35" i="25"/>
  <c r="OS35" i="25"/>
  <c r="OT34" i="25"/>
  <c r="OS34" i="25"/>
  <c r="NL34" i="25"/>
  <c r="OT33" i="25"/>
  <c r="NL33" i="25"/>
  <c r="OS33" i="25"/>
  <c r="OT32" i="25"/>
  <c r="NL32" i="25"/>
  <c r="OS32" i="25"/>
  <c r="OT31" i="25"/>
  <c r="OS31" i="25"/>
  <c r="NL31" i="25"/>
  <c r="OS30" i="25"/>
  <c r="NL42" i="25"/>
  <c r="OT30" i="25"/>
  <c r="OT42" i="25"/>
  <c r="NL30" i="25"/>
  <c r="OS42" i="25"/>
  <c r="N65" i="9" l="1"/>
  <c r="M63" i="9"/>
  <c r="M37" i="9"/>
  <c r="M43" i="9"/>
  <c r="N62" i="9"/>
  <c r="L43" i="9"/>
  <c r="N58" i="9"/>
  <c r="M59" i="9"/>
  <c r="M40" i="9"/>
  <c r="L35" i="9"/>
  <c r="N59" i="9"/>
  <c r="N61" i="9"/>
  <c r="M39" i="9"/>
  <c r="N63" i="9"/>
  <c r="L44" i="9"/>
  <c r="N57" i="9"/>
  <c r="M41" i="9"/>
  <c r="L37" i="9"/>
  <c r="M46" i="9"/>
  <c r="N55" i="9"/>
  <c r="M38" i="9"/>
  <c r="L46" i="9"/>
  <c r="M42" i="9"/>
  <c r="M61" i="9"/>
  <c r="N56" i="9"/>
  <c r="N67" i="9"/>
  <c r="M64" i="9"/>
  <c r="L36" i="9"/>
  <c r="M60" i="9"/>
  <c r="M56" i="9"/>
  <c r="M65" i="9"/>
  <c r="M58" i="9"/>
  <c r="L45" i="9"/>
  <c r="M44" i="9"/>
  <c r="L40" i="9"/>
  <c r="L34" i="9"/>
  <c r="M45" i="9"/>
  <c r="M34" i="9"/>
  <c r="M62" i="9"/>
  <c r="M67" i="9"/>
  <c r="M57" i="9"/>
  <c r="L41" i="9"/>
  <c r="M66" i="9"/>
  <c r="N64" i="9"/>
  <c r="M35" i="9"/>
  <c r="M36" i="9"/>
  <c r="N60" i="9"/>
  <c r="M55" i="9"/>
  <c r="L39" i="9"/>
  <c r="L42" i="9"/>
  <c r="N66" i="9"/>
  <c r="L38" i="9"/>
  <c r="RA42" i="25"/>
  <c r="PJ28" i="25"/>
  <c r="PK28" i="25"/>
  <c r="QL28" i="25" l="1"/>
  <c r="QM28" i="25"/>
  <c r="QN28" i="25"/>
  <c r="QH28" i="25"/>
  <c r="QI28" i="25"/>
  <c r="QJ28" i="25"/>
  <c r="QK28" i="25"/>
  <c r="QF28" i="25"/>
  <c r="QG28" i="25"/>
  <c r="QD28" i="25"/>
  <c r="QE28" i="25"/>
  <c r="QA28" i="25"/>
  <c r="QB28" i="25"/>
  <c r="QC28" i="25"/>
  <c r="PZ28" i="25"/>
  <c r="PN28" i="25" l="1"/>
  <c r="PO28" i="25"/>
  <c r="PM28" i="25"/>
  <c r="PL26" i="25"/>
  <c r="C70" i="9" l="1"/>
  <c r="OK28" i="25" l="1"/>
  <c r="OL28" i="25"/>
  <c r="OM28" i="25"/>
  <c r="ON28" i="25"/>
  <c r="OO28" i="25"/>
  <c r="OP28" i="25"/>
  <c r="OQ28" i="25"/>
  <c r="OR28" i="25"/>
  <c r="OS28" i="25"/>
  <c r="OT28" i="25"/>
  <c r="OU28" i="25"/>
  <c r="OV28" i="25"/>
  <c r="OW28" i="25"/>
  <c r="OJ28" i="25"/>
  <c r="C3" i="9" l="1"/>
  <c r="PT26" i="25" l="1"/>
  <c r="K70" i="9" s="1"/>
  <c r="PL27" i="25"/>
  <c r="PN25" i="25"/>
  <c r="C69" i="9" s="1"/>
  <c r="F5" i="25"/>
  <c r="A4" i="9" s="1"/>
  <c r="PY27" i="25"/>
  <c r="P71" i="9" s="1"/>
  <c r="PT27" i="25"/>
  <c r="PS27" i="25"/>
  <c r="J71" i="9" s="1"/>
  <c r="PX28" i="25"/>
  <c r="O72" i="9" s="1"/>
  <c r="PY28" i="25"/>
  <c r="PV28" i="25"/>
  <c r="PU28" i="25"/>
  <c r="PS28" i="25"/>
  <c r="PQ28" i="25"/>
  <c r="H72" i="9" s="1"/>
  <c r="PR28" i="25"/>
  <c r="N28" i="9"/>
  <c r="O28" i="9"/>
  <c r="C71" i="9" l="1"/>
  <c r="K71" i="9"/>
  <c r="QR28" i="25"/>
  <c r="QS28" i="25"/>
  <c r="QV26" i="25"/>
  <c r="W92" i="9" s="1"/>
  <c r="QS26" i="25"/>
  <c r="T92" i="9" s="1"/>
  <c r="RB28" i="25"/>
  <c r="RA28" i="25"/>
  <c r="QY28" i="25"/>
  <c r="QZ28" i="25"/>
  <c r="QV28" i="25"/>
  <c r="QW28" i="25"/>
  <c r="QX28" i="25"/>
  <c r="QT28" i="25"/>
  <c r="QU28" i="25"/>
  <c r="QS30" i="25"/>
  <c r="J5" i="9" l="1"/>
  <c r="J4" i="9"/>
  <c r="NB30" i="25" l="1"/>
  <c r="NA30" i="25"/>
  <c r="UC43" i="25" l="1"/>
  <c r="TQ43" i="25"/>
  <c r="TR43" i="25"/>
  <c r="UD43" i="25"/>
  <c r="NB31" i="25"/>
  <c r="NB32" i="25"/>
  <c r="NB33" i="25"/>
  <c r="NB34" i="25"/>
  <c r="NB35" i="25"/>
  <c r="NB36" i="25"/>
  <c r="NB37" i="25"/>
  <c r="NB38" i="25"/>
  <c r="NB39" i="25"/>
  <c r="NB40" i="25"/>
  <c r="NB41" i="25"/>
  <c r="NA31" i="25"/>
  <c r="NA32" i="25"/>
  <c r="NA33" i="25"/>
  <c r="NA34" i="25"/>
  <c r="NA35" i="25"/>
  <c r="NA36" i="25"/>
  <c r="NA37" i="25"/>
  <c r="NA38" i="25"/>
  <c r="NA39" i="25"/>
  <c r="NA40" i="25"/>
  <c r="NA41" i="25"/>
  <c r="TQ54" i="25" l="1"/>
  <c r="UC54" i="25"/>
  <c r="TQ50" i="25"/>
  <c r="UC50" i="25"/>
  <c r="TQ48" i="25"/>
  <c r="UC48" i="25"/>
  <c r="TQ46" i="25"/>
  <c r="UC46" i="25"/>
  <c r="TQ44" i="25"/>
  <c r="UC44" i="25"/>
  <c r="TQ52" i="25"/>
  <c r="UC52" i="25"/>
  <c r="UC53" i="25"/>
  <c r="TQ53" i="25"/>
  <c r="UC51" i="25"/>
  <c r="TQ51" i="25"/>
  <c r="TQ49" i="25"/>
  <c r="UC49" i="25"/>
  <c r="TQ47" i="25"/>
  <c r="UC47" i="25"/>
  <c r="TQ45" i="25"/>
  <c r="UC45" i="25"/>
  <c r="TR53" i="25"/>
  <c r="UD53" i="25"/>
  <c r="TR51" i="25"/>
  <c r="UD51" i="25"/>
  <c r="TR49" i="25"/>
  <c r="UD49" i="25"/>
  <c r="TR47" i="25"/>
  <c r="UD47" i="25"/>
  <c r="TR45" i="25"/>
  <c r="UD45" i="25"/>
  <c r="NB42" i="25"/>
  <c r="UD54" i="25"/>
  <c r="TR54" i="25"/>
  <c r="UD52" i="25"/>
  <c r="TR52" i="25"/>
  <c r="UD50" i="25"/>
  <c r="TR50" i="25"/>
  <c r="UD48" i="25"/>
  <c r="TR48" i="25"/>
  <c r="UD46" i="25"/>
  <c r="TR46" i="25"/>
  <c r="UD44" i="25"/>
  <c r="TR44" i="25"/>
  <c r="RB30" i="25" l="1"/>
  <c r="OU30" i="25"/>
  <c r="N34" i="9" s="1"/>
  <c r="OV30" i="25" l="1"/>
  <c r="O34" i="9" s="1"/>
  <c r="L10" i="25" l="1"/>
  <c r="OY31" i="25" l="1"/>
  <c r="D56" i="9" s="1"/>
  <c r="OY32" i="25"/>
  <c r="D57" i="9" s="1"/>
  <c r="OY33" i="25"/>
  <c r="D58" i="9" s="1"/>
  <c r="OY34" i="25"/>
  <c r="D59" i="9" s="1"/>
  <c r="OY35" i="25"/>
  <c r="D60" i="9" s="1"/>
  <c r="OY36" i="25"/>
  <c r="D61" i="9" s="1"/>
  <c r="OY37" i="25"/>
  <c r="D62" i="9" s="1"/>
  <c r="OY38" i="25"/>
  <c r="D63" i="9" s="1"/>
  <c r="OY39" i="25"/>
  <c r="D64" i="9" s="1"/>
  <c r="OY40" i="25"/>
  <c r="D65" i="9" s="1"/>
  <c r="OY41" i="25"/>
  <c r="D66" i="9" s="1"/>
  <c r="OY30" i="25"/>
  <c r="D55" i="9" s="1"/>
  <c r="PK30" i="25" l="1"/>
  <c r="P55" i="9" s="1"/>
  <c r="PJ30" i="25"/>
  <c r="O55" i="9" s="1"/>
  <c r="PK32" i="25"/>
  <c r="P57" i="9" s="1"/>
  <c r="PJ32" i="25"/>
  <c r="O57" i="9" s="1"/>
  <c r="PK31" i="25"/>
  <c r="P56" i="9" s="1"/>
  <c r="PJ31" i="25"/>
  <c r="O56" i="9" s="1"/>
  <c r="OY42" i="25"/>
  <c r="D67" i="9" s="1"/>
  <c r="A1" i="9" l="1"/>
  <c r="QO28" i="25" l="1"/>
  <c r="QP28" i="25" l="1"/>
  <c r="QQ28" i="25"/>
  <c r="QO25" i="25"/>
  <c r="K92" i="9" s="1"/>
  <c r="C13" i="25" l="1"/>
  <c r="G15" i="25" l="1"/>
  <c r="Q4" i="9" s="1"/>
  <c r="NO27" i="25" l="1"/>
  <c r="OW42" i="25" l="1"/>
  <c r="P46" i="9" s="1"/>
  <c r="OR42" i="25"/>
  <c r="K46" i="9" s="1"/>
  <c r="OQ42" i="25"/>
  <c r="J46" i="9" s="1"/>
  <c r="OM42" i="25"/>
  <c r="F46" i="9" s="1"/>
  <c r="OL42" i="25"/>
  <c r="E46" i="9" s="1"/>
  <c r="OK42" i="25"/>
  <c r="D46" i="9" s="1"/>
  <c r="OJ42" i="25"/>
  <c r="C46" i="9" s="1"/>
  <c r="OO42" i="25"/>
  <c r="ON42" i="25"/>
  <c r="OW30" i="25"/>
  <c r="P34" i="9" s="1"/>
  <c r="OR30" i="25"/>
  <c r="K34" i="9" s="1"/>
  <c r="OQ30" i="25"/>
  <c r="J34" i="9" s="1"/>
  <c r="OM30" i="25"/>
  <c r="F34" i="9" s="1"/>
  <c r="OL30" i="25"/>
  <c r="E34" i="9" s="1"/>
  <c r="OK30" i="25"/>
  <c r="D34" i="9" s="1"/>
  <c r="OJ30" i="25"/>
  <c r="C34" i="9" s="1"/>
  <c r="ON30" i="25"/>
  <c r="G34" i="9" s="1"/>
  <c r="VE31" i="25" l="1"/>
  <c r="H34" i="9"/>
  <c r="H46" i="9"/>
  <c r="VD31" i="25"/>
  <c r="G46" i="9"/>
  <c r="VC31" i="25"/>
  <c r="VB31" i="25"/>
  <c r="L26" i="9"/>
  <c r="L25" i="9"/>
  <c r="L15" i="9"/>
  <c r="L16" i="9"/>
  <c r="L17" i="9"/>
  <c r="L18" i="9"/>
  <c r="L19" i="9"/>
  <c r="L20" i="9"/>
  <c r="L21" i="9"/>
  <c r="L22" i="9"/>
  <c r="L23" i="9"/>
  <c r="L24" i="9"/>
  <c r="L14" i="9"/>
  <c r="ON31" i="25" l="1"/>
  <c r="G35" i="9" s="1"/>
  <c r="ON32" i="25"/>
  <c r="G36" i="9" s="1"/>
  <c r="ON33" i="25"/>
  <c r="G37" i="9" s="1"/>
  <c r="ON34" i="25"/>
  <c r="G38" i="9" s="1"/>
  <c r="ON35" i="25"/>
  <c r="G39" i="9" s="1"/>
  <c r="ON36" i="25"/>
  <c r="G40" i="9" s="1"/>
  <c r="ON37" i="25"/>
  <c r="G41" i="9" s="1"/>
  <c r="ON38" i="25"/>
  <c r="G42" i="9" s="1"/>
  <c r="ON39" i="25"/>
  <c r="G43" i="9" s="1"/>
  <c r="ON40" i="25"/>
  <c r="G44" i="9" s="1"/>
  <c r="ON41" i="25"/>
  <c r="G45" i="9" s="1"/>
  <c r="R8" i="9" l="1"/>
  <c r="NP28" i="25"/>
  <c r="S9" i="9" s="1"/>
  <c r="NL28" i="25"/>
  <c r="L8" i="9" s="1"/>
  <c r="NM28" i="25"/>
  <c r="M8" i="9" s="1"/>
  <c r="NN28" i="25"/>
  <c r="N8" i="9" s="1"/>
  <c r="G14" i="25" l="1"/>
  <c r="Q3" i="9" s="1"/>
  <c r="OX42" i="25" l="1"/>
  <c r="C67" i="9" s="1"/>
  <c r="RJ25" i="25" l="1"/>
  <c r="A112" i="9" s="1"/>
  <c r="RC25" i="25"/>
  <c r="A92" i="9" s="1"/>
  <c r="QS25" i="25"/>
  <c r="R92" i="9" s="1"/>
  <c r="PL25" i="25"/>
  <c r="A69" i="9" s="1"/>
  <c r="OX25" i="25"/>
  <c r="A48" i="9" s="1"/>
  <c r="OJ25" i="25"/>
  <c r="A28" i="9" s="1"/>
  <c r="NO25" i="25"/>
  <c r="P8" i="9" s="1"/>
  <c r="NC25" i="25"/>
  <c r="A8" i="9" s="1"/>
  <c r="SQ25" i="25"/>
  <c r="SO25" i="25"/>
  <c r="SM25" i="25"/>
  <c r="RU25" i="25"/>
  <c r="RR25" i="25"/>
  <c r="AG69" i="9" s="1"/>
  <c r="RR28" i="25"/>
  <c r="AI69" i="9" s="1"/>
  <c r="SQ31" i="25" l="1"/>
  <c r="SR31" i="25"/>
  <c r="SS31" i="25"/>
  <c r="ST31" i="25"/>
  <c r="SU31" i="25"/>
  <c r="SV31" i="25"/>
  <c r="SW31" i="25"/>
  <c r="SX31" i="25"/>
  <c r="SY31" i="25"/>
  <c r="SZ31" i="25"/>
  <c r="TA31" i="25"/>
  <c r="TB31" i="25"/>
  <c r="TC31" i="25"/>
  <c r="TD31" i="25"/>
  <c r="TE31" i="25"/>
  <c r="TF31" i="25"/>
  <c r="TG31" i="25"/>
  <c r="SQ32" i="25"/>
  <c r="SR32" i="25"/>
  <c r="SS32" i="25"/>
  <c r="ST32" i="25"/>
  <c r="SU32" i="25"/>
  <c r="SV32" i="25"/>
  <c r="SW32" i="25"/>
  <c r="SX32" i="25"/>
  <c r="SY32" i="25"/>
  <c r="SZ32" i="25"/>
  <c r="TA32" i="25"/>
  <c r="TB32" i="25"/>
  <c r="TC32" i="25"/>
  <c r="TD32" i="25"/>
  <c r="TE32" i="25"/>
  <c r="TF32" i="25"/>
  <c r="TG32" i="25"/>
  <c r="SQ33" i="25"/>
  <c r="SR33" i="25"/>
  <c r="SS33" i="25"/>
  <c r="ST33" i="25"/>
  <c r="SU33" i="25"/>
  <c r="SV33" i="25"/>
  <c r="SW33" i="25"/>
  <c r="SX33" i="25"/>
  <c r="SY33" i="25"/>
  <c r="SZ33" i="25"/>
  <c r="TA33" i="25"/>
  <c r="TB33" i="25"/>
  <c r="TC33" i="25"/>
  <c r="TD33" i="25"/>
  <c r="TE33" i="25"/>
  <c r="TF33" i="25"/>
  <c r="TG33" i="25"/>
  <c r="SQ34" i="25"/>
  <c r="SR34" i="25"/>
  <c r="SS34" i="25"/>
  <c r="ST34" i="25"/>
  <c r="SU34" i="25"/>
  <c r="SV34" i="25"/>
  <c r="SW34" i="25"/>
  <c r="SX34" i="25"/>
  <c r="SY34" i="25"/>
  <c r="SZ34" i="25"/>
  <c r="TA34" i="25"/>
  <c r="TB34" i="25"/>
  <c r="TC34" i="25"/>
  <c r="TD34" i="25"/>
  <c r="TE34" i="25"/>
  <c r="TF34" i="25"/>
  <c r="TG34" i="25"/>
  <c r="SQ35" i="25"/>
  <c r="SR35" i="25"/>
  <c r="SS35" i="25"/>
  <c r="ST35" i="25"/>
  <c r="SU35" i="25"/>
  <c r="SV35" i="25"/>
  <c r="SW35" i="25"/>
  <c r="SX35" i="25"/>
  <c r="SY35" i="25"/>
  <c r="SZ35" i="25"/>
  <c r="TA35" i="25"/>
  <c r="TB35" i="25"/>
  <c r="TC35" i="25"/>
  <c r="TD35" i="25"/>
  <c r="TE35" i="25"/>
  <c r="TF35" i="25"/>
  <c r="TG35" i="25"/>
  <c r="SQ36" i="25"/>
  <c r="SR36" i="25"/>
  <c r="SS36" i="25"/>
  <c r="ST36" i="25"/>
  <c r="SU36" i="25"/>
  <c r="SV36" i="25"/>
  <c r="SW36" i="25"/>
  <c r="SX36" i="25"/>
  <c r="SY36" i="25"/>
  <c r="SZ36" i="25"/>
  <c r="TA36" i="25"/>
  <c r="TB36" i="25"/>
  <c r="TC36" i="25"/>
  <c r="TD36" i="25"/>
  <c r="TE36" i="25"/>
  <c r="TF36" i="25"/>
  <c r="TG36" i="25"/>
  <c r="SQ37" i="25"/>
  <c r="SR37" i="25"/>
  <c r="SS37" i="25"/>
  <c r="ST37" i="25"/>
  <c r="SU37" i="25"/>
  <c r="SV37" i="25"/>
  <c r="SW37" i="25"/>
  <c r="SX37" i="25"/>
  <c r="SY37" i="25"/>
  <c r="SZ37" i="25"/>
  <c r="TA37" i="25"/>
  <c r="TB37" i="25"/>
  <c r="TC37" i="25"/>
  <c r="TD37" i="25"/>
  <c r="TE37" i="25"/>
  <c r="TF37" i="25"/>
  <c r="TG37" i="25"/>
  <c r="SQ38" i="25"/>
  <c r="SR38" i="25"/>
  <c r="SS38" i="25"/>
  <c r="ST38" i="25"/>
  <c r="SU38" i="25"/>
  <c r="SV38" i="25"/>
  <c r="SW38" i="25"/>
  <c r="SX38" i="25"/>
  <c r="SY38" i="25"/>
  <c r="SZ38" i="25"/>
  <c r="TA38" i="25"/>
  <c r="TB38" i="25"/>
  <c r="TC38" i="25"/>
  <c r="TD38" i="25"/>
  <c r="TE38" i="25"/>
  <c r="TF38" i="25"/>
  <c r="TG38" i="25"/>
  <c r="SQ39" i="25"/>
  <c r="SR39" i="25"/>
  <c r="SS39" i="25"/>
  <c r="ST39" i="25"/>
  <c r="SU39" i="25"/>
  <c r="SV39" i="25"/>
  <c r="SW39" i="25"/>
  <c r="SX39" i="25"/>
  <c r="SY39" i="25"/>
  <c r="SZ39" i="25"/>
  <c r="TA39" i="25"/>
  <c r="TB39" i="25"/>
  <c r="TC39" i="25"/>
  <c r="TD39" i="25"/>
  <c r="TE39" i="25"/>
  <c r="TF39" i="25"/>
  <c r="TG39" i="25"/>
  <c r="SQ40" i="25"/>
  <c r="SR40" i="25"/>
  <c r="SS40" i="25"/>
  <c r="ST40" i="25"/>
  <c r="SU40" i="25"/>
  <c r="SV40" i="25"/>
  <c r="SW40" i="25"/>
  <c r="SX40" i="25"/>
  <c r="SY40" i="25"/>
  <c r="SZ40" i="25"/>
  <c r="TA40" i="25"/>
  <c r="TB40" i="25"/>
  <c r="TC40" i="25"/>
  <c r="TD40" i="25"/>
  <c r="TE40" i="25"/>
  <c r="TF40" i="25"/>
  <c r="TG40" i="25"/>
  <c r="SQ41" i="25"/>
  <c r="SR41" i="25"/>
  <c r="SS41" i="25"/>
  <c r="ST41" i="25"/>
  <c r="SU41" i="25"/>
  <c r="SV41" i="25"/>
  <c r="SW41" i="25"/>
  <c r="SX41" i="25"/>
  <c r="SY41" i="25"/>
  <c r="SZ41" i="25"/>
  <c r="TA41" i="25"/>
  <c r="TB41" i="25"/>
  <c r="TC41" i="25"/>
  <c r="TD41" i="25"/>
  <c r="TE41" i="25"/>
  <c r="TF41" i="25"/>
  <c r="TG41" i="25"/>
  <c r="TG30" i="25"/>
  <c r="TF30" i="25"/>
  <c r="TE30" i="25"/>
  <c r="TD30" i="25"/>
  <c r="TC30" i="25"/>
  <c r="TB30" i="25"/>
  <c r="TA30" i="25"/>
  <c r="SZ30" i="25"/>
  <c r="SY30" i="25"/>
  <c r="SX30" i="25"/>
  <c r="SW30" i="25"/>
  <c r="SV30" i="25"/>
  <c r="SU30" i="25"/>
  <c r="ST30" i="25"/>
  <c r="SS30" i="25"/>
  <c r="SR30" i="25"/>
  <c r="SQ30" i="25"/>
  <c r="SM31" i="25"/>
  <c r="SM32" i="25"/>
  <c r="SM33" i="25"/>
  <c r="SM34" i="25"/>
  <c r="SM35" i="25"/>
  <c r="SM36" i="25"/>
  <c r="SM37" i="25"/>
  <c r="SM38" i="25"/>
  <c r="SM39" i="25"/>
  <c r="SM40" i="25"/>
  <c r="SM41" i="25"/>
  <c r="SM30" i="25"/>
  <c r="RU31" i="25"/>
  <c r="RV31" i="25"/>
  <c r="RW31" i="25"/>
  <c r="RX31" i="25"/>
  <c r="RY31" i="25"/>
  <c r="RZ31" i="25"/>
  <c r="SA31" i="25"/>
  <c r="SB31" i="25"/>
  <c r="SC31" i="25"/>
  <c r="SD31" i="25"/>
  <c r="SE31" i="25"/>
  <c r="SF31" i="25"/>
  <c r="SG31" i="25"/>
  <c r="SH31" i="25"/>
  <c r="SI31" i="25"/>
  <c r="SJ31" i="25"/>
  <c r="SK31" i="25"/>
  <c r="SL31" i="25"/>
  <c r="RU32" i="25"/>
  <c r="RV32" i="25"/>
  <c r="RW32" i="25"/>
  <c r="RX32" i="25"/>
  <c r="RY32" i="25"/>
  <c r="RZ32" i="25"/>
  <c r="SA32" i="25"/>
  <c r="SB32" i="25"/>
  <c r="SC32" i="25"/>
  <c r="SD32" i="25"/>
  <c r="SE32" i="25"/>
  <c r="SF32" i="25"/>
  <c r="SG32" i="25"/>
  <c r="SH32" i="25"/>
  <c r="SI32" i="25"/>
  <c r="SJ32" i="25"/>
  <c r="SK32" i="25"/>
  <c r="SL32" i="25"/>
  <c r="RU33" i="25"/>
  <c r="RV33" i="25"/>
  <c r="RW33" i="25"/>
  <c r="RX33" i="25"/>
  <c r="RY33" i="25"/>
  <c r="RZ33" i="25"/>
  <c r="SA33" i="25"/>
  <c r="SB33" i="25"/>
  <c r="SC33" i="25"/>
  <c r="SD33" i="25"/>
  <c r="SE33" i="25"/>
  <c r="SF33" i="25"/>
  <c r="SG33" i="25"/>
  <c r="SH33" i="25"/>
  <c r="SI33" i="25"/>
  <c r="SJ33" i="25"/>
  <c r="SK33" i="25"/>
  <c r="SL33" i="25"/>
  <c r="RU34" i="25"/>
  <c r="RV34" i="25"/>
  <c r="RW34" i="25"/>
  <c r="RX34" i="25"/>
  <c r="RY34" i="25"/>
  <c r="RZ34" i="25"/>
  <c r="SA34" i="25"/>
  <c r="SB34" i="25"/>
  <c r="SC34" i="25"/>
  <c r="SD34" i="25"/>
  <c r="SE34" i="25"/>
  <c r="SF34" i="25"/>
  <c r="SG34" i="25"/>
  <c r="SH34" i="25"/>
  <c r="SI34" i="25"/>
  <c r="SJ34" i="25"/>
  <c r="SK34" i="25"/>
  <c r="SL34" i="25"/>
  <c r="RU35" i="25"/>
  <c r="RV35" i="25"/>
  <c r="RW35" i="25"/>
  <c r="RX35" i="25"/>
  <c r="RY35" i="25"/>
  <c r="RZ35" i="25"/>
  <c r="SA35" i="25"/>
  <c r="SB35" i="25"/>
  <c r="SC35" i="25"/>
  <c r="SD35" i="25"/>
  <c r="SE35" i="25"/>
  <c r="SF35" i="25"/>
  <c r="SG35" i="25"/>
  <c r="SH35" i="25"/>
  <c r="SI35" i="25"/>
  <c r="SJ35" i="25"/>
  <c r="SK35" i="25"/>
  <c r="SL35" i="25"/>
  <c r="RU36" i="25"/>
  <c r="RV36" i="25"/>
  <c r="RW36" i="25"/>
  <c r="RX36" i="25"/>
  <c r="RY36" i="25"/>
  <c r="RZ36" i="25"/>
  <c r="SA36" i="25"/>
  <c r="SB36" i="25"/>
  <c r="SC36" i="25"/>
  <c r="SD36" i="25"/>
  <c r="SE36" i="25"/>
  <c r="SF36" i="25"/>
  <c r="SG36" i="25"/>
  <c r="SH36" i="25"/>
  <c r="SI36" i="25"/>
  <c r="SJ36" i="25"/>
  <c r="SK36" i="25"/>
  <c r="SL36" i="25"/>
  <c r="RU37" i="25"/>
  <c r="RV37" i="25"/>
  <c r="RW37" i="25"/>
  <c r="RX37" i="25"/>
  <c r="RY37" i="25"/>
  <c r="RZ37" i="25"/>
  <c r="SA37" i="25"/>
  <c r="SB37" i="25"/>
  <c r="SC37" i="25"/>
  <c r="SD37" i="25"/>
  <c r="SE37" i="25"/>
  <c r="SF37" i="25"/>
  <c r="SG37" i="25"/>
  <c r="SH37" i="25"/>
  <c r="SI37" i="25"/>
  <c r="SJ37" i="25"/>
  <c r="SK37" i="25"/>
  <c r="SL37" i="25"/>
  <c r="RU38" i="25"/>
  <c r="RV38" i="25"/>
  <c r="RW38" i="25"/>
  <c r="RX38" i="25"/>
  <c r="RY38" i="25"/>
  <c r="RZ38" i="25"/>
  <c r="SA38" i="25"/>
  <c r="SB38" i="25"/>
  <c r="SC38" i="25"/>
  <c r="SD38" i="25"/>
  <c r="SE38" i="25"/>
  <c r="SF38" i="25"/>
  <c r="SG38" i="25"/>
  <c r="SH38" i="25"/>
  <c r="SI38" i="25"/>
  <c r="SJ38" i="25"/>
  <c r="SK38" i="25"/>
  <c r="SL38" i="25"/>
  <c r="RU39" i="25"/>
  <c r="RV39" i="25"/>
  <c r="RW39" i="25"/>
  <c r="RX39" i="25"/>
  <c r="RY39" i="25"/>
  <c r="RZ39" i="25"/>
  <c r="SA39" i="25"/>
  <c r="SB39" i="25"/>
  <c r="SC39" i="25"/>
  <c r="SD39" i="25"/>
  <c r="SE39" i="25"/>
  <c r="SF39" i="25"/>
  <c r="SG39" i="25"/>
  <c r="SH39" i="25"/>
  <c r="SI39" i="25"/>
  <c r="SJ39" i="25"/>
  <c r="SK39" i="25"/>
  <c r="SL39" i="25"/>
  <c r="RU40" i="25"/>
  <c r="RV40" i="25"/>
  <c r="RW40" i="25"/>
  <c r="RX40" i="25"/>
  <c r="RY40" i="25"/>
  <c r="RZ40" i="25"/>
  <c r="SA40" i="25"/>
  <c r="SB40" i="25"/>
  <c r="SC40" i="25"/>
  <c r="SD40" i="25"/>
  <c r="SE40" i="25"/>
  <c r="SF40" i="25"/>
  <c r="SG40" i="25"/>
  <c r="SH40" i="25"/>
  <c r="SI40" i="25"/>
  <c r="SJ40" i="25"/>
  <c r="SK40" i="25"/>
  <c r="SL40" i="25"/>
  <c r="RU41" i="25"/>
  <c r="RV41" i="25"/>
  <c r="RW41" i="25"/>
  <c r="RX41" i="25"/>
  <c r="RY41" i="25"/>
  <c r="RZ41" i="25"/>
  <c r="SA41" i="25"/>
  <c r="SB41" i="25"/>
  <c r="SC41" i="25"/>
  <c r="SD41" i="25"/>
  <c r="SE41" i="25"/>
  <c r="SF41" i="25"/>
  <c r="SG41" i="25"/>
  <c r="SH41" i="25"/>
  <c r="SI41" i="25"/>
  <c r="SJ41" i="25"/>
  <c r="SK41" i="25"/>
  <c r="SL41" i="25"/>
  <c r="SL30" i="25"/>
  <c r="SK30" i="25"/>
  <c r="SJ30" i="25"/>
  <c r="SI30" i="25"/>
  <c r="SH30" i="25"/>
  <c r="SG30" i="25"/>
  <c r="SF30" i="25"/>
  <c r="SE30" i="25"/>
  <c r="SD30" i="25"/>
  <c r="SC30" i="25"/>
  <c r="SB30" i="25"/>
  <c r="SA30" i="25"/>
  <c r="RZ30" i="25"/>
  <c r="RY30" i="25"/>
  <c r="RX30" i="25"/>
  <c r="RW30" i="25"/>
  <c r="RV30" i="25"/>
  <c r="RU30" i="25"/>
  <c r="OU31" i="25"/>
  <c r="N35" i="9" s="1"/>
  <c r="OU32" i="25"/>
  <c r="N36" i="9" s="1"/>
  <c r="OU33" i="25"/>
  <c r="N37" i="9" s="1"/>
  <c r="OU34" i="25"/>
  <c r="N38" i="9" s="1"/>
  <c r="OU35" i="25"/>
  <c r="N39" i="9" s="1"/>
  <c r="OU36" i="25"/>
  <c r="N40" i="9" s="1"/>
  <c r="OU37" i="25"/>
  <c r="N41" i="9" s="1"/>
  <c r="OU38" i="25"/>
  <c r="N42" i="9" s="1"/>
  <c r="OU39" i="25"/>
  <c r="N43" i="9" s="1"/>
  <c r="OU40" i="25"/>
  <c r="N44" i="9" s="1"/>
  <c r="OU41" i="25"/>
  <c r="N45" i="9" s="1"/>
  <c r="OQ31" i="25"/>
  <c r="J35" i="9" s="1"/>
  <c r="OR31" i="25"/>
  <c r="K35" i="9" s="1"/>
  <c r="OQ32" i="25"/>
  <c r="J36" i="9" s="1"/>
  <c r="OR32" i="25"/>
  <c r="K36" i="9" s="1"/>
  <c r="OQ33" i="25"/>
  <c r="J37" i="9" s="1"/>
  <c r="OR33" i="25"/>
  <c r="K37" i="9" s="1"/>
  <c r="OQ34" i="25"/>
  <c r="J38" i="9" s="1"/>
  <c r="OR34" i="25"/>
  <c r="K38" i="9" s="1"/>
  <c r="OQ35" i="25"/>
  <c r="J39" i="9" s="1"/>
  <c r="OR35" i="25"/>
  <c r="K39" i="9" s="1"/>
  <c r="OQ36" i="25"/>
  <c r="J40" i="9" s="1"/>
  <c r="OR36" i="25"/>
  <c r="K40" i="9" s="1"/>
  <c r="OQ37" i="25"/>
  <c r="J41" i="9" s="1"/>
  <c r="OR37" i="25"/>
  <c r="K41" i="9" s="1"/>
  <c r="OQ38" i="25"/>
  <c r="J42" i="9" s="1"/>
  <c r="OR38" i="25"/>
  <c r="K42" i="9" s="1"/>
  <c r="OQ39" i="25"/>
  <c r="J43" i="9" s="1"/>
  <c r="OR39" i="25"/>
  <c r="K43" i="9" s="1"/>
  <c r="OQ40" i="25"/>
  <c r="J44" i="9" s="1"/>
  <c r="OR40" i="25"/>
  <c r="K44" i="9" s="1"/>
  <c r="OQ41" i="25"/>
  <c r="J45" i="9" s="1"/>
  <c r="OR41" i="25"/>
  <c r="K45" i="9" s="1"/>
  <c r="NH31" i="25" l="1"/>
  <c r="NH32" i="25"/>
  <c r="NH33" i="25"/>
  <c r="NH34" i="25"/>
  <c r="NH35" i="25"/>
  <c r="NH36" i="25"/>
  <c r="NH37" i="25"/>
  <c r="NH38" i="25"/>
  <c r="NH39" i="25"/>
  <c r="NH40" i="25"/>
  <c r="NH41" i="25"/>
  <c r="NH30" i="25"/>
  <c r="NC30" i="25"/>
  <c r="SN30" i="25" l="1"/>
  <c r="OC30" i="25"/>
  <c r="AF14" i="9" s="1"/>
  <c r="OB30" i="25"/>
  <c r="OD30" i="25"/>
  <c r="AG14" i="9" s="1"/>
  <c r="OA30" i="25"/>
  <c r="AD14" i="9" s="1"/>
  <c r="AE14" i="9" l="1"/>
  <c r="TX43" i="25"/>
  <c r="RI31" i="25"/>
  <c r="RI32" i="25"/>
  <c r="RI33" i="25"/>
  <c r="RI34" i="25"/>
  <c r="RI35" i="25"/>
  <c r="RI36" i="25"/>
  <c r="RI37" i="25"/>
  <c r="RI38" i="25"/>
  <c r="RI39" i="25"/>
  <c r="RI40" i="25"/>
  <c r="RI41" i="25"/>
  <c r="RI30" i="25"/>
  <c r="RH31" i="25"/>
  <c r="RH32" i="25"/>
  <c r="RH33" i="25"/>
  <c r="RH34" i="25"/>
  <c r="RH35" i="25"/>
  <c r="RH36" i="25"/>
  <c r="RH37" i="25"/>
  <c r="RH38" i="25"/>
  <c r="RH39" i="25"/>
  <c r="RH40" i="25"/>
  <c r="RH41" i="25"/>
  <c r="RH30" i="25"/>
  <c r="RG31" i="25"/>
  <c r="RG32" i="25"/>
  <c r="RG33" i="25"/>
  <c r="RG34" i="25"/>
  <c r="RG35" i="25"/>
  <c r="RG36" i="25"/>
  <c r="RG37" i="25"/>
  <c r="RG38" i="25"/>
  <c r="RG39" i="25"/>
  <c r="RG40" i="25"/>
  <c r="RG41" i="25"/>
  <c r="RG30" i="25"/>
  <c r="RF31" i="25"/>
  <c r="RF32" i="25"/>
  <c r="RF33" i="25"/>
  <c r="RF34" i="25"/>
  <c r="RF35" i="25"/>
  <c r="RF36" i="25"/>
  <c r="RF37" i="25"/>
  <c r="RF38" i="25"/>
  <c r="RF39" i="25"/>
  <c r="RF40" i="25"/>
  <c r="RF41" i="25"/>
  <c r="RF30" i="25"/>
  <c r="RE31" i="25"/>
  <c r="RE32" i="25"/>
  <c r="RE33" i="25"/>
  <c r="RE34" i="25"/>
  <c r="RE35" i="25"/>
  <c r="RE36" i="25"/>
  <c r="RE37" i="25"/>
  <c r="RE38" i="25"/>
  <c r="RE39" i="25"/>
  <c r="RE40" i="25"/>
  <c r="RE41" i="25"/>
  <c r="RE30" i="25"/>
  <c r="RD31" i="25"/>
  <c r="RD32" i="25"/>
  <c r="RD33" i="25"/>
  <c r="RD34" i="25"/>
  <c r="RD35" i="25"/>
  <c r="RD36" i="25"/>
  <c r="RD37" i="25"/>
  <c r="RD38" i="25"/>
  <c r="RD39" i="25"/>
  <c r="RD40" i="25"/>
  <c r="RD41" i="25"/>
  <c r="RD30" i="25"/>
  <c r="RC31" i="25"/>
  <c r="RC32" i="25"/>
  <c r="RC33" i="25"/>
  <c r="RC34" i="25"/>
  <c r="RC35" i="25"/>
  <c r="RC36" i="25"/>
  <c r="RC37" i="25"/>
  <c r="RC38" i="25"/>
  <c r="RC39" i="25"/>
  <c r="RC40" i="25"/>
  <c r="RC41" i="25"/>
  <c r="RC30" i="25"/>
  <c r="QS31" i="25"/>
  <c r="QS32" i="25"/>
  <c r="QS33" i="25"/>
  <c r="QS34" i="25"/>
  <c r="QS35" i="25"/>
  <c r="QS36" i="25"/>
  <c r="QS37" i="25"/>
  <c r="QS38" i="25"/>
  <c r="QS39" i="25"/>
  <c r="QS40" i="25"/>
  <c r="QS41" i="25"/>
  <c r="QT31" i="25"/>
  <c r="QT32" i="25"/>
  <c r="QT33" i="25"/>
  <c r="QT34" i="25"/>
  <c r="QT35" i="25"/>
  <c r="QT36" i="25"/>
  <c r="U104" i="9" s="1"/>
  <c r="QT37" i="25"/>
  <c r="QT38" i="25"/>
  <c r="QT39" i="25"/>
  <c r="QT40" i="25"/>
  <c r="QT41" i="25"/>
  <c r="QT30" i="25"/>
  <c r="QU31" i="25"/>
  <c r="QU32" i="25"/>
  <c r="QU33" i="25"/>
  <c r="QU34" i="25"/>
  <c r="QU35" i="25"/>
  <c r="QU36" i="25"/>
  <c r="QU37" i="25"/>
  <c r="QU38" i="25"/>
  <c r="QU39" i="25"/>
  <c r="QU40" i="25"/>
  <c r="QU41" i="25"/>
  <c r="QU30" i="25"/>
  <c r="F9" i="25" l="1"/>
  <c r="OL31" i="25" l="1"/>
  <c r="E35" i="9" s="1"/>
  <c r="OM31" i="25"/>
  <c r="F35" i="9" s="1"/>
  <c r="OL32" i="25"/>
  <c r="E36" i="9" s="1"/>
  <c r="OM32" i="25"/>
  <c r="F36" i="9" s="1"/>
  <c r="OL33" i="25"/>
  <c r="E37" i="9" s="1"/>
  <c r="OM33" i="25"/>
  <c r="F37" i="9" s="1"/>
  <c r="OL34" i="25"/>
  <c r="E38" i="9" s="1"/>
  <c r="OM34" i="25"/>
  <c r="F38" i="9" s="1"/>
  <c r="OL35" i="25"/>
  <c r="E39" i="9" s="1"/>
  <c r="OM35" i="25"/>
  <c r="F39" i="9" s="1"/>
  <c r="OL36" i="25"/>
  <c r="E40" i="9" s="1"/>
  <c r="OM36" i="25"/>
  <c r="F40" i="9" s="1"/>
  <c r="OL37" i="25"/>
  <c r="E41" i="9" s="1"/>
  <c r="OM37" i="25"/>
  <c r="F41" i="9" s="1"/>
  <c r="OL38" i="25"/>
  <c r="E42" i="9" s="1"/>
  <c r="OM38" i="25"/>
  <c r="F42" i="9" s="1"/>
  <c r="OL39" i="25"/>
  <c r="E43" i="9" s="1"/>
  <c r="OM39" i="25"/>
  <c r="F43" i="9" s="1"/>
  <c r="OL40" i="25"/>
  <c r="E44" i="9" s="1"/>
  <c r="OM40" i="25"/>
  <c r="F44" i="9" s="1"/>
  <c r="OL41" i="25"/>
  <c r="E45" i="9" s="1"/>
  <c r="OM41" i="25"/>
  <c r="F45" i="9" s="1"/>
  <c r="NJ42" i="25"/>
  <c r="TL31" i="25" s="1"/>
  <c r="OX31" i="25"/>
  <c r="C56" i="9" s="1"/>
  <c r="OX32" i="25"/>
  <c r="C57" i="9" s="1"/>
  <c r="OX33" i="25"/>
  <c r="C58" i="9" s="1"/>
  <c r="OX34" i="25"/>
  <c r="C59" i="9" s="1"/>
  <c r="OX35" i="25"/>
  <c r="C60" i="9" s="1"/>
  <c r="OX36" i="25"/>
  <c r="C61" i="9" s="1"/>
  <c r="OX37" i="25"/>
  <c r="C62" i="9" s="1"/>
  <c r="OX38" i="25"/>
  <c r="C63" i="9" s="1"/>
  <c r="OX39" i="25"/>
  <c r="C64" i="9" s="1"/>
  <c r="OX40" i="25"/>
  <c r="C65" i="9" s="1"/>
  <c r="OX41" i="25"/>
  <c r="C66" i="9" s="1"/>
  <c r="OX30" i="25"/>
  <c r="C55" i="9" s="1"/>
  <c r="OW31" i="25"/>
  <c r="P35" i="9" s="1"/>
  <c r="OW32" i="25"/>
  <c r="P36" i="9" s="1"/>
  <c r="OW33" i="25"/>
  <c r="P37" i="9" s="1"/>
  <c r="OW34" i="25"/>
  <c r="P38" i="9" s="1"/>
  <c r="OW35" i="25"/>
  <c r="P39" i="9" s="1"/>
  <c r="OW36" i="25"/>
  <c r="P40" i="9" s="1"/>
  <c r="OW37" i="25"/>
  <c r="P41" i="9" s="1"/>
  <c r="OW38" i="25"/>
  <c r="P42" i="9" s="1"/>
  <c r="OW39" i="25"/>
  <c r="P43" i="9" s="1"/>
  <c r="OW40" i="25"/>
  <c r="P44" i="9" s="1"/>
  <c r="OW41" i="25"/>
  <c r="P45" i="9" s="1"/>
  <c r="OK31" i="25"/>
  <c r="D35" i="9" s="1"/>
  <c r="OK32" i="25"/>
  <c r="D36" i="9" s="1"/>
  <c r="OK33" i="25"/>
  <c r="D37" i="9" s="1"/>
  <c r="OK34" i="25"/>
  <c r="D38" i="9" s="1"/>
  <c r="OK35" i="25"/>
  <c r="D39" i="9" s="1"/>
  <c r="OK36" i="25"/>
  <c r="D40" i="9" s="1"/>
  <c r="OK37" i="25"/>
  <c r="D41" i="9" s="1"/>
  <c r="OK38" i="25"/>
  <c r="D42" i="9" s="1"/>
  <c r="OK39" i="25"/>
  <c r="D43" i="9" s="1"/>
  <c r="OK40" i="25"/>
  <c r="D44" i="9" s="1"/>
  <c r="OK41" i="25"/>
  <c r="D45" i="9" s="1"/>
  <c r="OJ31" i="25"/>
  <c r="C35" i="9" s="1"/>
  <c r="OJ32" i="25"/>
  <c r="C36" i="9" s="1"/>
  <c r="OJ33" i="25"/>
  <c r="C37" i="9" s="1"/>
  <c r="OJ34" i="25"/>
  <c r="C38" i="9" s="1"/>
  <c r="OJ35" i="25"/>
  <c r="C39" i="9" s="1"/>
  <c r="OJ36" i="25"/>
  <c r="C40" i="9" s="1"/>
  <c r="OJ37" i="25"/>
  <c r="C41" i="9" s="1"/>
  <c r="OJ38" i="25"/>
  <c r="C42" i="9" s="1"/>
  <c r="OJ39" i="25"/>
  <c r="C43" i="9" s="1"/>
  <c r="OJ40" i="25"/>
  <c r="C44" i="9" s="1"/>
  <c r="OJ41" i="25"/>
  <c r="C45" i="9" s="1"/>
  <c r="NM31" i="25"/>
  <c r="NM32" i="25"/>
  <c r="NM33" i="25"/>
  <c r="NM34" i="25"/>
  <c r="NM35" i="25"/>
  <c r="NM36" i="25"/>
  <c r="NM37" i="25"/>
  <c r="NM38" i="25"/>
  <c r="NM39" i="25"/>
  <c r="NM40" i="25"/>
  <c r="NM41" i="25"/>
  <c r="NJ31" i="25"/>
  <c r="NJ32" i="25"/>
  <c r="NJ33" i="25"/>
  <c r="NJ34" i="25"/>
  <c r="NJ35" i="25"/>
  <c r="NJ36" i="25"/>
  <c r="NJ37" i="25"/>
  <c r="NJ38" i="25"/>
  <c r="NJ39" i="25"/>
  <c r="NJ40" i="25"/>
  <c r="NJ41" i="25"/>
  <c r="NM30" i="25"/>
  <c r="NJ30" i="25"/>
  <c r="F11" i="25" l="1"/>
  <c r="H4" i="9" s="1"/>
  <c r="F12" i="25"/>
  <c r="H5" i="9" s="1"/>
  <c r="F10" i="25"/>
  <c r="H3" i="9" s="1"/>
  <c r="F14" i="25"/>
  <c r="O3" i="9" s="1"/>
  <c r="F15" i="25"/>
  <c r="O4" i="9" s="1"/>
  <c r="F4" i="25"/>
  <c r="A3" i="9" s="1"/>
  <c r="RK26" i="25" l="1"/>
  <c r="C112" i="9" s="1"/>
  <c r="SN28" i="25" l="1"/>
  <c r="SM28" i="25"/>
  <c r="RV28" i="25"/>
  <c r="RW28" i="25"/>
  <c r="RX28" i="25"/>
  <c r="RY28" i="25"/>
  <c r="RZ28" i="25"/>
  <c r="SA28" i="25"/>
  <c r="SB28" i="25"/>
  <c r="SC28" i="25"/>
  <c r="SD28" i="25"/>
  <c r="SE28" i="25"/>
  <c r="SF28" i="25"/>
  <c r="SG28" i="25"/>
  <c r="SH28" i="25"/>
  <c r="SI28" i="25"/>
  <c r="SJ28" i="25"/>
  <c r="SK28" i="25"/>
  <c r="SL28" i="25"/>
  <c r="RU28" i="25"/>
  <c r="RU27" i="25"/>
  <c r="RP28" i="25"/>
  <c r="E113" i="9" s="1"/>
  <c r="RQ28" i="25"/>
  <c r="F113" i="9" s="1"/>
  <c r="RI27" i="25"/>
  <c r="I92" i="9" s="1"/>
  <c r="RF27" i="25"/>
  <c r="F92" i="9" s="1"/>
  <c r="RC27" i="25"/>
  <c r="C92" i="9" s="1"/>
  <c r="RC28" i="25"/>
  <c r="C93" i="9" s="1"/>
  <c r="W93" i="9"/>
  <c r="X93" i="9"/>
  <c r="Y93" i="9"/>
  <c r="Z93" i="9"/>
  <c r="AA93" i="9"/>
  <c r="AB93" i="9"/>
  <c r="AC92" i="9"/>
  <c r="V93" i="9"/>
  <c r="U93" i="9"/>
  <c r="T93" i="9"/>
  <c r="X69" i="9"/>
  <c r="U69" i="9"/>
  <c r="Q69" i="9"/>
  <c r="AE69" i="9" l="1"/>
  <c r="AD69" i="9"/>
  <c r="AC69" i="9"/>
  <c r="AB69" i="9"/>
  <c r="AA69" i="9"/>
  <c r="Z69" i="9"/>
  <c r="Y71" i="9"/>
  <c r="X71" i="9"/>
  <c r="W70" i="9"/>
  <c r="V70" i="9"/>
  <c r="U70" i="9"/>
  <c r="S70" i="9"/>
  <c r="R70" i="9"/>
  <c r="P72" i="9"/>
  <c r="J72" i="9"/>
  <c r="M72" i="9"/>
  <c r="L72" i="9"/>
  <c r="I72" i="9"/>
  <c r="F72" i="9"/>
  <c r="E72" i="9"/>
  <c r="SP28" i="25"/>
  <c r="SO28" i="25"/>
  <c r="SL27" i="25"/>
  <c r="SK27" i="25"/>
  <c r="SJ27" i="25"/>
  <c r="SI27" i="25"/>
  <c r="SH27" i="25"/>
  <c r="SG27" i="25"/>
  <c r="SF27" i="25"/>
  <c r="SE27" i="25"/>
  <c r="SD27" i="25"/>
  <c r="SC27" i="25"/>
  <c r="SB27" i="25"/>
  <c r="SA27" i="25"/>
  <c r="RZ27" i="25"/>
  <c r="RY27" i="25"/>
  <c r="RX27" i="25"/>
  <c r="RW27" i="25"/>
  <c r="RV27" i="25"/>
  <c r="RT28" i="25"/>
  <c r="AK69" i="9" s="1"/>
  <c r="RS28" i="25"/>
  <c r="AJ69" i="9" s="1"/>
  <c r="RI28" i="25"/>
  <c r="I93" i="9" s="1"/>
  <c r="RH28" i="25"/>
  <c r="H93" i="9" s="1"/>
  <c r="RG28" i="25"/>
  <c r="G93" i="9" s="1"/>
  <c r="RF28" i="25"/>
  <c r="F93" i="9" s="1"/>
  <c r="RE28" i="25"/>
  <c r="E93" i="9" s="1"/>
  <c r="RD28" i="25"/>
  <c r="D93" i="9" s="1"/>
  <c r="P92" i="9"/>
  <c r="M28" i="9"/>
  <c r="L28" i="9"/>
  <c r="M92" i="9"/>
  <c r="N92" i="9"/>
  <c r="O92" i="9"/>
  <c r="P48" i="9"/>
  <c r="O48" i="9"/>
  <c r="PI28" i="25"/>
  <c r="N48" i="9" s="1"/>
  <c r="PH28" i="25"/>
  <c r="M48" i="9" s="1"/>
  <c r="PG28" i="25"/>
  <c r="L48" i="9" s="1"/>
  <c r="PE28" i="25"/>
  <c r="J48" i="9" s="1"/>
  <c r="PF28" i="25"/>
  <c r="K48" i="9" s="1"/>
  <c r="PD28" i="25"/>
  <c r="I48" i="9" s="1"/>
  <c r="PC28" i="25"/>
  <c r="H48" i="9" s="1"/>
  <c r="PB28" i="25"/>
  <c r="G48" i="9" s="1"/>
  <c r="OZ28" i="25"/>
  <c r="E48" i="9" s="1"/>
  <c r="OY28" i="25"/>
  <c r="D48" i="9" s="1"/>
  <c r="PA28" i="25"/>
  <c r="F48" i="9" s="1"/>
  <c r="OX28" i="25"/>
  <c r="C48" i="9" s="1"/>
  <c r="P28" i="9"/>
  <c r="K28" i="9"/>
  <c r="J28" i="9"/>
  <c r="F28" i="9"/>
  <c r="E28" i="9"/>
  <c r="D28" i="9"/>
  <c r="C28" i="9"/>
  <c r="I28" i="9"/>
  <c r="H28" i="9"/>
  <c r="G28" i="9"/>
  <c r="OI28" i="25"/>
  <c r="AL8" i="9" s="1"/>
  <c r="OG28" i="25"/>
  <c r="AJ9" i="9" s="1"/>
  <c r="OF28" i="25"/>
  <c r="AI9" i="9" s="1"/>
  <c r="OE28" i="25"/>
  <c r="AH9" i="9" s="1"/>
  <c r="OD28" i="25"/>
  <c r="AG8" i="9" s="1"/>
  <c r="OC28" i="25"/>
  <c r="AF8" i="9" s="1"/>
  <c r="OB28" i="25"/>
  <c r="AE8" i="9" s="1"/>
  <c r="OA28" i="25"/>
  <c r="NY28" i="25"/>
  <c r="AB9" i="9" s="1"/>
  <c r="NW28" i="25"/>
  <c r="Z9" i="9" s="1"/>
  <c r="NV28" i="25"/>
  <c r="Y9" i="9" s="1"/>
  <c r="NT28" i="25"/>
  <c r="W9" i="9" s="1"/>
  <c r="NS28" i="25"/>
  <c r="V9" i="9" s="1"/>
  <c r="NR28" i="25"/>
  <c r="U9" i="9" s="1"/>
  <c r="NQ28" i="25"/>
  <c r="OD27" i="25"/>
  <c r="AH8" i="9" s="1"/>
  <c r="NY27" i="25"/>
  <c r="AB8" i="9" s="1"/>
  <c r="NW27" i="25"/>
  <c r="Z8" i="9" s="1"/>
  <c r="NQ27" i="25"/>
  <c r="T8" i="9" s="1"/>
  <c r="NK28" i="25"/>
  <c r="K8" i="9" s="1"/>
  <c r="NJ28" i="25"/>
  <c r="J8" i="9" s="1"/>
  <c r="NI28" i="25"/>
  <c r="I8" i="9" s="1"/>
  <c r="NH28" i="25"/>
  <c r="H8" i="9" s="1"/>
  <c r="NG28" i="25"/>
  <c r="G8" i="9" s="1"/>
  <c r="NF28" i="25"/>
  <c r="F8" i="9" s="1"/>
  <c r="NE28" i="25"/>
  <c r="E8" i="9" s="1"/>
  <c r="ND28" i="25"/>
  <c r="D8" i="9" s="1"/>
  <c r="NC28" i="25"/>
  <c r="C8" i="9" s="1"/>
  <c r="L20" i="25" l="1"/>
  <c r="L19" i="25"/>
  <c r="L18" i="25"/>
  <c r="L17" i="25"/>
  <c r="L16" i="25"/>
  <c r="L15" i="25"/>
  <c r="L14" i="25"/>
  <c r="L13" i="25"/>
  <c r="L12" i="25"/>
  <c r="L11" i="25"/>
  <c r="L9" i="25"/>
  <c r="L8" i="25"/>
  <c r="L7" i="25"/>
  <c r="L6" i="25"/>
  <c r="L4" i="25"/>
  <c r="L5" i="25"/>
  <c r="O6" i="25" l="1"/>
  <c r="O5" i="25"/>
  <c r="NR30" i="25" s="1"/>
  <c r="NQ25" i="25"/>
  <c r="OY25" i="25"/>
  <c r="O7" i="25"/>
  <c r="OK25" i="25"/>
  <c r="O4" i="25"/>
  <c r="O8" i="25"/>
  <c r="PM25" i="25"/>
  <c r="PW28" i="25" s="1"/>
  <c r="ND25" i="25"/>
  <c r="O9" i="25"/>
  <c r="PT30" i="25"/>
  <c r="QN32" i="25" l="1"/>
  <c r="QN36" i="25"/>
  <c r="QN40" i="25"/>
  <c r="QN41" i="25"/>
  <c r="QN39" i="25"/>
  <c r="QN33" i="25"/>
  <c r="QN37" i="25"/>
  <c r="QN35" i="25"/>
  <c r="QN34" i="25"/>
  <c r="QN38" i="25"/>
  <c r="QN30" i="25"/>
  <c r="QN31" i="25"/>
  <c r="PP28" i="25"/>
  <c r="G72" i="9" s="1"/>
  <c r="PE31" i="25"/>
  <c r="PE35" i="25"/>
  <c r="J60" i="9" s="1"/>
  <c r="PE39" i="25"/>
  <c r="J64" i="9" s="1"/>
  <c r="PE38" i="25"/>
  <c r="J63" i="9" s="1"/>
  <c r="PE32" i="25"/>
  <c r="PE36" i="25"/>
  <c r="J61" i="9" s="1"/>
  <c r="PE40" i="25"/>
  <c r="J65" i="9" s="1"/>
  <c r="PE33" i="25"/>
  <c r="J58" i="9" s="1"/>
  <c r="PE37" i="25"/>
  <c r="J62" i="9" s="1"/>
  <c r="PE41" i="25"/>
  <c r="J66" i="9" s="1"/>
  <c r="PE34" i="25"/>
  <c r="J59" i="9" s="1"/>
  <c r="PE30" i="25"/>
  <c r="OH28" i="25"/>
  <c r="AK9" i="9" s="1"/>
  <c r="OI30" i="25"/>
  <c r="PS41" i="25"/>
  <c r="PX33" i="25"/>
  <c r="O80" i="9" s="1"/>
  <c r="PX35" i="25"/>
  <c r="O82" i="9" s="1"/>
  <c r="PX37" i="25"/>
  <c r="O84" i="9" s="1"/>
  <c r="PX39" i="25"/>
  <c r="O86" i="9" s="1"/>
  <c r="PX41" i="25"/>
  <c r="O88" i="9" s="1"/>
  <c r="PQ40" i="25"/>
  <c r="H87" i="9" s="1"/>
  <c r="PQ38" i="25"/>
  <c r="H85" i="9" s="1"/>
  <c r="PQ36" i="25"/>
  <c r="H83" i="9" s="1"/>
  <c r="PQ34" i="25"/>
  <c r="H81" i="9" s="1"/>
  <c r="PQ32" i="25"/>
  <c r="H79" i="9" s="1"/>
  <c r="PQ30" i="25"/>
  <c r="H77" i="9" s="1"/>
  <c r="PX32" i="25"/>
  <c r="O79" i="9" s="1"/>
  <c r="PX34" i="25"/>
  <c r="O81" i="9" s="1"/>
  <c r="PX36" i="25"/>
  <c r="O83" i="9" s="1"/>
  <c r="PX38" i="25"/>
  <c r="O85" i="9" s="1"/>
  <c r="PX40" i="25"/>
  <c r="O87" i="9" s="1"/>
  <c r="PX31" i="25"/>
  <c r="O78" i="9" s="1"/>
  <c r="PQ41" i="25"/>
  <c r="H88" i="9" s="1"/>
  <c r="PQ39" i="25"/>
  <c r="H86" i="9" s="1"/>
  <c r="PQ37" i="25"/>
  <c r="H84" i="9" s="1"/>
  <c r="PQ35" i="25"/>
  <c r="H82" i="9" s="1"/>
  <c r="PQ33" i="25"/>
  <c r="H80" i="9" s="1"/>
  <c r="PQ31" i="25"/>
  <c r="H78" i="9" s="1"/>
  <c r="PR30" i="25"/>
  <c r="PX30" i="25"/>
  <c r="O77" i="9" s="1"/>
  <c r="NX28" i="25"/>
  <c r="AA9" i="9" s="1"/>
  <c r="NZ28" i="25"/>
  <c r="AC9" i="9" s="1"/>
  <c r="N72" i="9"/>
  <c r="PT28" i="25"/>
  <c r="K72" i="9" s="1"/>
  <c r="PL28" i="25"/>
  <c r="C72" i="9" s="1"/>
  <c r="NP30" i="25"/>
  <c r="S14" i="9" s="1"/>
  <c r="QL30" i="25"/>
  <c r="AC77" i="9" s="1"/>
  <c r="NU28" i="25"/>
  <c r="X9" i="9" s="1"/>
  <c r="NO28" i="25"/>
  <c r="R9" i="9" s="1"/>
  <c r="NQ30" i="25"/>
  <c r="T14" i="9" s="1"/>
  <c r="NY30" i="25"/>
  <c r="AB14" i="9" s="1"/>
  <c r="NU30" i="25"/>
  <c r="X14" i="9" s="1"/>
  <c r="NS30" i="25"/>
  <c r="V14" i="9" s="1"/>
  <c r="U14" i="9"/>
  <c r="OG30" i="25"/>
  <c r="AJ14" i="9" s="1"/>
  <c r="NT30" i="25"/>
  <c r="NX30" i="25"/>
  <c r="AA14" i="9" s="1"/>
  <c r="OF30" i="25"/>
  <c r="AI14" i="9" s="1"/>
  <c r="OE30" i="25"/>
  <c r="AH14" i="9" s="1"/>
  <c r="D72" i="9"/>
  <c r="Q70" i="9"/>
  <c r="T69" i="9"/>
  <c r="T9" i="9"/>
  <c r="AD8" i="9"/>
  <c r="PW41" i="25"/>
  <c r="PP41" i="25"/>
  <c r="PW40" i="25"/>
  <c r="PP40" i="25"/>
  <c r="PP39" i="25"/>
  <c r="PW39" i="25"/>
  <c r="PW38" i="25"/>
  <c r="PP38" i="25"/>
  <c r="PW37" i="25"/>
  <c r="PP37" i="25"/>
  <c r="PP36" i="25"/>
  <c r="PW36" i="25"/>
  <c r="PP35" i="25"/>
  <c r="PW35" i="25"/>
  <c r="PP34" i="25"/>
  <c r="PW34" i="25"/>
  <c r="PP33" i="25"/>
  <c r="PW33" i="25"/>
  <c r="PP32" i="25"/>
  <c r="PW32" i="25"/>
  <c r="PP31" i="25"/>
  <c r="PW31" i="25"/>
  <c r="PP30" i="25"/>
  <c r="PW30" i="25"/>
  <c r="NW30" i="25"/>
  <c r="QB35" i="25"/>
  <c r="QB41" i="25"/>
  <c r="QB39" i="25"/>
  <c r="NO30" i="25"/>
  <c r="QB32" i="25"/>
  <c r="PG36" i="25"/>
  <c r="PG32" i="25"/>
  <c r="PG41" i="25"/>
  <c r="PG33" i="25"/>
  <c r="QB36" i="25"/>
  <c r="PG38" i="25"/>
  <c r="QB37" i="25"/>
  <c r="QB38" i="25"/>
  <c r="NV30" i="25"/>
  <c r="PG37" i="25"/>
  <c r="NZ30" i="25"/>
  <c r="QB30" i="25"/>
  <c r="QB40" i="25"/>
  <c r="PG30" i="25"/>
  <c r="QB33" i="25"/>
  <c r="OH30" i="25"/>
  <c r="QB34" i="25"/>
  <c r="PG31" i="25"/>
  <c r="QB31" i="25"/>
  <c r="PT41" i="25"/>
  <c r="PL41" i="25"/>
  <c r="PT40" i="25"/>
  <c r="PL40" i="25"/>
  <c r="PL39" i="25"/>
  <c r="PT39" i="25"/>
  <c r="PT38" i="25"/>
  <c r="PL38" i="25"/>
  <c r="PL37" i="25"/>
  <c r="PT37" i="25"/>
  <c r="PT36" i="25"/>
  <c r="PL36" i="25"/>
  <c r="PL35" i="25"/>
  <c r="PT35" i="25"/>
  <c r="PT34" i="25"/>
  <c r="PL34" i="25"/>
  <c r="PL33" i="25"/>
  <c r="PT33" i="25"/>
  <c r="PL32" i="25"/>
  <c r="PT32" i="25"/>
  <c r="PL31" i="25"/>
  <c r="PT31" i="25"/>
  <c r="PL30" i="25"/>
  <c r="J57" i="9" l="1"/>
  <c r="PF32" i="25"/>
  <c r="K57" i="9" s="1"/>
  <c r="J56" i="9"/>
  <c r="PF31" i="25"/>
  <c r="K56" i="9" s="1"/>
  <c r="J55" i="9"/>
  <c r="PF30" i="25"/>
  <c r="K55" i="9" s="1"/>
  <c r="PE42" i="25"/>
  <c r="L62" i="9"/>
  <c r="L56" i="9"/>
  <c r="L55" i="9"/>
  <c r="L58" i="9"/>
  <c r="L66" i="9"/>
  <c r="L63" i="9"/>
  <c r="L57" i="9"/>
  <c r="L61" i="9"/>
  <c r="C87" i="9"/>
  <c r="C82" i="9"/>
  <c r="C88" i="9"/>
  <c r="C78" i="9"/>
  <c r="S77" i="9"/>
  <c r="C83" i="9"/>
  <c r="C77" i="9"/>
  <c r="Z14" i="9"/>
  <c r="AC14" i="9"/>
  <c r="C86" i="9"/>
  <c r="C84" i="9"/>
  <c r="C81" i="9"/>
  <c r="C80" i="9"/>
  <c r="R14" i="9"/>
  <c r="AK14" i="9"/>
  <c r="C85" i="9"/>
  <c r="PQ42" i="25"/>
  <c r="H89" i="9" s="1"/>
  <c r="C79" i="9"/>
  <c r="PX42" i="25"/>
  <c r="O89" i="9" s="1"/>
  <c r="PP42" i="25"/>
  <c r="PW42" i="25"/>
  <c r="Y14" i="9"/>
  <c r="W14" i="9"/>
  <c r="UF43" i="25"/>
  <c r="PG35" i="25"/>
  <c r="PG39" i="25"/>
  <c r="PG42" i="25"/>
  <c r="PG34" i="25"/>
  <c r="PG40" i="25"/>
  <c r="L60" i="9" l="1"/>
  <c r="L65" i="9"/>
  <c r="L64" i="9"/>
  <c r="L59" i="9"/>
  <c r="L67" i="9"/>
  <c r="J67" i="9"/>
  <c r="NF30" i="25"/>
  <c r="AL14" i="9"/>
  <c r="RR30" i="25"/>
  <c r="NN30" i="25"/>
  <c r="PV31" i="25" l="1"/>
  <c r="M78" i="9" s="1"/>
  <c r="PV32" i="25"/>
  <c r="M79" i="9" s="1"/>
  <c r="PV33" i="25"/>
  <c r="M80" i="9" s="1"/>
  <c r="PV34" i="25"/>
  <c r="M81" i="9" s="1"/>
  <c r="PV35" i="25"/>
  <c r="M82" i="9" s="1"/>
  <c r="PV36" i="25"/>
  <c r="M83" i="9" s="1"/>
  <c r="PV37" i="25"/>
  <c r="M84" i="9" s="1"/>
  <c r="PV38" i="25"/>
  <c r="M85" i="9" s="1"/>
  <c r="PV39" i="25"/>
  <c r="M86" i="9" s="1"/>
  <c r="PV40" i="25"/>
  <c r="M87" i="9" s="1"/>
  <c r="PV41" i="25"/>
  <c r="M88" i="9" s="1"/>
  <c r="PV30" i="25"/>
  <c r="M77" i="9" s="1"/>
  <c r="PN31" i="25"/>
  <c r="E78" i="9" s="1"/>
  <c r="PN32" i="25"/>
  <c r="E79" i="9" s="1"/>
  <c r="PN33" i="25"/>
  <c r="E80" i="9" s="1"/>
  <c r="PN34" i="25"/>
  <c r="E81" i="9" s="1"/>
  <c r="PN35" i="25"/>
  <c r="E82" i="9" s="1"/>
  <c r="PN36" i="25"/>
  <c r="E83" i="9" s="1"/>
  <c r="PN37" i="25"/>
  <c r="E84" i="9" s="1"/>
  <c r="PN38" i="25"/>
  <c r="E85" i="9" s="1"/>
  <c r="PN39" i="25"/>
  <c r="E86" i="9" s="1"/>
  <c r="PN40" i="25"/>
  <c r="E87" i="9" s="1"/>
  <c r="PN41" i="25"/>
  <c r="E88" i="9" s="1"/>
  <c r="PN30" i="25"/>
  <c r="E77" i="9" s="1"/>
  <c r="SP30" i="25" l="1"/>
  <c r="SP38" i="25"/>
  <c r="SP34" i="25"/>
  <c r="H25" i="9"/>
  <c r="SP41" i="25"/>
  <c r="H21" i="9"/>
  <c r="SP37" i="25"/>
  <c r="H17" i="9"/>
  <c r="SP33" i="25"/>
  <c r="H24" i="9"/>
  <c r="SP40" i="25"/>
  <c r="H20" i="9"/>
  <c r="SP36" i="25"/>
  <c r="SP32" i="25"/>
  <c r="SP39" i="25"/>
  <c r="SP35" i="25"/>
  <c r="SP31" i="25"/>
  <c r="PN42" i="25"/>
  <c r="H16" i="9"/>
  <c r="NH42" i="25"/>
  <c r="H26" i="9" s="1"/>
  <c r="H23" i="9"/>
  <c r="H19" i="9"/>
  <c r="H15" i="9"/>
  <c r="H22" i="9"/>
  <c r="H18" i="9"/>
  <c r="H14" i="9"/>
  <c r="E89" i="9" l="1"/>
  <c r="QE31" i="25" l="1"/>
  <c r="V78" i="9" s="1"/>
  <c r="QF31" i="25"/>
  <c r="W78" i="9" s="1"/>
  <c r="QE32" i="25"/>
  <c r="V79" i="9" s="1"/>
  <c r="QF32" i="25"/>
  <c r="W79" i="9" s="1"/>
  <c r="QE33" i="25"/>
  <c r="V80" i="9" s="1"/>
  <c r="QF33" i="25"/>
  <c r="W80" i="9" s="1"/>
  <c r="QE34" i="25"/>
  <c r="V81" i="9" s="1"/>
  <c r="QF34" i="25"/>
  <c r="W81" i="9" s="1"/>
  <c r="QE35" i="25"/>
  <c r="V82" i="9" s="1"/>
  <c r="QF35" i="25"/>
  <c r="W82" i="9" s="1"/>
  <c r="QE36" i="25"/>
  <c r="V83" i="9" s="1"/>
  <c r="QF36" i="25"/>
  <c r="W83" i="9" s="1"/>
  <c r="QE37" i="25"/>
  <c r="V84" i="9" s="1"/>
  <c r="QF37" i="25"/>
  <c r="W84" i="9" s="1"/>
  <c r="QE38" i="25"/>
  <c r="V85" i="9" s="1"/>
  <c r="QF38" i="25"/>
  <c r="W85" i="9" s="1"/>
  <c r="QE39" i="25"/>
  <c r="V86" i="9" s="1"/>
  <c r="QF39" i="25"/>
  <c r="W86" i="9" s="1"/>
  <c r="QE40" i="25"/>
  <c r="V87" i="9" s="1"/>
  <c r="QF40" i="25"/>
  <c r="W87" i="9" s="1"/>
  <c r="QE41" i="25"/>
  <c r="V88" i="9" s="1"/>
  <c r="QF41" i="25"/>
  <c r="W88" i="9" s="1"/>
  <c r="QF30" i="25"/>
  <c r="W77" i="9" s="1"/>
  <c r="QE30" i="25"/>
  <c r="V77" i="9" s="1"/>
  <c r="OZ31" i="25"/>
  <c r="OZ32" i="25"/>
  <c r="OZ33" i="25"/>
  <c r="OZ34" i="25"/>
  <c r="OZ35" i="25"/>
  <c r="OZ36" i="25"/>
  <c r="OZ37" i="25"/>
  <c r="OZ38" i="25"/>
  <c r="OZ39" i="25"/>
  <c r="OZ40" i="25"/>
  <c r="OZ41" i="25"/>
  <c r="OZ30" i="25"/>
  <c r="E63" i="9" l="1"/>
  <c r="E62" i="9"/>
  <c r="E58" i="9"/>
  <c r="E55" i="9"/>
  <c r="E66" i="9"/>
  <c r="E65" i="9"/>
  <c r="E61" i="9"/>
  <c r="E57" i="9"/>
  <c r="E59" i="9"/>
  <c r="E64" i="9"/>
  <c r="E60" i="9"/>
  <c r="E56" i="9"/>
  <c r="OZ42" i="25"/>
  <c r="PA30" i="25"/>
  <c r="F55" i="9" s="1"/>
  <c r="QF42" i="25"/>
  <c r="PF42" i="25"/>
  <c r="PA41" i="25"/>
  <c r="F66" i="9" s="1"/>
  <c r="PA31" i="25"/>
  <c r="F56" i="9" s="1"/>
  <c r="PA32" i="25"/>
  <c r="F57" i="9" s="1"/>
  <c r="PA33" i="25"/>
  <c r="F58" i="9" s="1"/>
  <c r="PA34" i="25"/>
  <c r="F59" i="9" s="1"/>
  <c r="PA35" i="25"/>
  <c r="F60" i="9" s="1"/>
  <c r="PA36" i="25"/>
  <c r="F61" i="9" s="1"/>
  <c r="PA37" i="25"/>
  <c r="F62" i="9" s="1"/>
  <c r="PA38" i="25"/>
  <c r="F63" i="9" s="1"/>
  <c r="PA39" i="25"/>
  <c r="F64" i="9" s="1"/>
  <c r="PA40" i="25"/>
  <c r="F65" i="9" s="1"/>
  <c r="PC41" i="25"/>
  <c r="PD41" i="25"/>
  <c r="PD40" i="25"/>
  <c r="PC40" i="25"/>
  <c r="PD39" i="25"/>
  <c r="PC39" i="25"/>
  <c r="PD38" i="25"/>
  <c r="PC38" i="25"/>
  <c r="PC37" i="25"/>
  <c r="PD37" i="25"/>
  <c r="PC36" i="25"/>
  <c r="PD36" i="25"/>
  <c r="PD35" i="25"/>
  <c r="PC35" i="25"/>
  <c r="PD34" i="25"/>
  <c r="PC34" i="25"/>
  <c r="PD33" i="25"/>
  <c r="PC33" i="25"/>
  <c r="PC32" i="25"/>
  <c r="PD32" i="25"/>
  <c r="PC31" i="25"/>
  <c r="PD31" i="25"/>
  <c r="PC30" i="25"/>
  <c r="PD30" i="25"/>
  <c r="PB41" i="25"/>
  <c r="PB40" i="25"/>
  <c r="PB39" i="25"/>
  <c r="PB38" i="25"/>
  <c r="PB37" i="25"/>
  <c r="PB36" i="25"/>
  <c r="PB35" i="25"/>
  <c r="PB34" i="25"/>
  <c r="PB33" i="25"/>
  <c r="PB32" i="25"/>
  <c r="PB31" i="25"/>
  <c r="PB30" i="25"/>
  <c r="E67" i="9" l="1"/>
  <c r="VK31" i="25"/>
  <c r="VN32" i="25" s="1"/>
  <c r="K67" i="9"/>
  <c r="G55" i="9"/>
  <c r="G56" i="9"/>
  <c r="G60" i="9"/>
  <c r="I64" i="9"/>
  <c r="G61" i="9"/>
  <c r="G65" i="9"/>
  <c r="I61" i="9"/>
  <c r="G66" i="9"/>
  <c r="G58" i="9"/>
  <c r="I65" i="9"/>
  <c r="H66" i="9"/>
  <c r="I59" i="9"/>
  <c r="I63" i="9"/>
  <c r="H62" i="9"/>
  <c r="G57" i="9"/>
  <c r="I62" i="9"/>
  <c r="I56" i="9"/>
  <c r="G59" i="9"/>
  <c r="I66" i="9"/>
  <c r="I57" i="9"/>
  <c r="G63" i="9"/>
  <c r="H59" i="9"/>
  <c r="H63" i="9"/>
  <c r="H65" i="9"/>
  <c r="I55" i="9"/>
  <c r="I58" i="9"/>
  <c r="G64" i="9"/>
  <c r="G62" i="9"/>
  <c r="H58" i="9"/>
  <c r="H55" i="9"/>
  <c r="H57" i="9"/>
  <c r="I60" i="9"/>
  <c r="H56" i="9"/>
  <c r="H61" i="9"/>
  <c r="H64" i="9"/>
  <c r="H60" i="9"/>
  <c r="W89" i="9"/>
  <c r="PA42" i="25"/>
  <c r="PJ33" i="25"/>
  <c r="O58" i="9" s="1"/>
  <c r="PK33" i="25"/>
  <c r="P58" i="9" s="1"/>
  <c r="PJ34" i="25"/>
  <c r="O59" i="9" s="1"/>
  <c r="PK34" i="25"/>
  <c r="P59" i="9" s="1"/>
  <c r="PJ35" i="25"/>
  <c r="O60" i="9" s="1"/>
  <c r="PK35" i="25"/>
  <c r="P60" i="9" s="1"/>
  <c r="PJ36" i="25"/>
  <c r="O61" i="9" s="1"/>
  <c r="PK36" i="25"/>
  <c r="P61" i="9" s="1"/>
  <c r="PJ37" i="25"/>
  <c r="O62" i="9" s="1"/>
  <c r="PK37" i="25"/>
  <c r="P62" i="9" s="1"/>
  <c r="PJ38" i="25"/>
  <c r="O63" i="9" s="1"/>
  <c r="PK38" i="25"/>
  <c r="P63" i="9" s="1"/>
  <c r="PJ39" i="25"/>
  <c r="O64" i="9" s="1"/>
  <c r="PK39" i="25"/>
  <c r="P64" i="9" s="1"/>
  <c r="PJ40" i="25"/>
  <c r="O65" i="9" s="1"/>
  <c r="PK40" i="25"/>
  <c r="P65" i="9" s="1"/>
  <c r="PJ41" i="25"/>
  <c r="O66" i="9" s="1"/>
  <c r="PK41" i="25"/>
  <c r="P66" i="9" s="1"/>
  <c r="PF33" i="25"/>
  <c r="K58" i="9" s="1"/>
  <c r="PF34" i="25"/>
  <c r="K59" i="9" s="1"/>
  <c r="PF35" i="25"/>
  <c r="K60" i="9" s="1"/>
  <c r="PF36" i="25"/>
  <c r="K61" i="9" s="1"/>
  <c r="PF37" i="25"/>
  <c r="K62" i="9" s="1"/>
  <c r="PF38" i="25"/>
  <c r="K63" i="9" s="1"/>
  <c r="PF39" i="25"/>
  <c r="K64" i="9" s="1"/>
  <c r="PF40" i="25"/>
  <c r="K65" i="9" s="1"/>
  <c r="PF41" i="25"/>
  <c r="K66" i="9" s="1"/>
  <c r="PC42" i="25"/>
  <c r="PD42" i="25"/>
  <c r="PB42" i="25"/>
  <c r="G67" i="9" l="1"/>
  <c r="VS32" i="25"/>
  <c r="VO32" i="25"/>
  <c r="VR32" i="25"/>
  <c r="VT32" i="25"/>
  <c r="VJ31" i="25"/>
  <c r="VN31" i="25" s="1"/>
  <c r="F67" i="9"/>
  <c r="I67" i="9"/>
  <c r="H67" i="9"/>
  <c r="RB31" i="25"/>
  <c r="OV31" i="25"/>
  <c r="O35" i="9" s="1"/>
  <c r="RB32" i="25"/>
  <c r="OV32" i="25"/>
  <c r="O36" i="9" s="1"/>
  <c r="RB33" i="25"/>
  <c r="OV33" i="25"/>
  <c r="O37" i="9" s="1"/>
  <c r="RB34" i="25"/>
  <c r="OV34" i="25"/>
  <c r="O38" i="9" s="1"/>
  <c r="RB35" i="25"/>
  <c r="OV35" i="25"/>
  <c r="O39" i="9" s="1"/>
  <c r="RB36" i="25"/>
  <c r="OV36" i="25"/>
  <c r="O40" i="9" s="1"/>
  <c r="RB37" i="25"/>
  <c r="OV37" i="25"/>
  <c r="O41" i="9" s="1"/>
  <c r="RB38" i="25"/>
  <c r="OV38" i="25"/>
  <c r="O42" i="9" s="1"/>
  <c r="RB39" i="25"/>
  <c r="OV39" i="25"/>
  <c r="O43" i="9" s="1"/>
  <c r="RB40" i="25"/>
  <c r="OV40" i="25"/>
  <c r="O44" i="9" s="1"/>
  <c r="RB41" i="25"/>
  <c r="OV41" i="25"/>
  <c r="O45" i="9" s="1"/>
  <c r="VO31" i="25" l="1"/>
  <c r="VR31" i="25"/>
  <c r="VT31" i="25"/>
  <c r="VS31" i="25"/>
  <c r="RB42" i="25"/>
  <c r="RB43" i="25" s="1"/>
  <c r="OU42" i="25"/>
  <c r="N46" i="9" s="1"/>
  <c r="OV42" i="25"/>
  <c r="O46" i="9" s="1"/>
  <c r="NC31" i="25" l="1"/>
  <c r="NC32" i="25"/>
  <c r="OI32" i="25" s="1"/>
  <c r="NC33" i="25"/>
  <c r="OI33" i="25" s="1"/>
  <c r="NC34" i="25"/>
  <c r="OI34" i="25" s="1"/>
  <c r="NC35" i="25"/>
  <c r="OI35" i="25" s="1"/>
  <c r="NC36" i="25"/>
  <c r="OI36" i="25" s="1"/>
  <c r="NC37" i="25"/>
  <c r="OI37" i="25" s="1"/>
  <c r="NC38" i="25"/>
  <c r="OI38" i="25" s="1"/>
  <c r="NC39" i="25"/>
  <c r="OI39" i="25" s="1"/>
  <c r="NC40" i="25"/>
  <c r="OI40" i="25" s="1"/>
  <c r="NC41" i="25"/>
  <c r="OI41" i="25" s="1"/>
  <c r="OI31" i="25" l="1"/>
  <c r="NC42" i="25"/>
  <c r="NP36" i="25"/>
  <c r="S20" i="9" s="1"/>
  <c r="NP32" i="25"/>
  <c r="S16" i="9" s="1"/>
  <c r="NP37" i="25"/>
  <c r="S21" i="9" s="1"/>
  <c r="NP31" i="25"/>
  <c r="S15" i="9" s="1"/>
  <c r="NP41" i="25"/>
  <c r="S25" i="9" s="1"/>
  <c r="NP33" i="25"/>
  <c r="S17" i="9" s="1"/>
  <c r="NP40" i="25"/>
  <c r="S24" i="9" s="1"/>
  <c r="NP39" i="25"/>
  <c r="S23" i="9" s="1"/>
  <c r="NP35" i="25"/>
  <c r="S19" i="9" s="1"/>
  <c r="NP38" i="25"/>
  <c r="S22" i="9" s="1"/>
  <c r="NP34" i="25"/>
  <c r="S18" i="9" s="1"/>
  <c r="NY41" i="25"/>
  <c r="AB25" i="9" s="1"/>
  <c r="SN41" i="25"/>
  <c r="NY37" i="25"/>
  <c r="AB21" i="9" s="1"/>
  <c r="SN37" i="25"/>
  <c r="NY33" i="25"/>
  <c r="AB17" i="9" s="1"/>
  <c r="SN33" i="25"/>
  <c r="NY36" i="25"/>
  <c r="AB20" i="9" s="1"/>
  <c r="SN36" i="25"/>
  <c r="NY32" i="25"/>
  <c r="AB16" i="9" s="1"/>
  <c r="SN32" i="25"/>
  <c r="NY39" i="25"/>
  <c r="AB23" i="9" s="1"/>
  <c r="SN39" i="25"/>
  <c r="NY31" i="25"/>
  <c r="AB15" i="9" s="1"/>
  <c r="SN31" i="25"/>
  <c r="NY40" i="25"/>
  <c r="AB24" i="9" s="1"/>
  <c r="SN40" i="25"/>
  <c r="NY35" i="25"/>
  <c r="AB19" i="9" s="1"/>
  <c r="SN35" i="25"/>
  <c r="NY38" i="25"/>
  <c r="AB22" i="9" s="1"/>
  <c r="SN38" i="25"/>
  <c r="NY34" i="25"/>
  <c r="AB18" i="9" s="1"/>
  <c r="SN34" i="25"/>
  <c r="OB33" i="25"/>
  <c r="AE17" i="9" s="1"/>
  <c r="OC33" i="25"/>
  <c r="AF17" i="9" s="1"/>
  <c r="OB36" i="25"/>
  <c r="AE20" i="9" s="1"/>
  <c r="OC36" i="25"/>
  <c r="AF20" i="9" s="1"/>
  <c r="OB32" i="25"/>
  <c r="AE16" i="9" s="1"/>
  <c r="OC32" i="25"/>
  <c r="AF16" i="9" s="1"/>
  <c r="OB37" i="25"/>
  <c r="AE21" i="9" s="1"/>
  <c r="OC37" i="25"/>
  <c r="AF21" i="9" s="1"/>
  <c r="OC39" i="25"/>
  <c r="AF23" i="9" s="1"/>
  <c r="OB39" i="25"/>
  <c r="AE23" i="9" s="1"/>
  <c r="OC31" i="25"/>
  <c r="AF15" i="9" s="1"/>
  <c r="OB31" i="25"/>
  <c r="AE15" i="9" s="1"/>
  <c r="OB41" i="25"/>
  <c r="AE25" i="9" s="1"/>
  <c r="OC41" i="25"/>
  <c r="AF25" i="9" s="1"/>
  <c r="OB40" i="25"/>
  <c r="AE24" i="9" s="1"/>
  <c r="OC40" i="25"/>
  <c r="AF24" i="9" s="1"/>
  <c r="OC35" i="25"/>
  <c r="AF19" i="9" s="1"/>
  <c r="OB35" i="25"/>
  <c r="AE19" i="9" s="1"/>
  <c r="OC38" i="25"/>
  <c r="AF22" i="9" s="1"/>
  <c r="OB38" i="25"/>
  <c r="AE22" i="9" s="1"/>
  <c r="OC34" i="25"/>
  <c r="AF18" i="9" s="1"/>
  <c r="OB34" i="25"/>
  <c r="AE18" i="9" s="1"/>
  <c r="OE33" i="25"/>
  <c r="AH17" i="9" s="1"/>
  <c r="OG33" i="25"/>
  <c r="AJ17" i="9" s="1"/>
  <c r="OA33" i="25"/>
  <c r="AD17" i="9" s="1"/>
  <c r="NU33" i="25"/>
  <c r="X17" i="9" s="1"/>
  <c r="NQ33" i="25"/>
  <c r="T17" i="9" s="1"/>
  <c r="OF33" i="25"/>
  <c r="AI17" i="9" s="1"/>
  <c r="OD33" i="25"/>
  <c r="AG17" i="9" s="1"/>
  <c r="NX33" i="25"/>
  <c r="AA17" i="9" s="1"/>
  <c r="NT33" i="25"/>
  <c r="NR33" i="25"/>
  <c r="U17" i="9" s="1"/>
  <c r="NS33" i="25"/>
  <c r="V17" i="9" s="1"/>
  <c r="NS36" i="25"/>
  <c r="V20" i="9" s="1"/>
  <c r="OG36" i="25"/>
  <c r="AJ20" i="9" s="1"/>
  <c r="OF36" i="25"/>
  <c r="AI20" i="9" s="1"/>
  <c r="OE36" i="25"/>
  <c r="AH20" i="9" s="1"/>
  <c r="OD36" i="25"/>
  <c r="AG20" i="9" s="1"/>
  <c r="OA36" i="25"/>
  <c r="AD20" i="9" s="1"/>
  <c r="NX36" i="25"/>
  <c r="AA20" i="9" s="1"/>
  <c r="NU36" i="25"/>
  <c r="X20" i="9" s="1"/>
  <c r="NT36" i="25"/>
  <c r="NR36" i="25"/>
  <c r="U20" i="9" s="1"/>
  <c r="NQ36" i="25"/>
  <c r="T20" i="9" s="1"/>
  <c r="OG32" i="25"/>
  <c r="AJ16" i="9" s="1"/>
  <c r="OF32" i="25"/>
  <c r="AI16" i="9" s="1"/>
  <c r="OE32" i="25"/>
  <c r="AH16" i="9" s="1"/>
  <c r="OD32" i="25"/>
  <c r="AG16" i="9" s="1"/>
  <c r="OA32" i="25"/>
  <c r="AD16" i="9" s="1"/>
  <c r="NX32" i="25"/>
  <c r="AA16" i="9" s="1"/>
  <c r="NU32" i="25"/>
  <c r="X16" i="9" s="1"/>
  <c r="NT32" i="25"/>
  <c r="NR32" i="25"/>
  <c r="U16" i="9" s="1"/>
  <c r="NQ32" i="25"/>
  <c r="T16" i="9" s="1"/>
  <c r="NS32" i="25"/>
  <c r="V16" i="9" s="1"/>
  <c r="OE41" i="25"/>
  <c r="AH25" i="9" s="1"/>
  <c r="OG41" i="25"/>
  <c r="AJ25" i="9" s="1"/>
  <c r="OD41" i="25"/>
  <c r="AG25" i="9" s="1"/>
  <c r="OA41" i="25"/>
  <c r="AD25" i="9" s="1"/>
  <c r="NU41" i="25"/>
  <c r="X25" i="9" s="1"/>
  <c r="NT41" i="25"/>
  <c r="NQ41" i="25"/>
  <c r="T25" i="9" s="1"/>
  <c r="OF41" i="25"/>
  <c r="AI25" i="9" s="1"/>
  <c r="NX41" i="25"/>
  <c r="AA25" i="9" s="1"/>
  <c r="NR41" i="25"/>
  <c r="U25" i="9" s="1"/>
  <c r="NS41" i="25"/>
  <c r="V25" i="9" s="1"/>
  <c r="OG40" i="25"/>
  <c r="AJ24" i="9" s="1"/>
  <c r="OF40" i="25"/>
  <c r="AI24" i="9" s="1"/>
  <c r="OE40" i="25"/>
  <c r="AH24" i="9" s="1"/>
  <c r="OD40" i="25"/>
  <c r="AG24" i="9" s="1"/>
  <c r="OA40" i="25"/>
  <c r="AD24" i="9" s="1"/>
  <c r="NX40" i="25"/>
  <c r="AA24" i="9" s="1"/>
  <c r="NU40" i="25"/>
  <c r="X24" i="9" s="1"/>
  <c r="NT40" i="25"/>
  <c r="NR40" i="25"/>
  <c r="U24" i="9" s="1"/>
  <c r="NQ40" i="25"/>
  <c r="T24" i="9" s="1"/>
  <c r="NS40" i="25"/>
  <c r="V24" i="9" s="1"/>
  <c r="OG35" i="25"/>
  <c r="AJ19" i="9" s="1"/>
  <c r="OF35" i="25"/>
  <c r="AI19" i="9" s="1"/>
  <c r="OD35" i="25"/>
  <c r="AG19" i="9" s="1"/>
  <c r="OA35" i="25"/>
  <c r="AD19" i="9" s="1"/>
  <c r="NX35" i="25"/>
  <c r="AA19" i="9" s="1"/>
  <c r="NU35" i="25"/>
  <c r="X19" i="9" s="1"/>
  <c r="NT35" i="25"/>
  <c r="NR35" i="25"/>
  <c r="U19" i="9" s="1"/>
  <c r="NQ35" i="25"/>
  <c r="T19" i="9" s="1"/>
  <c r="NS35" i="25"/>
  <c r="V19" i="9" s="1"/>
  <c r="OE35" i="25"/>
  <c r="AH19" i="9" s="1"/>
  <c r="OG31" i="25"/>
  <c r="AJ15" i="9" s="1"/>
  <c r="OF31" i="25"/>
  <c r="AI15" i="9" s="1"/>
  <c r="OD31" i="25"/>
  <c r="AG15" i="9" s="1"/>
  <c r="OA31" i="25"/>
  <c r="AD15" i="9" s="1"/>
  <c r="NX31" i="25"/>
  <c r="AA15" i="9" s="1"/>
  <c r="NU31" i="25"/>
  <c r="X15" i="9" s="1"/>
  <c r="NT31" i="25"/>
  <c r="NR31" i="25"/>
  <c r="U15" i="9" s="1"/>
  <c r="NQ31" i="25"/>
  <c r="T15" i="9" s="1"/>
  <c r="OE31" i="25"/>
  <c r="AH15" i="9" s="1"/>
  <c r="NS31" i="25"/>
  <c r="V15" i="9" s="1"/>
  <c r="OE37" i="25"/>
  <c r="AH21" i="9" s="1"/>
  <c r="OF37" i="25"/>
  <c r="AI21" i="9" s="1"/>
  <c r="NX37" i="25"/>
  <c r="AA21" i="9" s="1"/>
  <c r="NT37" i="25"/>
  <c r="NR37" i="25"/>
  <c r="U21" i="9" s="1"/>
  <c r="OG37" i="25"/>
  <c r="AJ21" i="9" s="1"/>
  <c r="OD37" i="25"/>
  <c r="AG21" i="9" s="1"/>
  <c r="OA37" i="25"/>
  <c r="AD21" i="9" s="1"/>
  <c r="NU37" i="25"/>
  <c r="X21" i="9" s="1"/>
  <c r="NQ37" i="25"/>
  <c r="T21" i="9" s="1"/>
  <c r="NS37" i="25"/>
  <c r="V21" i="9" s="1"/>
  <c r="OG39" i="25"/>
  <c r="AJ23" i="9" s="1"/>
  <c r="OF39" i="25"/>
  <c r="AI23" i="9" s="1"/>
  <c r="OD39" i="25"/>
  <c r="AG23" i="9" s="1"/>
  <c r="OA39" i="25"/>
  <c r="AD23" i="9" s="1"/>
  <c r="NX39" i="25"/>
  <c r="AA23" i="9" s="1"/>
  <c r="NU39" i="25"/>
  <c r="X23" i="9" s="1"/>
  <c r="NT39" i="25"/>
  <c r="NR39" i="25"/>
  <c r="U23" i="9" s="1"/>
  <c r="NQ39" i="25"/>
  <c r="T23" i="9" s="1"/>
  <c r="OE39" i="25"/>
  <c r="AH23" i="9" s="1"/>
  <c r="NS39" i="25"/>
  <c r="V23" i="9" s="1"/>
  <c r="NS38" i="25"/>
  <c r="V22" i="9" s="1"/>
  <c r="OG38" i="25"/>
  <c r="AJ22" i="9" s="1"/>
  <c r="OF38" i="25"/>
  <c r="AI22" i="9" s="1"/>
  <c r="OA38" i="25"/>
  <c r="AD22" i="9" s="1"/>
  <c r="NR38" i="25"/>
  <c r="U22" i="9" s="1"/>
  <c r="NX38" i="25"/>
  <c r="AA22" i="9" s="1"/>
  <c r="NT38" i="25"/>
  <c r="NU38" i="25"/>
  <c r="X22" i="9" s="1"/>
  <c r="OE38" i="25"/>
  <c r="AH22" i="9" s="1"/>
  <c r="NQ38" i="25"/>
  <c r="T22" i="9" s="1"/>
  <c r="OD38" i="25"/>
  <c r="AG22" i="9" s="1"/>
  <c r="NS34" i="25"/>
  <c r="V18" i="9" s="1"/>
  <c r="OG34" i="25"/>
  <c r="AJ18" i="9" s="1"/>
  <c r="OF34" i="25"/>
  <c r="AI18" i="9" s="1"/>
  <c r="OE34" i="25"/>
  <c r="AH18" i="9" s="1"/>
  <c r="NX34" i="25"/>
  <c r="AA18" i="9" s="1"/>
  <c r="NT34" i="25"/>
  <c r="NU34" i="25"/>
  <c r="X18" i="9" s="1"/>
  <c r="OD34" i="25"/>
  <c r="AG18" i="9" s="1"/>
  <c r="NQ34" i="25"/>
  <c r="T18" i="9" s="1"/>
  <c r="OA34" i="25"/>
  <c r="AD18" i="9" s="1"/>
  <c r="NR34" i="25"/>
  <c r="U18" i="9" s="1"/>
  <c r="AL25" i="9"/>
  <c r="AL21" i="9"/>
  <c r="AL17" i="9"/>
  <c r="AL24" i="9"/>
  <c r="AL20" i="9"/>
  <c r="AL16" i="9"/>
  <c r="AL23" i="9"/>
  <c r="AL19" i="9"/>
  <c r="AL15" i="9"/>
  <c r="AL22" i="9"/>
  <c r="AL18" i="9"/>
  <c r="RR41" i="25"/>
  <c r="RR37" i="25"/>
  <c r="RR33" i="25"/>
  <c r="RR36" i="25"/>
  <c r="RR31" i="25"/>
  <c r="RR40" i="25"/>
  <c r="RR32" i="25"/>
  <c r="RR39" i="25"/>
  <c r="RR35" i="25"/>
  <c r="RR38" i="25"/>
  <c r="RR34" i="25"/>
  <c r="NN37" i="25"/>
  <c r="N21" i="9" s="1"/>
  <c r="NF37" i="25"/>
  <c r="NN40" i="25"/>
  <c r="NF40" i="25"/>
  <c r="NN36" i="25"/>
  <c r="NF36" i="25"/>
  <c r="NN39" i="25"/>
  <c r="NF39" i="25"/>
  <c r="NN35" i="25"/>
  <c r="NF35" i="25"/>
  <c r="NN31" i="25"/>
  <c r="NF31" i="25"/>
  <c r="NN41" i="25"/>
  <c r="NF41" i="25"/>
  <c r="NN33" i="25"/>
  <c r="NF33" i="25"/>
  <c r="NF32" i="25"/>
  <c r="NN32" i="25"/>
  <c r="N16" i="9" s="1"/>
  <c r="NN38" i="25"/>
  <c r="NF38" i="25"/>
  <c r="NN34" i="25"/>
  <c r="NF34" i="25"/>
  <c r="RK56" i="25"/>
  <c r="RK55" i="25"/>
  <c r="RK54" i="25"/>
  <c r="RK53" i="25"/>
  <c r="RK52" i="25"/>
  <c r="RK51" i="25"/>
  <c r="RK50" i="25"/>
  <c r="RK49" i="25"/>
  <c r="RK48" i="25"/>
  <c r="RK47" i="25"/>
  <c r="RK46" i="25"/>
  <c r="RK45" i="25"/>
  <c r="NZ41" i="25"/>
  <c r="OH36" i="25"/>
  <c r="NO41" i="25"/>
  <c r="NV31" i="25"/>
  <c r="NZ38" i="25"/>
  <c r="NZ40" i="25"/>
  <c r="NW40" i="25"/>
  <c r="NZ32" i="25"/>
  <c r="NV33" i="25"/>
  <c r="NO31" i="25"/>
  <c r="NW32" i="25"/>
  <c r="NZ33" i="25"/>
  <c r="OH35" i="25"/>
  <c r="NV38" i="25"/>
  <c r="NW34" i="25"/>
  <c r="OH31" i="25"/>
  <c r="NO36" i="25"/>
  <c r="NV32" i="25"/>
  <c r="NV39" i="25"/>
  <c r="OH40" i="25"/>
  <c r="OH39" i="25"/>
  <c r="NZ37" i="25"/>
  <c r="NW35" i="25"/>
  <c r="OH34" i="25"/>
  <c r="NV37" i="25"/>
  <c r="OH37" i="25"/>
  <c r="NZ31" i="25"/>
  <c r="NZ34" i="25"/>
  <c r="NW33" i="25"/>
  <c r="NO33" i="25"/>
  <c r="OH38" i="25"/>
  <c r="NW31" i="25"/>
  <c r="NZ39" i="25"/>
  <c r="NW39" i="25"/>
  <c r="NW37" i="25"/>
  <c r="NZ36" i="25"/>
  <c r="NW36" i="25"/>
  <c r="NW38" i="25"/>
  <c r="NV36" i="25"/>
  <c r="NV40" i="25"/>
  <c r="NV34" i="25"/>
  <c r="OH32" i="25"/>
  <c r="NO39" i="25"/>
  <c r="NO38" i="25"/>
  <c r="OH33" i="25"/>
  <c r="NO40" i="25"/>
  <c r="NZ35" i="25"/>
  <c r="NV41" i="25"/>
  <c r="OH41" i="25"/>
  <c r="NO34" i="25"/>
  <c r="NO35" i="25"/>
  <c r="NO32" i="25"/>
  <c r="NO37" i="25"/>
  <c r="NW41" i="25"/>
  <c r="NV35" i="25"/>
  <c r="RL30" i="25" l="1"/>
  <c r="D115" i="9" s="1"/>
  <c r="RL45" i="25"/>
  <c r="RK30" i="25"/>
  <c r="C115" i="9" s="1"/>
  <c r="RL49" i="25"/>
  <c r="RL53" i="25"/>
  <c r="RP30" i="25"/>
  <c r="E115" i="9" s="1"/>
  <c r="RL46" i="25"/>
  <c r="RL50" i="25"/>
  <c r="RL54" i="25"/>
  <c r="RL52" i="25"/>
  <c r="RL47" i="25"/>
  <c r="RL51" i="25"/>
  <c r="RL55" i="25"/>
  <c r="RL48" i="25"/>
  <c r="RL56" i="25"/>
  <c r="RK31" i="25"/>
  <c r="C116" i="9" s="1"/>
  <c r="AC23" i="9"/>
  <c r="Z22" i="9"/>
  <c r="AC18" i="9"/>
  <c r="Z20" i="9"/>
  <c r="AC22" i="9"/>
  <c r="AC16" i="9"/>
  <c r="AC17" i="9"/>
  <c r="Z21" i="9"/>
  <c r="AC25" i="9"/>
  <c r="AK18" i="9"/>
  <c r="Z15" i="9"/>
  <c r="AC15" i="9"/>
  <c r="AC19" i="9"/>
  <c r="AK23" i="9"/>
  <c r="AK20" i="9"/>
  <c r="AK16" i="9"/>
  <c r="AK24" i="9"/>
  <c r="Z17" i="9"/>
  <c r="AC21" i="9"/>
  <c r="AK25" i="9"/>
  <c r="AK19" i="9"/>
  <c r="AC24" i="9"/>
  <c r="AK15" i="9"/>
  <c r="Z19" i="9"/>
  <c r="Z23" i="9"/>
  <c r="AC20" i="9"/>
  <c r="AK22" i="9"/>
  <c r="Z16" i="9"/>
  <c r="Z24" i="9"/>
  <c r="AK17" i="9"/>
  <c r="AK21" i="9"/>
  <c r="Z25" i="9"/>
  <c r="Z18" i="9"/>
  <c r="UE31" i="25"/>
  <c r="TR31" i="25"/>
  <c r="UF31" i="25"/>
  <c r="TS31" i="25"/>
  <c r="UG31" i="25"/>
  <c r="TT31" i="25"/>
  <c r="UD31" i="25"/>
  <c r="TU31" i="25"/>
  <c r="Y23" i="9"/>
  <c r="W23" i="9"/>
  <c r="Y21" i="9"/>
  <c r="W21" i="9"/>
  <c r="Y15" i="9"/>
  <c r="W15" i="9"/>
  <c r="Y19" i="9"/>
  <c r="W19" i="9"/>
  <c r="Y20" i="9"/>
  <c r="W20" i="9"/>
  <c r="Y17" i="9"/>
  <c r="W17" i="9"/>
  <c r="Y18" i="9"/>
  <c r="W18" i="9"/>
  <c r="Y22" i="9"/>
  <c r="W22" i="9"/>
  <c r="Y24" i="9"/>
  <c r="W24" i="9"/>
  <c r="Y25" i="9"/>
  <c r="W25" i="9"/>
  <c r="Y16" i="9"/>
  <c r="W16" i="9"/>
  <c r="RT42" i="25"/>
  <c r="VY31" i="25" s="1"/>
  <c r="RS42" i="25"/>
  <c r="VX31" i="25" s="1"/>
  <c r="OI42" i="25"/>
  <c r="AL26" i="9" s="1"/>
  <c r="UF46" i="25"/>
  <c r="UF44" i="25"/>
  <c r="UF45" i="25"/>
  <c r="UF51" i="25"/>
  <c r="UF52" i="25"/>
  <c r="UF47" i="25"/>
  <c r="UF48" i="25"/>
  <c r="UF53" i="25"/>
  <c r="UF54" i="25"/>
  <c r="UF50" i="25"/>
  <c r="UF49" i="25"/>
  <c r="NP42" i="25"/>
  <c r="S26" i="9" s="1"/>
  <c r="OH42" i="25"/>
  <c r="AK26" i="9" s="1"/>
  <c r="OB42" i="25"/>
  <c r="AE26" i="9" s="1"/>
  <c r="OG42" i="25"/>
  <c r="AJ26" i="9" s="1"/>
  <c r="NT42" i="25"/>
  <c r="W26" i="9" s="1"/>
  <c r="OC42" i="25"/>
  <c r="AF26" i="9" s="1"/>
  <c r="OE42" i="25"/>
  <c r="AH26" i="9" s="1"/>
  <c r="NZ42" i="25"/>
  <c r="AC26" i="9" s="1"/>
  <c r="NQ42" i="25"/>
  <c r="T26" i="9" s="1"/>
  <c r="NW42" i="25"/>
  <c r="Z26" i="9" s="1"/>
  <c r="OA42" i="25"/>
  <c r="AD26" i="9" s="1"/>
  <c r="OF42" i="25"/>
  <c r="AI26" i="9" s="1"/>
  <c r="NO42" i="25"/>
  <c r="NF42" i="25"/>
  <c r="RR42" i="25"/>
  <c r="VW31" i="25" s="1"/>
  <c r="NN42" i="25"/>
  <c r="RQ30" i="25"/>
  <c r="F115" i="9" s="1"/>
  <c r="RQ31" i="25"/>
  <c r="F116" i="9" s="1"/>
  <c r="RP31" i="25"/>
  <c r="E116" i="9" s="1"/>
  <c r="TZ47" i="25"/>
  <c r="TZ51" i="25"/>
  <c r="TZ43" i="25"/>
  <c r="TZ54" i="25"/>
  <c r="TZ44" i="25"/>
  <c r="TZ48" i="25"/>
  <c r="TZ52" i="25"/>
  <c r="TZ50" i="25"/>
  <c r="TZ45" i="25"/>
  <c r="TZ49" i="25"/>
  <c r="TZ53" i="25"/>
  <c r="TZ46" i="25"/>
  <c r="RL31" i="25" l="1"/>
  <c r="D116" i="9" s="1"/>
  <c r="NG42" i="25"/>
  <c r="TW54" i="25"/>
  <c r="UQ54" i="25"/>
  <c r="UR53" i="25"/>
  <c r="TX53" i="25"/>
  <c r="UQ43" i="25"/>
  <c r="TW43" i="25"/>
  <c r="UQ47" i="25"/>
  <c r="TW47" i="25"/>
  <c r="UQ49" i="25"/>
  <c r="TW49" i="25"/>
  <c r="UR47" i="25"/>
  <c r="TX47" i="25"/>
  <c r="UR51" i="25"/>
  <c r="TX51" i="25"/>
  <c r="UR43" i="25"/>
  <c r="UQ52" i="25"/>
  <c r="TW52" i="25"/>
  <c r="TW45" i="25"/>
  <c r="UQ45" i="25"/>
  <c r="TW50" i="25"/>
  <c r="UQ50" i="25"/>
  <c r="UQ48" i="25"/>
  <c r="TW48" i="25"/>
  <c r="TX50" i="25"/>
  <c r="UR50" i="25"/>
  <c r="UR49" i="25"/>
  <c r="TX49" i="25"/>
  <c r="UR48" i="25"/>
  <c r="TX48" i="25"/>
  <c r="TW46" i="25"/>
  <c r="UQ46" i="25"/>
  <c r="TX54" i="25"/>
  <c r="UR54" i="25"/>
  <c r="UR52" i="25"/>
  <c r="TX52" i="25"/>
  <c r="UQ51" i="25"/>
  <c r="TW51" i="25"/>
  <c r="UQ53" i="25"/>
  <c r="TW53" i="25"/>
  <c r="UQ44" i="25"/>
  <c r="TW44" i="25"/>
  <c r="TX46" i="25"/>
  <c r="UR46" i="25"/>
  <c r="UR45" i="25"/>
  <c r="TX45" i="25"/>
  <c r="UR44" i="25"/>
  <c r="TX44" i="25"/>
  <c r="OP42" i="25" l="1"/>
  <c r="TN31" i="25"/>
  <c r="G14" i="9"/>
  <c r="A109" i="9"/>
  <c r="AG87" i="9"/>
  <c r="K106" i="9"/>
  <c r="A21" i="9"/>
  <c r="A40" i="9"/>
  <c r="K102" i="9"/>
  <c r="A101" i="9"/>
  <c r="AG79" i="9"/>
  <c r="L108" i="9"/>
  <c r="Q21" i="9"/>
  <c r="L104" i="9"/>
  <c r="L101" i="9"/>
  <c r="L100" i="9"/>
  <c r="A98" i="9"/>
  <c r="AK89" i="9"/>
  <c r="AK77" i="9"/>
  <c r="AJ77" i="9"/>
  <c r="AJ89" i="9"/>
  <c r="B14" i="9"/>
  <c r="A24" i="9"/>
  <c r="A34" i="9"/>
  <c r="P17" i="9"/>
  <c r="P25" i="9"/>
  <c r="A58" i="9"/>
  <c r="A62" i="9"/>
  <c r="A66" i="9"/>
  <c r="A81" i="9"/>
  <c r="B85" i="9"/>
  <c r="K108" i="9"/>
  <c r="A105" i="9"/>
  <c r="S108" i="9"/>
  <c r="A16" i="9"/>
  <c r="A25" i="9"/>
  <c r="A38" i="9"/>
  <c r="P19" i="9"/>
  <c r="B55" i="9"/>
  <c r="B59" i="9"/>
  <c r="B63" i="9"/>
  <c r="A77" i="9"/>
  <c r="B81" i="9"/>
  <c r="B87" i="9"/>
  <c r="B100" i="9"/>
  <c r="B108" i="9"/>
  <c r="S100" i="9"/>
  <c r="AG83" i="9"/>
  <c r="A17" i="9"/>
  <c r="B18" i="9"/>
  <c r="A42" i="9"/>
  <c r="P21" i="9"/>
  <c r="A56" i="9"/>
  <c r="A60" i="9"/>
  <c r="A64" i="9"/>
  <c r="B77" i="9"/>
  <c r="B83" i="9"/>
  <c r="K100" i="9"/>
  <c r="R104" i="9"/>
  <c r="B22" i="9"/>
  <c r="P15" i="9"/>
  <c r="P23" i="9"/>
  <c r="B57" i="9"/>
  <c r="B61" i="9"/>
  <c r="B65" i="9"/>
  <c r="B79" i="9"/>
  <c r="A85" i="9"/>
  <c r="K104" i="9"/>
  <c r="B104" i="9"/>
  <c r="S104" i="9"/>
  <c r="B35" i="9"/>
  <c r="B43" i="9"/>
  <c r="A36" i="9"/>
  <c r="A44" i="9"/>
  <c r="Q15" i="9"/>
  <c r="Q19" i="9"/>
  <c r="Q23" i="9"/>
  <c r="K98" i="9"/>
  <c r="S109" i="9"/>
  <c r="B109" i="9"/>
  <c r="B88" i="9"/>
  <c r="AH88" i="9"/>
  <c r="B66" i="9"/>
  <c r="S107" i="9"/>
  <c r="B107" i="9"/>
  <c r="B86" i="9"/>
  <c r="B64" i="9"/>
  <c r="B23" i="9"/>
  <c r="S105" i="9"/>
  <c r="B105" i="9"/>
  <c r="B84" i="9"/>
  <c r="AH84" i="9"/>
  <c r="B62" i="9"/>
  <c r="S103" i="9"/>
  <c r="B103" i="9"/>
  <c r="B82" i="9"/>
  <c r="B60" i="9"/>
  <c r="B19" i="9"/>
  <c r="S101" i="9"/>
  <c r="B101" i="9"/>
  <c r="B80" i="9"/>
  <c r="AH80" i="9"/>
  <c r="B58" i="9"/>
  <c r="S99" i="9"/>
  <c r="B99" i="9"/>
  <c r="B78" i="9"/>
  <c r="B56" i="9"/>
  <c r="B15" i="9"/>
  <c r="Q17" i="9"/>
  <c r="Q25" i="9"/>
  <c r="B21" i="9"/>
  <c r="B39" i="9"/>
  <c r="L105" i="9"/>
  <c r="L109" i="9"/>
  <c r="AH78" i="9"/>
  <c r="AH86" i="9"/>
  <c r="A108" i="9"/>
  <c r="A65" i="9"/>
  <c r="P24" i="9"/>
  <c r="A106" i="9"/>
  <c r="AG85" i="9"/>
  <c r="A63" i="9"/>
  <c r="R106" i="9"/>
  <c r="P22" i="9"/>
  <c r="A22" i="9"/>
  <c r="A104" i="9"/>
  <c r="A61" i="9"/>
  <c r="P20" i="9"/>
  <c r="A102" i="9"/>
  <c r="AG81" i="9"/>
  <c r="A59" i="9"/>
  <c r="R102" i="9"/>
  <c r="P18" i="9"/>
  <c r="A18" i="9"/>
  <c r="A100" i="9"/>
  <c r="A57" i="9"/>
  <c r="P16" i="9"/>
  <c r="AG77" i="9"/>
  <c r="A55" i="9"/>
  <c r="R98" i="9"/>
  <c r="P14" i="9"/>
  <c r="A14" i="9"/>
  <c r="A20" i="9"/>
  <c r="B17" i="9"/>
  <c r="B25" i="9"/>
  <c r="B37" i="9"/>
  <c r="B41" i="9"/>
  <c r="B45" i="9"/>
  <c r="A79" i="9"/>
  <c r="A83" i="9"/>
  <c r="A87" i="9"/>
  <c r="L99" i="9"/>
  <c r="L103" i="9"/>
  <c r="L107" i="9"/>
  <c r="R100" i="9"/>
  <c r="R108" i="9"/>
  <c r="AH82" i="9"/>
  <c r="AG88" i="9"/>
  <c r="R109" i="9"/>
  <c r="AG86" i="9"/>
  <c r="R107" i="9"/>
  <c r="AG84" i="9"/>
  <c r="R105" i="9"/>
  <c r="AG82" i="9"/>
  <c r="R103" i="9"/>
  <c r="AG80" i="9"/>
  <c r="R101" i="9"/>
  <c r="AG78" i="9"/>
  <c r="R99" i="9"/>
  <c r="B34" i="9"/>
  <c r="B36" i="9"/>
  <c r="B38" i="9"/>
  <c r="B40" i="9"/>
  <c r="B42" i="9"/>
  <c r="B44" i="9"/>
  <c r="A78" i="9"/>
  <c r="A80" i="9"/>
  <c r="A82" i="9"/>
  <c r="A84" i="9"/>
  <c r="A86" i="9"/>
  <c r="A88" i="9"/>
  <c r="L98" i="9"/>
  <c r="L102" i="9"/>
  <c r="L106" i="9"/>
  <c r="B98" i="9"/>
  <c r="B102" i="9"/>
  <c r="B106" i="9"/>
  <c r="AH87" i="9"/>
  <c r="AH85" i="9"/>
  <c r="AH83" i="9"/>
  <c r="AH81" i="9"/>
  <c r="AH79" i="9"/>
  <c r="AH77" i="9"/>
  <c r="A15" i="9"/>
  <c r="A19" i="9"/>
  <c r="A23" i="9"/>
  <c r="B16" i="9"/>
  <c r="B20" i="9"/>
  <c r="B24" i="9"/>
  <c r="A35" i="9"/>
  <c r="A37" i="9"/>
  <c r="A39" i="9"/>
  <c r="A41" i="9"/>
  <c r="A43" i="9"/>
  <c r="A45" i="9"/>
  <c r="Q14" i="9"/>
  <c r="Q16" i="9"/>
  <c r="Q18" i="9"/>
  <c r="Q20" i="9"/>
  <c r="Q22" i="9"/>
  <c r="Q24" i="9"/>
  <c r="K99" i="9"/>
  <c r="K101" i="9"/>
  <c r="K103" i="9"/>
  <c r="K105" i="9"/>
  <c r="K107" i="9"/>
  <c r="K109" i="9"/>
  <c r="A99" i="9"/>
  <c r="A103" i="9"/>
  <c r="A107" i="9"/>
  <c r="S98" i="9"/>
  <c r="S102" i="9"/>
  <c r="S106" i="9"/>
  <c r="QD30" i="25"/>
  <c r="U77" i="9" s="1"/>
  <c r="VF31" i="25" l="1"/>
  <c r="TV31" i="25" s="1"/>
  <c r="I46" i="9"/>
  <c r="I34" i="9"/>
  <c r="A67" i="9"/>
  <c r="A89" i="9"/>
  <c r="K110" i="9"/>
  <c r="P26" i="9"/>
  <c r="A26" i="9"/>
  <c r="AG89" i="9"/>
  <c r="R110" i="9"/>
  <c r="A46" i="9"/>
  <c r="A110" i="9"/>
  <c r="UH31" i="25" l="1"/>
  <c r="J26" i="9"/>
  <c r="I109" i="9"/>
  <c r="H109" i="9"/>
  <c r="G109" i="9"/>
  <c r="F109" i="9"/>
  <c r="E109" i="9"/>
  <c r="D109" i="9"/>
  <c r="C109" i="9"/>
  <c r="T109" i="9"/>
  <c r="U109" i="9"/>
  <c r="V109" i="9"/>
  <c r="AC109" i="9"/>
  <c r="AB109" i="9"/>
  <c r="QZ41" i="25"/>
  <c r="AA109" i="9" s="1"/>
  <c r="QY41" i="25"/>
  <c r="Z109" i="9" s="1"/>
  <c r="QX41" i="25"/>
  <c r="Y109" i="9" s="1"/>
  <c r="QW41" i="25"/>
  <c r="X109" i="9" s="1"/>
  <c r="QV41" i="25"/>
  <c r="W109" i="9" s="1"/>
  <c r="QD41" i="25"/>
  <c r="U88" i="9" s="1"/>
  <c r="J25" i="9"/>
  <c r="M25" i="9"/>
  <c r="I108" i="9"/>
  <c r="H108" i="9"/>
  <c r="G108" i="9"/>
  <c r="F108" i="9"/>
  <c r="E108" i="9"/>
  <c r="D108" i="9"/>
  <c r="C108" i="9"/>
  <c r="T108" i="9"/>
  <c r="U108" i="9"/>
  <c r="V108" i="9"/>
  <c r="AC108" i="9"/>
  <c r="AB108" i="9"/>
  <c r="QZ40" i="25"/>
  <c r="AA108" i="9" s="1"/>
  <c r="QY40" i="25"/>
  <c r="Z108" i="9" s="1"/>
  <c r="QX40" i="25"/>
  <c r="Y108" i="9" s="1"/>
  <c r="QW40" i="25"/>
  <c r="X108" i="9" s="1"/>
  <c r="QV40" i="25"/>
  <c r="W108" i="9" s="1"/>
  <c r="QD40" i="25"/>
  <c r="U87" i="9" s="1"/>
  <c r="J24" i="9"/>
  <c r="M24" i="9"/>
  <c r="I107" i="9"/>
  <c r="H107" i="9"/>
  <c r="G107" i="9"/>
  <c r="F107" i="9"/>
  <c r="E107" i="9"/>
  <c r="D107" i="9"/>
  <c r="C107" i="9"/>
  <c r="T107" i="9"/>
  <c r="U107" i="9"/>
  <c r="V107" i="9"/>
  <c r="AC107" i="9"/>
  <c r="AB107" i="9"/>
  <c r="QZ39" i="25"/>
  <c r="AA107" i="9" s="1"/>
  <c r="QY39" i="25"/>
  <c r="Z107" i="9" s="1"/>
  <c r="QX39" i="25"/>
  <c r="Y107" i="9" s="1"/>
  <c r="QW39" i="25"/>
  <c r="X107" i="9" s="1"/>
  <c r="QV39" i="25"/>
  <c r="W107" i="9" s="1"/>
  <c r="QD39" i="25"/>
  <c r="U86" i="9" s="1"/>
  <c r="J23" i="9"/>
  <c r="M23" i="9"/>
  <c r="I106" i="9"/>
  <c r="H106" i="9"/>
  <c r="G106" i="9"/>
  <c r="F106" i="9"/>
  <c r="E106" i="9"/>
  <c r="D106" i="9"/>
  <c r="C106" i="9"/>
  <c r="T106" i="9"/>
  <c r="U106" i="9"/>
  <c r="V106" i="9"/>
  <c r="AC106" i="9"/>
  <c r="AB106" i="9"/>
  <c r="QZ38" i="25"/>
  <c r="AA106" i="9" s="1"/>
  <c r="QY38" i="25"/>
  <c r="Z106" i="9" s="1"/>
  <c r="QX38" i="25"/>
  <c r="Y106" i="9" s="1"/>
  <c r="QW38" i="25"/>
  <c r="X106" i="9" s="1"/>
  <c r="QV38" i="25"/>
  <c r="W106" i="9" s="1"/>
  <c r="QD38" i="25"/>
  <c r="U85" i="9" s="1"/>
  <c r="J22" i="9"/>
  <c r="M22" i="9"/>
  <c r="I105" i="9"/>
  <c r="H105" i="9"/>
  <c r="G105" i="9"/>
  <c r="F105" i="9"/>
  <c r="E105" i="9"/>
  <c r="D105" i="9"/>
  <c r="C105" i="9"/>
  <c r="T105" i="9"/>
  <c r="U105" i="9"/>
  <c r="V105" i="9"/>
  <c r="AC105" i="9"/>
  <c r="AB105" i="9"/>
  <c r="QZ37" i="25"/>
  <c r="AA105" i="9" s="1"/>
  <c r="QY37" i="25"/>
  <c r="Z105" i="9" s="1"/>
  <c r="QX37" i="25"/>
  <c r="Y105" i="9" s="1"/>
  <c r="QW37" i="25"/>
  <c r="X105" i="9" s="1"/>
  <c r="QV37" i="25"/>
  <c r="W105" i="9" s="1"/>
  <c r="QD37" i="25"/>
  <c r="U84" i="9" s="1"/>
  <c r="J21" i="9"/>
  <c r="M21" i="9"/>
  <c r="I104" i="9"/>
  <c r="H104" i="9"/>
  <c r="G104" i="9"/>
  <c r="F104" i="9"/>
  <c r="E104" i="9"/>
  <c r="D104" i="9"/>
  <c r="C104" i="9"/>
  <c r="T104" i="9"/>
  <c r="V104" i="9"/>
  <c r="AC104" i="9"/>
  <c r="AB104" i="9"/>
  <c r="QZ36" i="25"/>
  <c r="AA104" i="9" s="1"/>
  <c r="QY36" i="25"/>
  <c r="Z104" i="9" s="1"/>
  <c r="QX36" i="25"/>
  <c r="Y104" i="9" s="1"/>
  <c r="QW36" i="25"/>
  <c r="X104" i="9" s="1"/>
  <c r="QV36" i="25"/>
  <c r="W104" i="9" s="1"/>
  <c r="QD36" i="25"/>
  <c r="U83" i="9" s="1"/>
  <c r="J20" i="9"/>
  <c r="M20" i="9"/>
  <c r="I103" i="9"/>
  <c r="H103" i="9"/>
  <c r="G103" i="9"/>
  <c r="F103" i="9"/>
  <c r="E103" i="9"/>
  <c r="D103" i="9"/>
  <c r="C103" i="9"/>
  <c r="T103" i="9"/>
  <c r="U103" i="9"/>
  <c r="V103" i="9"/>
  <c r="AC103" i="9"/>
  <c r="AB103" i="9"/>
  <c r="QZ35" i="25"/>
  <c r="AA103" i="9" s="1"/>
  <c r="QY35" i="25"/>
  <c r="Z103" i="9" s="1"/>
  <c r="QX35" i="25"/>
  <c r="Y103" i="9" s="1"/>
  <c r="QW35" i="25"/>
  <c r="X103" i="9" s="1"/>
  <c r="QV35" i="25"/>
  <c r="W103" i="9" s="1"/>
  <c r="QD35" i="25"/>
  <c r="U82" i="9" s="1"/>
  <c r="J19" i="9"/>
  <c r="M19" i="9"/>
  <c r="I102" i="9"/>
  <c r="H102" i="9"/>
  <c r="G102" i="9"/>
  <c r="F102" i="9"/>
  <c r="E102" i="9"/>
  <c r="D102" i="9"/>
  <c r="C102" i="9"/>
  <c r="T102" i="9"/>
  <c r="U102" i="9"/>
  <c r="V102" i="9"/>
  <c r="AC102" i="9"/>
  <c r="AB102" i="9"/>
  <c r="QZ34" i="25"/>
  <c r="AA102" i="9" s="1"/>
  <c r="QY34" i="25"/>
  <c r="Z102" i="9" s="1"/>
  <c r="QX34" i="25"/>
  <c r="Y102" i="9" s="1"/>
  <c r="QW34" i="25"/>
  <c r="X102" i="9" s="1"/>
  <c r="QV34" i="25"/>
  <c r="W102" i="9" s="1"/>
  <c r="QD34" i="25"/>
  <c r="U81" i="9" s="1"/>
  <c r="J18" i="9"/>
  <c r="M18" i="9"/>
  <c r="I101" i="9"/>
  <c r="H101" i="9"/>
  <c r="G101" i="9"/>
  <c r="F101" i="9"/>
  <c r="E101" i="9"/>
  <c r="D101" i="9"/>
  <c r="C101" i="9"/>
  <c r="T101" i="9"/>
  <c r="U101" i="9"/>
  <c r="V101" i="9"/>
  <c r="AC101" i="9"/>
  <c r="AB101" i="9"/>
  <c r="QZ33" i="25"/>
  <c r="AA101" i="9" s="1"/>
  <c r="QY33" i="25"/>
  <c r="Z101" i="9" s="1"/>
  <c r="QX33" i="25"/>
  <c r="Y101" i="9" s="1"/>
  <c r="QW33" i="25"/>
  <c r="X101" i="9" s="1"/>
  <c r="QV33" i="25"/>
  <c r="W101" i="9" s="1"/>
  <c r="QD33" i="25"/>
  <c r="U80" i="9" s="1"/>
  <c r="J17" i="9"/>
  <c r="M17" i="9"/>
  <c r="I100" i="9"/>
  <c r="H100" i="9"/>
  <c r="G100" i="9"/>
  <c r="F100" i="9"/>
  <c r="E100" i="9"/>
  <c r="D100" i="9"/>
  <c r="C100" i="9"/>
  <c r="T100" i="9"/>
  <c r="U100" i="9"/>
  <c r="AC100" i="9"/>
  <c r="AB100" i="9"/>
  <c r="QZ32" i="25"/>
  <c r="AA100" i="9" s="1"/>
  <c r="QY32" i="25"/>
  <c r="Z100" i="9" s="1"/>
  <c r="QX32" i="25"/>
  <c r="Y100" i="9" s="1"/>
  <c r="QW32" i="25"/>
  <c r="X100" i="9" s="1"/>
  <c r="QV32" i="25"/>
  <c r="W100" i="9" s="1"/>
  <c r="QD32" i="25"/>
  <c r="U79" i="9" s="1"/>
  <c r="J16" i="9"/>
  <c r="M16" i="9"/>
  <c r="I99" i="9"/>
  <c r="H99" i="9"/>
  <c r="G99" i="9"/>
  <c r="F99" i="9"/>
  <c r="E99" i="9"/>
  <c r="D99" i="9"/>
  <c r="C99" i="9"/>
  <c r="T99" i="9"/>
  <c r="U99" i="9"/>
  <c r="AC99" i="9"/>
  <c r="QZ31" i="25"/>
  <c r="AA99" i="9" s="1"/>
  <c r="QY31" i="25"/>
  <c r="Z99" i="9" s="1"/>
  <c r="QX31" i="25"/>
  <c r="Y99" i="9" s="1"/>
  <c r="QW31" i="25"/>
  <c r="X99" i="9" s="1"/>
  <c r="QV31" i="25"/>
  <c r="W99" i="9" s="1"/>
  <c r="QD31" i="25"/>
  <c r="U78" i="9" s="1"/>
  <c r="J15" i="9"/>
  <c r="U98" i="9"/>
  <c r="V98" i="9"/>
  <c r="AC98" i="9"/>
  <c r="QZ30" i="25"/>
  <c r="AA98" i="9" s="1"/>
  <c r="QY30" i="25"/>
  <c r="Z98" i="9" s="1"/>
  <c r="QX30" i="25"/>
  <c r="Y98" i="9" s="1"/>
  <c r="QW30" i="25"/>
  <c r="X98" i="9" s="1"/>
  <c r="QV30" i="25"/>
  <c r="W98" i="9" s="1"/>
  <c r="J14" i="9"/>
  <c r="C12" i="25"/>
  <c r="C11" i="25"/>
  <c r="QQ30" i="25" l="1"/>
  <c r="O98" i="9" s="1"/>
  <c r="QO30" i="25"/>
  <c r="M98" i="9" s="1"/>
  <c r="QP42" i="25"/>
  <c r="QP31" i="25"/>
  <c r="QQ32" i="25"/>
  <c r="QO34" i="25"/>
  <c r="M102" i="9" s="1"/>
  <c r="QP35" i="25"/>
  <c r="N103" i="9" s="1"/>
  <c r="QQ36" i="25"/>
  <c r="O104" i="9" s="1"/>
  <c r="QO38" i="25"/>
  <c r="M106" i="9" s="1"/>
  <c r="QP39" i="25"/>
  <c r="N107" i="9" s="1"/>
  <c r="QQ40" i="25"/>
  <c r="O108" i="9" s="1"/>
  <c r="QQ42" i="25"/>
  <c r="QQ31" i="25"/>
  <c r="QO33" i="25"/>
  <c r="M101" i="9" s="1"/>
  <c r="QP34" i="25"/>
  <c r="N102" i="9" s="1"/>
  <c r="QQ35" i="25"/>
  <c r="O103" i="9" s="1"/>
  <c r="QO37" i="25"/>
  <c r="M105" i="9" s="1"/>
  <c r="QP38" i="25"/>
  <c r="N106" i="9" s="1"/>
  <c r="QQ39" i="25"/>
  <c r="O107" i="9" s="1"/>
  <c r="QO41" i="25"/>
  <c r="M109" i="9" s="1"/>
  <c r="QP30" i="25"/>
  <c r="N98" i="9" s="1"/>
  <c r="QO42" i="25"/>
  <c r="QO32" i="25"/>
  <c r="M100" i="9" s="1"/>
  <c r="QP33" i="25"/>
  <c r="N101" i="9" s="1"/>
  <c r="QQ34" i="25"/>
  <c r="O102" i="9" s="1"/>
  <c r="QO36" i="25"/>
  <c r="M104" i="9" s="1"/>
  <c r="QP37" i="25"/>
  <c r="N105" i="9" s="1"/>
  <c r="QQ38" i="25"/>
  <c r="O106" i="9" s="1"/>
  <c r="QO40" i="25"/>
  <c r="M108" i="9" s="1"/>
  <c r="QP41" i="25"/>
  <c r="N109" i="9" s="1"/>
  <c r="QO31" i="25"/>
  <c r="QP32" i="25"/>
  <c r="N100" i="9" s="1"/>
  <c r="QQ33" i="25"/>
  <c r="O101" i="9" s="1"/>
  <c r="QO35" i="25"/>
  <c r="M103" i="9" s="1"/>
  <c r="QP36" i="25"/>
  <c r="N104" i="9" s="1"/>
  <c r="QQ37" i="25"/>
  <c r="O105" i="9" s="1"/>
  <c r="QO39" i="25"/>
  <c r="M107" i="9" s="1"/>
  <c r="QP40" i="25"/>
  <c r="N108" i="9" s="1"/>
  <c r="QQ41" i="25"/>
  <c r="O109" i="9" s="1"/>
  <c r="NK30" i="25"/>
  <c r="NK42" i="25"/>
  <c r="NK34" i="25"/>
  <c r="K18" i="9" s="1"/>
  <c r="NK38" i="25"/>
  <c r="K22" i="9" s="1"/>
  <c r="O100" i="9"/>
  <c r="NK31" i="25"/>
  <c r="K15" i="9" s="1"/>
  <c r="NK35" i="25"/>
  <c r="K19" i="9" s="1"/>
  <c r="NK39" i="25"/>
  <c r="K23" i="9" s="1"/>
  <c r="NK32" i="25"/>
  <c r="K16" i="9" s="1"/>
  <c r="NK36" i="25"/>
  <c r="K20" i="9" s="1"/>
  <c r="NK40" i="25"/>
  <c r="K24" i="9" s="1"/>
  <c r="NK33" i="25"/>
  <c r="K17" i="9" s="1"/>
  <c r="NK37" i="25"/>
  <c r="K21" i="9" s="1"/>
  <c r="NK41" i="25"/>
  <c r="K25" i="9" s="1"/>
  <c r="AE81" i="9"/>
  <c r="AE85" i="9"/>
  <c r="AE77" i="9"/>
  <c r="AE78" i="9"/>
  <c r="AE82" i="9"/>
  <c r="AE86" i="9"/>
  <c r="AE79" i="9"/>
  <c r="AE83" i="9"/>
  <c r="AE87" i="9"/>
  <c r="AE80" i="9"/>
  <c r="AE84" i="9"/>
  <c r="AE88" i="9"/>
  <c r="K78" i="9"/>
  <c r="K82" i="9"/>
  <c r="K86" i="9"/>
  <c r="K77" i="9"/>
  <c r="K79" i="9"/>
  <c r="K83" i="9"/>
  <c r="K87" i="9"/>
  <c r="K80" i="9"/>
  <c r="K84" i="9"/>
  <c r="K88" i="9"/>
  <c r="K81" i="9"/>
  <c r="K85" i="9"/>
  <c r="NI30" i="25"/>
  <c r="QI31" i="25"/>
  <c r="Z78" i="9" s="1"/>
  <c r="QI32" i="25"/>
  <c r="Z79" i="9" s="1"/>
  <c r="QI33" i="25"/>
  <c r="Z80" i="9" s="1"/>
  <c r="QI34" i="25"/>
  <c r="Z81" i="9" s="1"/>
  <c r="QI35" i="25"/>
  <c r="Z82" i="9" s="1"/>
  <c r="QI36" i="25"/>
  <c r="Z83" i="9" s="1"/>
  <c r="QI37" i="25"/>
  <c r="Z84" i="9" s="1"/>
  <c r="QI38" i="25"/>
  <c r="Z85" i="9" s="1"/>
  <c r="QI39" i="25"/>
  <c r="Z86" i="9" s="1"/>
  <c r="QI40" i="25"/>
  <c r="Z87" i="9" s="1"/>
  <c r="QI41" i="25"/>
  <c r="Z88" i="9" s="1"/>
  <c r="QI30" i="25"/>
  <c r="Z77" i="9" s="1"/>
  <c r="QA32" i="25"/>
  <c r="R79" i="9" s="1"/>
  <c r="PZ33" i="25"/>
  <c r="Q80" i="9" s="1"/>
  <c r="QC34" i="25"/>
  <c r="T81" i="9" s="1"/>
  <c r="QA36" i="25"/>
  <c r="R83" i="9" s="1"/>
  <c r="PZ37" i="25"/>
  <c r="Q84" i="9" s="1"/>
  <c r="QC38" i="25"/>
  <c r="T85" i="9" s="1"/>
  <c r="QA40" i="25"/>
  <c r="R87" i="9" s="1"/>
  <c r="PZ41" i="25"/>
  <c r="Q88" i="9" s="1"/>
  <c r="QA30" i="25"/>
  <c r="R77" i="9" s="1"/>
  <c r="PO31" i="25"/>
  <c r="F78" i="9" s="1"/>
  <c r="PU31" i="25"/>
  <c r="L78" i="9" s="1"/>
  <c r="PM32" i="25"/>
  <c r="PR32" i="25"/>
  <c r="I79" i="9" s="1"/>
  <c r="N79" i="9"/>
  <c r="PO33" i="25"/>
  <c r="F80" i="9" s="1"/>
  <c r="PU33" i="25"/>
  <c r="L80" i="9" s="1"/>
  <c r="PM34" i="25"/>
  <c r="PR34" i="25"/>
  <c r="I81" i="9" s="1"/>
  <c r="N81" i="9"/>
  <c r="PO35" i="25"/>
  <c r="F82" i="9" s="1"/>
  <c r="PU35" i="25"/>
  <c r="L82" i="9" s="1"/>
  <c r="PM36" i="25"/>
  <c r="PR36" i="25"/>
  <c r="I83" i="9" s="1"/>
  <c r="N83" i="9"/>
  <c r="PO37" i="25"/>
  <c r="F84" i="9" s="1"/>
  <c r="PU37" i="25"/>
  <c r="L84" i="9" s="1"/>
  <c r="PM38" i="25"/>
  <c r="PR38" i="25"/>
  <c r="I85" i="9" s="1"/>
  <c r="N85" i="9"/>
  <c r="PO39" i="25"/>
  <c r="F86" i="9" s="1"/>
  <c r="PU39" i="25"/>
  <c r="L86" i="9" s="1"/>
  <c r="PM40" i="25"/>
  <c r="PR40" i="25"/>
  <c r="I87" i="9" s="1"/>
  <c r="N87" i="9"/>
  <c r="PO41" i="25"/>
  <c r="F88" i="9" s="1"/>
  <c r="PU41" i="25"/>
  <c r="L88" i="9" s="1"/>
  <c r="G77" i="9"/>
  <c r="QJ31" i="25"/>
  <c r="AA78" i="9" s="1"/>
  <c r="QJ32" i="25"/>
  <c r="AA79" i="9" s="1"/>
  <c r="QJ33" i="25"/>
  <c r="AA80" i="9" s="1"/>
  <c r="QJ34" i="25"/>
  <c r="AA81" i="9" s="1"/>
  <c r="QG31" i="25"/>
  <c r="X78" i="9" s="1"/>
  <c r="QK31" i="25"/>
  <c r="AB78" i="9" s="1"/>
  <c r="QG32" i="25"/>
  <c r="X79" i="9" s="1"/>
  <c r="QK32" i="25"/>
  <c r="AB79" i="9" s="1"/>
  <c r="QG33" i="25"/>
  <c r="X80" i="9" s="1"/>
  <c r="QK33" i="25"/>
  <c r="AB80" i="9" s="1"/>
  <c r="QG34" i="25"/>
  <c r="X81" i="9" s="1"/>
  <c r="QK34" i="25"/>
  <c r="AB81" i="9" s="1"/>
  <c r="QG35" i="25"/>
  <c r="X82" i="9" s="1"/>
  <c r="QK35" i="25"/>
  <c r="AB82" i="9" s="1"/>
  <c r="QG36" i="25"/>
  <c r="X83" i="9" s="1"/>
  <c r="QK36" i="25"/>
  <c r="AB83" i="9" s="1"/>
  <c r="QG37" i="25"/>
  <c r="X84" i="9" s="1"/>
  <c r="QK37" i="25"/>
  <c r="AB84" i="9" s="1"/>
  <c r="QG38" i="25"/>
  <c r="X85" i="9" s="1"/>
  <c r="QK38" i="25"/>
  <c r="AB85" i="9" s="1"/>
  <c r="QG39" i="25"/>
  <c r="X86" i="9" s="1"/>
  <c r="QK39" i="25"/>
  <c r="AB86" i="9" s="1"/>
  <c r="QG40" i="25"/>
  <c r="X87" i="9" s="1"/>
  <c r="QK40" i="25"/>
  <c r="AB87" i="9" s="1"/>
  <c r="QG41" i="25"/>
  <c r="X88" i="9" s="1"/>
  <c r="QK41" i="25"/>
  <c r="AB88" i="9" s="1"/>
  <c r="QK30" i="25"/>
  <c r="AB77" i="9" s="1"/>
  <c r="QG30" i="25"/>
  <c r="X77" i="9" s="1"/>
  <c r="PZ31" i="25"/>
  <c r="Q78" i="9" s="1"/>
  <c r="QC32" i="25"/>
  <c r="T79" i="9" s="1"/>
  <c r="QA34" i="25"/>
  <c r="R81" i="9" s="1"/>
  <c r="PZ35" i="25"/>
  <c r="Q82" i="9" s="1"/>
  <c r="QC36" i="25"/>
  <c r="T83" i="9" s="1"/>
  <c r="QA38" i="25"/>
  <c r="R85" i="9" s="1"/>
  <c r="PZ39" i="25"/>
  <c r="Q86" i="9" s="1"/>
  <c r="QC40" i="25"/>
  <c r="T87" i="9" s="1"/>
  <c r="QC30" i="25"/>
  <c r="T77" i="9" s="1"/>
  <c r="PM31" i="25"/>
  <c r="PR31" i="25"/>
  <c r="I78" i="9" s="1"/>
  <c r="N78" i="9"/>
  <c r="PO32" i="25"/>
  <c r="F79" i="9" s="1"/>
  <c r="PU32" i="25"/>
  <c r="L79" i="9" s="1"/>
  <c r="PM33" i="25"/>
  <c r="PR33" i="25"/>
  <c r="I80" i="9" s="1"/>
  <c r="N80" i="9"/>
  <c r="PO34" i="25"/>
  <c r="F81" i="9" s="1"/>
  <c r="PU34" i="25"/>
  <c r="L81" i="9" s="1"/>
  <c r="PM35" i="25"/>
  <c r="PR35" i="25"/>
  <c r="I82" i="9" s="1"/>
  <c r="N82" i="9"/>
  <c r="PO36" i="25"/>
  <c r="F83" i="9" s="1"/>
  <c r="PU36" i="25"/>
  <c r="L83" i="9" s="1"/>
  <c r="PM37" i="25"/>
  <c r="PR37" i="25"/>
  <c r="I84" i="9" s="1"/>
  <c r="N84" i="9"/>
  <c r="PO38" i="25"/>
  <c r="F85" i="9" s="1"/>
  <c r="PU38" i="25"/>
  <c r="L85" i="9" s="1"/>
  <c r="PM39" i="25"/>
  <c r="PR39" i="25"/>
  <c r="I86" i="9" s="1"/>
  <c r="N86" i="9"/>
  <c r="PO40" i="25"/>
  <c r="F87" i="9" s="1"/>
  <c r="PU40" i="25"/>
  <c r="L87" i="9" s="1"/>
  <c r="PM41" i="25"/>
  <c r="PR41" i="25"/>
  <c r="I88" i="9" s="1"/>
  <c r="N88" i="9"/>
  <c r="G81" i="9"/>
  <c r="G83" i="9"/>
  <c r="G85" i="9"/>
  <c r="G87" i="9"/>
  <c r="N77" i="9"/>
  <c r="QH31" i="25"/>
  <c r="Y78" i="9" s="1"/>
  <c r="QL31" i="25"/>
  <c r="AC78" i="9" s="1"/>
  <c r="QH32" i="25"/>
  <c r="Y79" i="9" s="1"/>
  <c r="QL32" i="25"/>
  <c r="AC79" i="9" s="1"/>
  <c r="QH33" i="25"/>
  <c r="Y80" i="9" s="1"/>
  <c r="QL33" i="25"/>
  <c r="AC80" i="9" s="1"/>
  <c r="QH34" i="25"/>
  <c r="Y81" i="9" s="1"/>
  <c r="QL34" i="25"/>
  <c r="AC81" i="9" s="1"/>
  <c r="QH35" i="25"/>
  <c r="Y82" i="9" s="1"/>
  <c r="QL35" i="25"/>
  <c r="AC82" i="9" s="1"/>
  <c r="QH36" i="25"/>
  <c r="Y83" i="9" s="1"/>
  <c r="QL36" i="25"/>
  <c r="AC83" i="9" s="1"/>
  <c r="QH37" i="25"/>
  <c r="Y84" i="9" s="1"/>
  <c r="QL37" i="25"/>
  <c r="AC84" i="9" s="1"/>
  <c r="QH38" i="25"/>
  <c r="Y85" i="9" s="1"/>
  <c r="QL38" i="25"/>
  <c r="AC85" i="9" s="1"/>
  <c r="QH39" i="25"/>
  <c r="Y86" i="9" s="1"/>
  <c r="QL39" i="25"/>
  <c r="AC86" i="9" s="1"/>
  <c r="QH40" i="25"/>
  <c r="Y87" i="9" s="1"/>
  <c r="QL40" i="25"/>
  <c r="AC87" i="9" s="1"/>
  <c r="QH41" i="25"/>
  <c r="Y88" i="9" s="1"/>
  <c r="QL41" i="25"/>
  <c r="AC88" i="9" s="1"/>
  <c r="QJ30" i="25"/>
  <c r="AA77" i="9" s="1"/>
  <c r="QC31" i="25"/>
  <c r="T78" i="9" s="1"/>
  <c r="QA33" i="25"/>
  <c r="R80" i="9" s="1"/>
  <c r="PZ34" i="25"/>
  <c r="Q81" i="9" s="1"/>
  <c r="QC35" i="25"/>
  <c r="T82" i="9" s="1"/>
  <c r="QA37" i="25"/>
  <c r="R84" i="9" s="1"/>
  <c r="PZ38" i="25"/>
  <c r="Q85" i="9" s="1"/>
  <c r="QC39" i="25"/>
  <c r="T86" i="9" s="1"/>
  <c r="QA41" i="25"/>
  <c r="R88" i="9" s="1"/>
  <c r="PZ30" i="25"/>
  <c r="Q77" i="9" s="1"/>
  <c r="G79" i="9"/>
  <c r="QJ37" i="25"/>
  <c r="AA84" i="9" s="1"/>
  <c r="QJ36" i="25"/>
  <c r="AA83" i="9" s="1"/>
  <c r="QJ40" i="25"/>
  <c r="AA87" i="9" s="1"/>
  <c r="QA31" i="25"/>
  <c r="R78" i="9" s="1"/>
  <c r="PZ36" i="25"/>
  <c r="Q83" i="9" s="1"/>
  <c r="QC41" i="25"/>
  <c r="T88" i="9" s="1"/>
  <c r="G82" i="9"/>
  <c r="G88" i="9"/>
  <c r="PO30" i="25"/>
  <c r="F77" i="9" s="1"/>
  <c r="QC33" i="25"/>
  <c r="T80" i="9" s="1"/>
  <c r="QA39" i="25"/>
  <c r="R86" i="9" s="1"/>
  <c r="G86" i="9"/>
  <c r="PU30" i="25"/>
  <c r="L77" i="9" s="1"/>
  <c r="QA35" i="25"/>
  <c r="R82" i="9" s="1"/>
  <c r="G80" i="9"/>
  <c r="QJ35" i="25"/>
  <c r="AA82" i="9" s="1"/>
  <c r="QJ39" i="25"/>
  <c r="AA86" i="9" s="1"/>
  <c r="QH30" i="25"/>
  <c r="Y77" i="9" s="1"/>
  <c r="PZ32" i="25"/>
  <c r="Q79" i="9" s="1"/>
  <c r="QC37" i="25"/>
  <c r="T84" i="9" s="1"/>
  <c r="G84" i="9"/>
  <c r="PM30" i="25"/>
  <c r="QJ38" i="25"/>
  <c r="AA85" i="9" s="1"/>
  <c r="G78" i="9"/>
  <c r="QJ41" i="25"/>
  <c r="AA88" i="9" s="1"/>
  <c r="PZ40" i="25"/>
  <c r="Q87" i="9" s="1"/>
  <c r="I77" i="9"/>
  <c r="NM42" i="25"/>
  <c r="M26" i="9" s="1"/>
  <c r="UO43" i="25"/>
  <c r="NU42" i="25"/>
  <c r="X26" i="9" s="1"/>
  <c r="UP54" i="25"/>
  <c r="TV54" i="25"/>
  <c r="UP50" i="25"/>
  <c r="TV50" i="25"/>
  <c r="UP45" i="25"/>
  <c r="TV45" i="25"/>
  <c r="TV48" i="25"/>
  <c r="UP48" i="25"/>
  <c r="UP49" i="25"/>
  <c r="TV49" i="25"/>
  <c r="TV52" i="25"/>
  <c r="UP52" i="25"/>
  <c r="UP43" i="25"/>
  <c r="TV43" i="25"/>
  <c r="UP46" i="25"/>
  <c r="TV46" i="25"/>
  <c r="UP53" i="25"/>
  <c r="TV53" i="25"/>
  <c r="UP51" i="25"/>
  <c r="TV51" i="25"/>
  <c r="UP47" i="25"/>
  <c r="TV47" i="25"/>
  <c r="TV44" i="25"/>
  <c r="UP44" i="25"/>
  <c r="QW42" i="25"/>
  <c r="X110" i="9" s="1"/>
  <c r="QV42" i="25"/>
  <c r="QZ42" i="25"/>
  <c r="AA110" i="9" s="1"/>
  <c r="F98" i="9"/>
  <c r="RF42" i="25"/>
  <c r="F110" i="9" s="1"/>
  <c r="C98" i="9"/>
  <c r="RC42" i="25"/>
  <c r="G98" i="9"/>
  <c r="RG42" i="25"/>
  <c r="G110" i="9" s="1"/>
  <c r="D98" i="9"/>
  <c r="RD42" i="25"/>
  <c r="D110" i="9" s="1"/>
  <c r="H98" i="9"/>
  <c r="RH42" i="25"/>
  <c r="H110" i="9" s="1"/>
  <c r="E98" i="9"/>
  <c r="RE42" i="25"/>
  <c r="E110" i="9" s="1"/>
  <c r="I98" i="9"/>
  <c r="RI42" i="25"/>
  <c r="I110" i="9" s="1"/>
  <c r="V99" i="9"/>
  <c r="QU42" i="25"/>
  <c r="QX42" i="25"/>
  <c r="Y110" i="9" s="1"/>
  <c r="QY42" i="25"/>
  <c r="Z110" i="9" s="1"/>
  <c r="AB99" i="9"/>
  <c r="M15" i="9"/>
  <c r="PS30" i="25"/>
  <c r="J77" i="9" s="1"/>
  <c r="PY30" i="25"/>
  <c r="P77" i="9" s="1"/>
  <c r="C15" i="9"/>
  <c r="A115" i="9"/>
  <c r="QD42" i="25"/>
  <c r="QS42" i="25"/>
  <c r="T110" i="9" s="1"/>
  <c r="T98" i="9"/>
  <c r="M14" i="9"/>
  <c r="AB98" i="9"/>
  <c r="QE42" i="25"/>
  <c r="V100" i="9"/>
  <c r="C17" i="9"/>
  <c r="NI38" i="25"/>
  <c r="NI39" i="25"/>
  <c r="NI35" i="25"/>
  <c r="NI40" i="25"/>
  <c r="NI36" i="25"/>
  <c r="NI41" i="25"/>
  <c r="ND41" i="25" s="1"/>
  <c r="NE41" i="25" s="1"/>
  <c r="NI37" i="25"/>
  <c r="NI32" i="25"/>
  <c r="NI31" i="25"/>
  <c r="ND31" i="25" s="1"/>
  <c r="NE31" i="25" s="1"/>
  <c r="NI33" i="25"/>
  <c r="ND33" i="25" s="1"/>
  <c r="NE33" i="25" s="1"/>
  <c r="NI34" i="25"/>
  <c r="S88" i="9"/>
  <c r="J88" i="9"/>
  <c r="S86" i="9"/>
  <c r="PY38" i="25"/>
  <c r="P85" i="9" s="1"/>
  <c r="PS37" i="25"/>
  <c r="J84" i="9" s="1"/>
  <c r="S82" i="9"/>
  <c r="PY34" i="25"/>
  <c r="P81" i="9" s="1"/>
  <c r="S87" i="9"/>
  <c r="PY39" i="25"/>
  <c r="P86" i="9" s="1"/>
  <c r="PS38" i="25"/>
  <c r="J85" i="9" s="1"/>
  <c r="S83" i="9"/>
  <c r="PY35" i="25"/>
  <c r="P82" i="9" s="1"/>
  <c r="PS34" i="25"/>
  <c r="J81" i="9" s="1"/>
  <c r="PY40" i="25"/>
  <c r="P87" i="9" s="1"/>
  <c r="PS39" i="25"/>
  <c r="J86" i="9" s="1"/>
  <c r="S84" i="9"/>
  <c r="PY36" i="25"/>
  <c r="P83" i="9" s="1"/>
  <c r="PS35" i="25"/>
  <c r="J82" i="9" s="1"/>
  <c r="S79" i="9"/>
  <c r="PS40" i="25"/>
  <c r="J87" i="9" s="1"/>
  <c r="PS36" i="25"/>
  <c r="J83" i="9" s="1"/>
  <c r="S81" i="9"/>
  <c r="S80" i="9"/>
  <c r="PY32" i="25"/>
  <c r="P79" i="9" s="1"/>
  <c r="S78" i="9"/>
  <c r="PS32" i="25"/>
  <c r="J79" i="9" s="1"/>
  <c r="PY31" i="25"/>
  <c r="P78" i="9" s="1"/>
  <c r="PY33" i="25"/>
  <c r="P80" i="9" s="1"/>
  <c r="PY41" i="25"/>
  <c r="P88" i="9" s="1"/>
  <c r="S85" i="9"/>
  <c r="PY37" i="25"/>
  <c r="P84" i="9" s="1"/>
  <c r="PS31" i="25"/>
  <c r="J78" i="9" s="1"/>
  <c r="C22" i="9"/>
  <c r="C23" i="9"/>
  <c r="C18" i="9"/>
  <c r="C20" i="9"/>
  <c r="PS33" i="25"/>
  <c r="J80" i="9" s="1"/>
  <c r="QT42" i="25"/>
  <c r="QM37" i="25"/>
  <c r="QR41" i="25"/>
  <c r="QR40" i="25"/>
  <c r="QR39" i="25"/>
  <c r="QR38" i="25"/>
  <c r="QR37" i="25"/>
  <c r="QR36" i="25"/>
  <c r="QR35" i="25"/>
  <c r="QR34" i="25"/>
  <c r="QR33" i="25"/>
  <c r="QR32" i="25"/>
  <c r="QR31" i="25"/>
  <c r="QR42" i="25"/>
  <c r="QR30" i="25"/>
  <c r="D82" i="9" l="1"/>
  <c r="D81" i="9"/>
  <c r="D88" i="9"/>
  <c r="D80" i="9"/>
  <c r="D87" i="9"/>
  <c r="D79" i="9"/>
  <c r="D86" i="9"/>
  <c r="D78" i="9"/>
  <c r="D85" i="9"/>
  <c r="D77" i="9"/>
  <c r="D84" i="9"/>
  <c r="D83" i="9"/>
  <c r="V89" i="9"/>
  <c r="U89" i="9"/>
  <c r="QV43" i="25"/>
  <c r="W111" i="9" s="1"/>
  <c r="W110" i="9"/>
  <c r="QN42" i="25"/>
  <c r="AE89" i="9" s="1"/>
  <c r="K26" i="9"/>
  <c r="ND30" i="25"/>
  <c r="NE30" i="25" s="1"/>
  <c r="ND42" i="25"/>
  <c r="I18" i="9"/>
  <c r="ND34" i="25"/>
  <c r="NE34" i="25" s="1"/>
  <c r="I21" i="9"/>
  <c r="ND37" i="25"/>
  <c r="NE37" i="25" s="1"/>
  <c r="I19" i="9"/>
  <c r="ND35" i="25"/>
  <c r="NE35" i="25" s="1"/>
  <c r="I23" i="9"/>
  <c r="ND39" i="25"/>
  <c r="NE39" i="25" s="1"/>
  <c r="I20" i="9"/>
  <c r="ND36" i="25"/>
  <c r="NE36" i="25" s="1"/>
  <c r="I22" i="9"/>
  <c r="ND38" i="25"/>
  <c r="NE38" i="25" s="1"/>
  <c r="I16" i="9"/>
  <c r="ND32" i="25"/>
  <c r="NE32" i="25" s="1"/>
  <c r="I24" i="9"/>
  <c r="ND40" i="25"/>
  <c r="NE40" i="25" s="1"/>
  <c r="I25" i="9"/>
  <c r="K14" i="9"/>
  <c r="QW43" i="25"/>
  <c r="X111" i="9" s="1"/>
  <c r="PK42" i="25"/>
  <c r="P67" i="9" s="1"/>
  <c r="PJ42" i="25"/>
  <c r="O67" i="9" s="1"/>
  <c r="V110" i="9"/>
  <c r="QS43" i="25"/>
  <c r="T111" i="9" s="1"/>
  <c r="QH42" i="25"/>
  <c r="Y89" i="9" s="1"/>
  <c r="PT42" i="25"/>
  <c r="I14" i="9"/>
  <c r="O99" i="9"/>
  <c r="O110" i="9"/>
  <c r="M99" i="9"/>
  <c r="M110" i="9"/>
  <c r="N99" i="9"/>
  <c r="N110" i="9"/>
  <c r="PV42" i="25"/>
  <c r="AI78" i="9"/>
  <c r="PY42" i="25"/>
  <c r="PL42" i="25"/>
  <c r="N15" i="9"/>
  <c r="PM42" i="25"/>
  <c r="D89" i="9" s="1"/>
  <c r="PS42" i="25"/>
  <c r="QD43" i="25"/>
  <c r="U90" i="9" s="1"/>
  <c r="C24" i="9"/>
  <c r="C14" i="9"/>
  <c r="P101" i="9"/>
  <c r="U110" i="9"/>
  <c r="UM52" i="25"/>
  <c r="I15" i="9"/>
  <c r="QZ43" i="25"/>
  <c r="AA111" i="9" s="1"/>
  <c r="UT44" i="25"/>
  <c r="QK42" i="25"/>
  <c r="AB89" i="9" s="1"/>
  <c r="I17" i="9"/>
  <c r="QY43" i="25"/>
  <c r="Z111" i="9" s="1"/>
  <c r="PO42" i="25"/>
  <c r="UM50" i="25"/>
  <c r="AC111" i="9"/>
  <c r="AC110" i="9"/>
  <c r="UO47" i="25"/>
  <c r="RA43" i="25"/>
  <c r="AB111" i="9" s="1"/>
  <c r="AB110" i="9"/>
  <c r="P105" i="9"/>
  <c r="C21" i="9"/>
  <c r="P100" i="9"/>
  <c r="C16" i="9"/>
  <c r="C25" i="9"/>
  <c r="UO45" i="25"/>
  <c r="UM54" i="25"/>
  <c r="UO49" i="25"/>
  <c r="UO51" i="25"/>
  <c r="P106" i="9"/>
  <c r="P103" i="9"/>
  <c r="C19" i="9"/>
  <c r="UO53" i="25"/>
  <c r="UM48" i="25"/>
  <c r="P104" i="9"/>
  <c r="N24" i="9"/>
  <c r="AI87" i="9"/>
  <c r="N89" i="9"/>
  <c r="QJ42" i="25"/>
  <c r="AA89" i="9" s="1"/>
  <c r="G89" i="9"/>
  <c r="N14" i="9"/>
  <c r="AI77" i="9"/>
  <c r="N23" i="9"/>
  <c r="AI86" i="9"/>
  <c r="QG42" i="25"/>
  <c r="X89" i="9" s="1"/>
  <c r="QA42" i="25"/>
  <c r="UO50" i="25"/>
  <c r="UM44" i="25"/>
  <c r="UO54" i="25"/>
  <c r="UO48" i="25"/>
  <c r="UO52" i="25"/>
  <c r="P108" i="9"/>
  <c r="AI79" i="9"/>
  <c r="QI42" i="25"/>
  <c r="Z89" i="9" s="1"/>
  <c r="UM46" i="25"/>
  <c r="P107" i="9"/>
  <c r="N17" i="9"/>
  <c r="AI80" i="9"/>
  <c r="QL42" i="25"/>
  <c r="AC89" i="9" s="1"/>
  <c r="N25" i="9"/>
  <c r="AI88" i="9"/>
  <c r="AI81" i="9"/>
  <c r="N18" i="9"/>
  <c r="AI85" i="9"/>
  <c r="N22" i="9"/>
  <c r="QC42" i="25"/>
  <c r="N20" i="9"/>
  <c r="AI83" i="9"/>
  <c r="N19" i="9"/>
  <c r="AI82" i="9"/>
  <c r="AI84" i="9"/>
  <c r="PU42" i="25"/>
  <c r="L89" i="9" s="1"/>
  <c r="PR42" i="25"/>
  <c r="I89" i="9" s="1"/>
  <c r="PZ42" i="25"/>
  <c r="Q89" i="9" s="1"/>
  <c r="UM47" i="25"/>
  <c r="UO46" i="25"/>
  <c r="UM45" i="25"/>
  <c r="UM49" i="25"/>
  <c r="UM53" i="25"/>
  <c r="UM51" i="25"/>
  <c r="NI42" i="25"/>
  <c r="I26" i="9" s="1"/>
  <c r="P102" i="9"/>
  <c r="P109" i="9"/>
  <c r="QB42" i="25"/>
  <c r="S89" i="9" s="1"/>
  <c r="QM38" i="25"/>
  <c r="QM33" i="25"/>
  <c r="QM39" i="25"/>
  <c r="QM41" i="25"/>
  <c r="QM34" i="25"/>
  <c r="QM36" i="25"/>
  <c r="QM32" i="25"/>
  <c r="QM30" i="25"/>
  <c r="QM40" i="25"/>
  <c r="QM31" i="25"/>
  <c r="QM35" i="25"/>
  <c r="AD83" i="9" l="1"/>
  <c r="AD78" i="9"/>
  <c r="AD81" i="9"/>
  <c r="AD84" i="9"/>
  <c r="AD86" i="9"/>
  <c r="AD88" i="9"/>
  <c r="AD77" i="9"/>
  <c r="AD79" i="9"/>
  <c r="AD80" i="9"/>
  <c r="AD85" i="9"/>
  <c r="AD87" i="9"/>
  <c r="AD82" i="9"/>
  <c r="R89" i="9"/>
  <c r="F89" i="9"/>
  <c r="M89" i="9"/>
  <c r="C89" i="9"/>
  <c r="J89" i="9"/>
  <c r="P89" i="9"/>
  <c r="T89" i="9"/>
  <c r="K89" i="9"/>
  <c r="E17" i="9"/>
  <c r="E15" i="9"/>
  <c r="QC43" i="25"/>
  <c r="T90" i="9" s="1"/>
  <c r="QL43" i="25"/>
  <c r="AC90" i="9" s="1"/>
  <c r="QI43" i="25"/>
  <c r="Z90" i="9" s="1"/>
  <c r="QJ43" i="25"/>
  <c r="AA90" i="9" s="1"/>
  <c r="QK43" i="25"/>
  <c r="AB90" i="9" s="1"/>
  <c r="PZ43" i="25"/>
  <c r="Q90" i="9" s="1"/>
  <c r="QM42" i="25"/>
  <c r="AD89" i="9" s="1"/>
  <c r="E14" i="9"/>
  <c r="NS42" i="25"/>
  <c r="V26" i="9" s="1"/>
  <c r="NR42" i="25"/>
  <c r="U26" i="9" s="1"/>
  <c r="OD42" i="25"/>
  <c r="AG26" i="9" s="1"/>
  <c r="R26" i="9"/>
  <c r="UO44" i="25"/>
  <c r="NY42" i="25"/>
  <c r="AB26" i="9" s="1"/>
  <c r="NX42" i="25"/>
  <c r="AA26" i="9" s="1"/>
  <c r="US43" i="25"/>
  <c r="TY43" i="25"/>
  <c r="TY45" i="25"/>
  <c r="US45" i="25"/>
  <c r="US49" i="25"/>
  <c r="TY49" i="25"/>
  <c r="US50" i="25"/>
  <c r="TY50" i="25"/>
  <c r="UN53" i="25"/>
  <c r="TU53" i="25"/>
  <c r="TU52" i="25"/>
  <c r="UN52" i="25"/>
  <c r="UN43" i="25"/>
  <c r="TU43" i="25"/>
  <c r="TY48" i="25"/>
  <c r="US48" i="25"/>
  <c r="US54" i="25"/>
  <c r="TY54" i="25"/>
  <c r="UN49" i="25"/>
  <c r="TU49" i="25"/>
  <c r="TU48" i="25"/>
  <c r="UN48" i="25"/>
  <c r="UN51" i="25"/>
  <c r="TU51" i="25"/>
  <c r="US46" i="25"/>
  <c r="TY46" i="25"/>
  <c r="TY47" i="25"/>
  <c r="US47" i="25"/>
  <c r="TY52" i="25"/>
  <c r="US52" i="25"/>
  <c r="TU46" i="25"/>
  <c r="UN46" i="25"/>
  <c r="UN45" i="25"/>
  <c r="TU45" i="25"/>
  <c r="TU54" i="25"/>
  <c r="UN54" i="25"/>
  <c r="TU44" i="25"/>
  <c r="UN44" i="25"/>
  <c r="TU50" i="25"/>
  <c r="UN50" i="25"/>
  <c r="UN47" i="25"/>
  <c r="TU47" i="25"/>
  <c r="UM43" i="25"/>
  <c r="TY44" i="25"/>
  <c r="US44" i="25"/>
  <c r="US53" i="25"/>
  <c r="TY53" i="25"/>
  <c r="US51" i="25"/>
  <c r="TY51" i="25"/>
  <c r="QG43" i="25"/>
  <c r="X90" i="9" s="1"/>
  <c r="P99" i="9"/>
  <c r="P110" i="9"/>
  <c r="F15" i="9"/>
  <c r="D15" i="9"/>
  <c r="UL50" i="25"/>
  <c r="PL43" i="25"/>
  <c r="C90" i="9" s="1"/>
  <c r="UU46" i="25"/>
  <c r="UH47" i="25"/>
  <c r="UU43" i="25"/>
  <c r="R19" i="9"/>
  <c r="R23" i="9"/>
  <c r="R25" i="9"/>
  <c r="R18" i="9"/>
  <c r="R21" i="9"/>
  <c r="R16" i="9"/>
  <c r="R22" i="9"/>
  <c r="R15" i="9"/>
  <c r="R17" i="9"/>
  <c r="R20" i="9"/>
  <c r="R24" i="9"/>
  <c r="UA52" i="25"/>
  <c r="UX52" i="25"/>
  <c r="UL52" i="25"/>
  <c r="UJ52" i="25"/>
  <c r="UJ50" i="25"/>
  <c r="UK44" i="25"/>
  <c r="TT44" i="25"/>
  <c r="UJ48" i="25"/>
  <c r="UH45" i="25"/>
  <c r="D17" i="9"/>
  <c r="E21" i="9"/>
  <c r="D21" i="9"/>
  <c r="UI48" i="25"/>
  <c r="UG46" i="25"/>
  <c r="F20" i="9"/>
  <c r="F18" i="9"/>
  <c r="UT48" i="25"/>
  <c r="UU51" i="25"/>
  <c r="UI54" i="25"/>
  <c r="UT52" i="25"/>
  <c r="F23" i="9"/>
  <c r="UT47" i="25"/>
  <c r="UI44" i="25"/>
  <c r="UG53" i="25"/>
  <c r="E16" i="9"/>
  <c r="D16" i="9"/>
  <c r="UH46" i="25"/>
  <c r="UU44" i="25"/>
  <c r="UG47" i="25"/>
  <c r="UG54" i="25"/>
  <c r="UT50" i="25"/>
  <c r="UV49" i="25"/>
  <c r="D14" i="9"/>
  <c r="F21" i="9"/>
  <c r="F22" i="9"/>
  <c r="UK46" i="25"/>
  <c r="UU48" i="25"/>
  <c r="UV45" i="25"/>
  <c r="F16" i="9"/>
  <c r="E19" i="9"/>
  <c r="D19" i="9"/>
  <c r="UL48" i="25"/>
  <c r="UH54" i="25"/>
  <c r="UT46" i="25"/>
  <c r="F14" i="9"/>
  <c r="UT45" i="25"/>
  <c r="UH53" i="25"/>
  <c r="UH51" i="25"/>
  <c r="UV50" i="25"/>
  <c r="UT49" i="25"/>
  <c r="UL46" i="25"/>
  <c r="E20" i="9"/>
  <c r="D20" i="9"/>
  <c r="UT54" i="25"/>
  <c r="UV47" i="25"/>
  <c r="UV54" i="25"/>
  <c r="UG44" i="25"/>
  <c r="UU47" i="25"/>
  <c r="F24" i="9"/>
  <c r="UV53" i="25"/>
  <c r="UG49" i="25"/>
  <c r="E22" i="9"/>
  <c r="D22" i="9"/>
  <c r="UI52" i="25"/>
  <c r="UG50" i="25"/>
  <c r="UH52" i="25"/>
  <c r="F19" i="9"/>
  <c r="E18" i="9"/>
  <c r="D18" i="9"/>
  <c r="UI51" i="25"/>
  <c r="UI45" i="25"/>
  <c r="UI47" i="25"/>
  <c r="UG51" i="25"/>
  <c r="UI46" i="25"/>
  <c r="UT53" i="25"/>
  <c r="E24" i="9"/>
  <c r="D24" i="9"/>
  <c r="UV52" i="25"/>
  <c r="UV48" i="25"/>
  <c r="UH48" i="25"/>
  <c r="F17" i="9"/>
  <c r="UU52" i="25"/>
  <c r="UI49" i="25"/>
  <c r="UU45" i="25"/>
  <c r="C26" i="9"/>
  <c r="UA48" i="25"/>
  <c r="UJ46" i="25"/>
  <c r="UU54" i="25"/>
  <c r="UG52" i="25"/>
  <c r="UG48" i="25"/>
  <c r="UH44" i="25"/>
  <c r="UV46" i="25"/>
  <c r="P98" i="9"/>
  <c r="TT46" i="25"/>
  <c r="F25" i="9"/>
  <c r="E23" i="9"/>
  <c r="D23" i="9"/>
  <c r="UT51" i="25"/>
  <c r="UI53" i="25"/>
  <c r="UV51" i="25"/>
  <c r="UG45" i="25"/>
  <c r="E25" i="9"/>
  <c r="D25" i="9"/>
  <c r="UH50" i="25"/>
  <c r="UU53" i="25"/>
  <c r="UU49" i="25"/>
  <c r="UI50" i="25"/>
  <c r="UV44" i="25"/>
  <c r="UU50" i="25"/>
  <c r="UX48" i="25"/>
  <c r="UH43" i="25"/>
  <c r="UH49" i="25"/>
  <c r="UX51" i="25"/>
  <c r="UA51" i="25"/>
  <c r="UA54" i="25"/>
  <c r="UX54" i="25"/>
  <c r="UX43" i="25"/>
  <c r="UA43" i="25"/>
  <c r="UW54" i="25"/>
  <c r="UE45" i="25"/>
  <c r="TS45" i="25"/>
  <c r="UW46" i="25"/>
  <c r="TS51" i="25"/>
  <c r="UE51" i="25"/>
  <c r="UA50" i="25"/>
  <c r="UX50" i="25"/>
  <c r="UJ45" i="25"/>
  <c r="TT48" i="25"/>
  <c r="UK48" i="25"/>
  <c r="UG43" i="25"/>
  <c r="UA46" i="25"/>
  <c r="UX46" i="25"/>
  <c r="TS44" i="25"/>
  <c r="UE44" i="25"/>
  <c r="UW50" i="25"/>
  <c r="TT54" i="25"/>
  <c r="UK54" i="25"/>
  <c r="TT50" i="25"/>
  <c r="UK50" i="25"/>
  <c r="UV43" i="25"/>
  <c r="UJ51" i="25"/>
  <c r="TT49" i="25"/>
  <c r="UK49" i="25"/>
  <c r="TT43" i="25"/>
  <c r="UK43" i="25"/>
  <c r="TS47" i="25"/>
  <c r="UE47" i="25"/>
  <c r="UE50" i="25"/>
  <c r="TS50" i="25"/>
  <c r="UW52" i="25"/>
  <c r="UW51" i="25"/>
  <c r="TT52" i="25"/>
  <c r="UK52" i="25"/>
  <c r="UJ47" i="25"/>
  <c r="UT43" i="25"/>
  <c r="UJ54" i="25"/>
  <c r="UA49" i="25"/>
  <c r="UX49" i="25"/>
  <c r="UJ44" i="25"/>
  <c r="UJ49" i="25"/>
  <c r="UK47" i="25"/>
  <c r="TT47" i="25"/>
  <c r="UA45" i="25"/>
  <c r="UX45" i="25"/>
  <c r="TT45" i="25"/>
  <c r="UK45" i="25"/>
  <c r="UW45" i="25"/>
  <c r="UW48" i="25"/>
  <c r="UE46" i="25"/>
  <c r="TS46" i="25"/>
  <c r="UW47" i="25"/>
  <c r="UW44" i="25"/>
  <c r="UE49" i="25"/>
  <c r="TS49" i="25"/>
  <c r="UE53" i="25"/>
  <c r="TS53" i="25"/>
  <c r="UW49" i="25"/>
  <c r="UW53" i="25"/>
  <c r="F26" i="9"/>
  <c r="N26" i="9"/>
  <c r="D26" i="9"/>
  <c r="TT53" i="25"/>
  <c r="UK53" i="25"/>
  <c r="UJ43" i="25"/>
  <c r="UA53" i="25"/>
  <c r="UX53" i="25"/>
  <c r="UX47" i="25"/>
  <c r="UA47" i="25"/>
  <c r="UJ53" i="25"/>
  <c r="UK51" i="25"/>
  <c r="TT51" i="25"/>
  <c r="UX44" i="25"/>
  <c r="UA44" i="25"/>
  <c r="UI43" i="25"/>
  <c r="UW43" i="25"/>
  <c r="TS43" i="25"/>
  <c r="UE43" i="25"/>
  <c r="TS48" i="25"/>
  <c r="UE48" i="25"/>
  <c r="TS52" i="25"/>
  <c r="UE52" i="25"/>
  <c r="UE54" i="25"/>
  <c r="TS54" i="25"/>
  <c r="SO41" i="25" l="1"/>
  <c r="SO36" i="25"/>
  <c r="SO38" i="25"/>
  <c r="SO40" i="25"/>
  <c r="SO32" i="25"/>
  <c r="SO34" i="25"/>
  <c r="SO30" i="25"/>
  <c r="SO35" i="25"/>
  <c r="SO37" i="25"/>
  <c r="SO39" i="25"/>
  <c r="SO31" i="25"/>
  <c r="SO33" i="25"/>
  <c r="QM43" i="25"/>
  <c r="AD90" i="9" s="1"/>
  <c r="NE42" i="25"/>
  <c r="TM31" i="25" s="1"/>
  <c r="NV42" i="25"/>
  <c r="Y26" i="9" s="1"/>
  <c r="AI89" i="9"/>
  <c r="UL49" i="25"/>
  <c r="UL54" i="25"/>
  <c r="UL45" i="25"/>
  <c r="UL53" i="25"/>
  <c r="UL44" i="25"/>
  <c r="UL47" i="25"/>
  <c r="UL51" i="25"/>
  <c r="UL43" i="25"/>
  <c r="QN43" i="25" l="1"/>
  <c r="AE90" i="9" s="1"/>
  <c r="G26" i="9"/>
  <c r="E26" i="9"/>
  <c r="C110" i="9" l="1"/>
</calcChain>
</file>

<file path=xl/sharedStrings.xml><?xml version="1.0" encoding="utf-8"?>
<sst xmlns="http://schemas.openxmlformats.org/spreadsheetml/2006/main" count="3577" uniqueCount="2063">
  <si>
    <t>Total</t>
  </si>
  <si>
    <t>A03</t>
  </si>
  <si>
    <t>A04</t>
  </si>
  <si>
    <t>A05</t>
  </si>
  <si>
    <t>A06</t>
  </si>
  <si>
    <t>A07</t>
  </si>
  <si>
    <t>B05</t>
  </si>
  <si>
    <t>B06</t>
  </si>
  <si>
    <t>B07</t>
  </si>
  <si>
    <t>C03</t>
  </si>
  <si>
    <t>C04</t>
  </si>
  <si>
    <t>C05</t>
  </si>
  <si>
    <t>C06</t>
  </si>
  <si>
    <t>C07</t>
  </si>
  <si>
    <t>C08</t>
  </si>
  <si>
    <t>C09</t>
  </si>
  <si>
    <t>C10</t>
  </si>
  <si>
    <t>C11</t>
  </si>
  <si>
    <t>D03</t>
  </si>
  <si>
    <t>D04</t>
  </si>
  <si>
    <t>D05</t>
  </si>
  <si>
    <t>D06</t>
  </si>
  <si>
    <t>D07</t>
  </si>
  <si>
    <t>D08</t>
  </si>
  <si>
    <t>D09</t>
  </si>
  <si>
    <t>D10</t>
  </si>
  <si>
    <t>D11</t>
  </si>
  <si>
    <t>D12</t>
  </si>
  <si>
    <t>D13</t>
  </si>
  <si>
    <t>D14</t>
  </si>
  <si>
    <t>E01</t>
  </si>
  <si>
    <t>E02</t>
  </si>
  <si>
    <t>E04</t>
  </si>
  <si>
    <t>E05</t>
  </si>
  <si>
    <t>E07</t>
  </si>
  <si>
    <t>E08</t>
  </si>
  <si>
    <t>E09</t>
  </si>
  <si>
    <t>E10</t>
  </si>
  <si>
    <t>E15</t>
  </si>
  <si>
    <t>E17</t>
  </si>
  <si>
    <t>E18</t>
  </si>
  <si>
    <t>E19</t>
  </si>
  <si>
    <t>F03</t>
  </si>
  <si>
    <t>CMG1</t>
  </si>
  <si>
    <t>CMG2</t>
  </si>
  <si>
    <t>CMG3</t>
  </si>
  <si>
    <t>L1</t>
    <phoneticPr fontId="28"/>
  </si>
  <si>
    <t>L1/L2</t>
    <phoneticPr fontId="28"/>
  </si>
  <si>
    <t>I02</t>
  </si>
  <si>
    <t>I03</t>
  </si>
  <si>
    <t>Count</t>
  </si>
  <si>
    <t>4INST_COMMIT</t>
  </si>
  <si>
    <t>L1_PIPE1_VAL</t>
  </si>
  <si>
    <t>FLA_VAL</t>
  </si>
  <si>
    <t>FLB_VAL</t>
  </si>
  <si>
    <t>EAGB_VAL</t>
  </si>
  <si>
    <t>2INST_COMMIT</t>
  </si>
  <si>
    <t>3INST_COMMIT</t>
  </si>
  <si>
    <t>L2D_CACHE_REFILL_PRF</t>
  </si>
  <si>
    <t>B16</t>
  </si>
  <si>
    <t>B17</t>
  </si>
  <si>
    <t>B18</t>
  </si>
  <si>
    <t>B19</t>
  </si>
  <si>
    <t>E03</t>
  </si>
  <si>
    <t>E06</t>
  </si>
  <si>
    <t>E23</t>
  </si>
  <si>
    <t>E24</t>
  </si>
  <si>
    <t>E25</t>
  </si>
  <si>
    <t>E26</t>
  </si>
  <si>
    <t>J02</t>
  </si>
  <si>
    <t>J03</t>
  </si>
  <si>
    <t>J04</t>
  </si>
  <si>
    <t>write</t>
    <phoneticPr fontId="26"/>
  </si>
  <si>
    <t>Process</t>
    <phoneticPr fontId="26"/>
  </si>
  <si>
    <t>ES02</t>
  </si>
  <si>
    <t>ES03</t>
  </si>
  <si>
    <t>ES04</t>
  </si>
  <si>
    <t>ES05</t>
  </si>
  <si>
    <t>ES06</t>
  </si>
  <si>
    <t>ES07</t>
  </si>
  <si>
    <t>ES08</t>
  </si>
  <si>
    <t>ES09</t>
  </si>
  <si>
    <t>ES10</t>
  </si>
  <si>
    <t>ES11</t>
  </si>
  <si>
    <t>ES12</t>
  </si>
  <si>
    <t>ES13</t>
  </si>
  <si>
    <t>ES14</t>
  </si>
  <si>
    <t>ES15</t>
  </si>
  <si>
    <t>ES16</t>
  </si>
  <si>
    <t>ES17</t>
  </si>
  <si>
    <t>ASE_SVE_ST_SPEC</t>
  </si>
  <si>
    <t>EA_MEMORY</t>
  </si>
  <si>
    <t>IREG_SPEC</t>
  </si>
  <si>
    <t>L1_PIPE_COMP_GATHER_1FLOW</t>
  </si>
  <si>
    <t>BUS_WRITE_TOTAL_CMG0</t>
  </si>
  <si>
    <t>L1_PIPE_COMP_GATHER_0FLOW</t>
  </si>
  <si>
    <t>L2HWPF_INJ_NOALLOC_PF</t>
  </si>
  <si>
    <t>BUS_WRITE_TOTAL_CMG1</t>
  </si>
  <si>
    <t>L2HWPF_OTHER</t>
  </si>
  <si>
    <t>BUS_WRITE_TOTAL_CMG2</t>
  </si>
  <si>
    <t>BUS_WRITE_TOTAL_CMG3</t>
  </si>
  <si>
    <t>BUS_READ_TOTAL_PCI</t>
  </si>
  <si>
    <t>Process no.</t>
  </si>
  <si>
    <t>プロセス番号</t>
    <phoneticPr fontId="26"/>
  </si>
  <si>
    <t>[A01]</t>
  </si>
  <si>
    <t>[A02]</t>
  </si>
  <si>
    <t>[A03]</t>
  </si>
  <si>
    <t>[A04]</t>
  </si>
  <si>
    <t>[A05]</t>
  </si>
  <si>
    <t>[A06]</t>
  </si>
  <si>
    <t>[A07]</t>
  </si>
  <si>
    <t>[A08]</t>
  </si>
  <si>
    <t>Graph A.</t>
  </si>
  <si>
    <t>Statistics</t>
    <phoneticPr fontId="28"/>
  </si>
  <si>
    <t>統計情報</t>
    <rPh sb="0" eb="2">
      <t>トウケイ</t>
    </rPh>
    <rPh sb="2" eb="4">
      <t>ジョウホウ</t>
    </rPh>
    <phoneticPr fontId="28"/>
  </si>
  <si>
    <t>[B03]</t>
  </si>
  <si>
    <t>[B07]</t>
  </si>
  <si>
    <t>[B10]</t>
  </si>
  <si>
    <t>Operation wait</t>
  </si>
  <si>
    <t>[B11]</t>
  </si>
  <si>
    <t>Instruction fetch wait</t>
  </si>
  <si>
    <t>[B12]</t>
  </si>
  <si>
    <t>Barrier synchronization wait</t>
  </si>
  <si>
    <t>[B14]</t>
  </si>
  <si>
    <t>Other wait</t>
  </si>
  <si>
    <t>Total</t>
    <phoneticPr fontId="28"/>
  </si>
  <si>
    <t>[B01]</t>
    <phoneticPr fontId="28"/>
  </si>
  <si>
    <t>[B04]</t>
  </si>
  <si>
    <t>[B05]</t>
  </si>
  <si>
    <t>[B06]</t>
  </si>
  <si>
    <t>[B08]</t>
  </si>
  <si>
    <t>[B09]</t>
  </si>
  <si>
    <t>[B13]</t>
  </si>
  <si>
    <t>Graph B.</t>
  </si>
  <si>
    <t>実行時間の内訳</t>
    <rPh sb="0" eb="2">
      <t>ジッコウ</t>
    </rPh>
    <rPh sb="2" eb="4">
      <t>ジカン</t>
    </rPh>
    <rPh sb="5" eb="7">
      <t>ウチワケ</t>
    </rPh>
    <phoneticPr fontId="26"/>
  </si>
  <si>
    <t>L1D,L2 Cache miss</t>
    <phoneticPr fontId="28"/>
  </si>
  <si>
    <t>L1D,L2キャッシュミス率</t>
    <rPh sb="13" eb="14">
      <t>リツ</t>
    </rPh>
    <phoneticPr fontId="28"/>
  </si>
  <si>
    <t>[D01]</t>
    <phoneticPr fontId="28"/>
  </si>
  <si>
    <t>[D03]</t>
  </si>
  <si>
    <t>[D05]</t>
  </si>
  <si>
    <t>[D07]</t>
  </si>
  <si>
    <t>[D09]</t>
  </si>
  <si>
    <t>[D11]</t>
  </si>
  <si>
    <t>[D13]</t>
  </si>
  <si>
    <t>Instruction</t>
    <phoneticPr fontId="26"/>
  </si>
  <si>
    <t>[E01]</t>
    <phoneticPr fontId="28"/>
  </si>
  <si>
    <t>[E03]</t>
  </si>
  <si>
    <t>[E04]</t>
  </si>
  <si>
    <t>[E06]</t>
  </si>
  <si>
    <t>[E08]</t>
  </si>
  <si>
    <t>[E10]</t>
  </si>
  <si>
    <t>Process</t>
  </si>
  <si>
    <t xml:space="preserve">  プロセス</t>
  </si>
  <si>
    <t>Instruction</t>
  </si>
  <si>
    <t>src</t>
    <phoneticPr fontId="28"/>
  </si>
  <si>
    <t>データ送信元</t>
    <rPh sb="3" eb="6">
      <t>ソウシンモト</t>
    </rPh>
    <phoneticPr fontId="28"/>
  </si>
  <si>
    <t>電力の内訳</t>
    <rPh sb="0" eb="2">
      <t>デンリョク</t>
    </rPh>
    <rPh sb="3" eb="5">
      <t>ウチワケ</t>
    </rPh>
    <phoneticPr fontId="26"/>
  </si>
  <si>
    <t>マイクロ命令コミット</t>
    <rPh sb="4" eb="6">
      <t>メイレイ</t>
    </rPh>
    <phoneticPr fontId="28"/>
  </si>
  <si>
    <t>MOVPRFX commit</t>
  </si>
  <si>
    <t>MOVPRFX コミット</t>
    <phoneticPr fontId="28"/>
  </si>
  <si>
    <t>L1</t>
    <phoneticPr fontId="28"/>
  </si>
  <si>
    <t>L1キャッシュ</t>
    <phoneticPr fontId="28"/>
  </si>
  <si>
    <t>L2</t>
    <phoneticPr fontId="28"/>
  </si>
  <si>
    <t>L2キャッシュ</t>
    <phoneticPr fontId="28"/>
  </si>
  <si>
    <t>L1/L2</t>
    <phoneticPr fontId="28"/>
  </si>
  <si>
    <t>ロードバランス</t>
  </si>
  <si>
    <t>命令バランス</t>
  </si>
  <si>
    <t>Load balance</t>
    <phoneticPr fontId="28"/>
  </si>
  <si>
    <t>Item Name</t>
    <phoneticPr fontId="26"/>
  </si>
  <si>
    <t>LD_COMP_WAIT_L2_MISS</t>
    <phoneticPr fontId="26"/>
  </si>
  <si>
    <t>BUS_WRITE_TOTAL_TOFU</t>
    <phoneticPr fontId="26"/>
  </si>
  <si>
    <t>BUS_WRITE_TOTAL_PCI</t>
    <phoneticPr fontId="26"/>
  </si>
  <si>
    <t>BUS_WRITE_TOTAL_MEM</t>
    <phoneticPr fontId="26"/>
  </si>
  <si>
    <t>Es01-2</t>
  </si>
  <si>
    <t>Es01-3</t>
  </si>
  <si>
    <t>Es01-4</t>
  </si>
  <si>
    <t>Es01-5</t>
  </si>
  <si>
    <t>Es01-6</t>
  </si>
  <si>
    <t>Es01-7</t>
  </si>
  <si>
    <t>Es01-8</t>
  </si>
  <si>
    <t>Es02-3</t>
  </si>
  <si>
    <t>Es02-4</t>
  </si>
  <si>
    <t>Es02-5</t>
  </si>
  <si>
    <t>Es02-6</t>
  </si>
  <si>
    <t>Es02-7</t>
  </si>
  <si>
    <t>Es03-2</t>
  </si>
  <si>
    <t>Es03-4</t>
  </si>
  <si>
    <t>Es03-5</t>
  </si>
  <si>
    <t>Es03-6</t>
  </si>
  <si>
    <t>Es03-7</t>
  </si>
  <si>
    <t>Es04-2</t>
  </si>
  <si>
    <t>Es04-3</t>
  </si>
  <si>
    <t>Es04-4</t>
  </si>
  <si>
    <t>Es04-5</t>
  </si>
  <si>
    <t>Es04-6</t>
  </si>
  <si>
    <t>Es04-7</t>
  </si>
  <si>
    <t>Es04-8</t>
  </si>
  <si>
    <t>Es05-2</t>
  </si>
  <si>
    <t>Es05-3</t>
  </si>
  <si>
    <t>Es05-4</t>
  </si>
  <si>
    <t>Es05-5</t>
  </si>
  <si>
    <t>Es05-6</t>
  </si>
  <si>
    <t>Es05-7</t>
  </si>
  <si>
    <t>Es05-8</t>
  </si>
  <si>
    <t>Es06-2</t>
  </si>
  <si>
    <t>Es06-3</t>
  </si>
  <si>
    <t>Es06-4</t>
  </si>
  <si>
    <t>Es06-5</t>
  </si>
  <si>
    <t>Es06-6</t>
  </si>
  <si>
    <t>Es06-7</t>
  </si>
  <si>
    <t>Es06-8</t>
  </si>
  <si>
    <t>Es09-2</t>
  </si>
  <si>
    <t>Es09-3</t>
  </si>
  <si>
    <t>Es09-4</t>
  </si>
  <si>
    <t>Es09-5</t>
  </si>
  <si>
    <t>Es09-6</t>
  </si>
  <si>
    <t>Es09-7</t>
  </si>
  <si>
    <t>Es08-5</t>
  </si>
  <si>
    <t>Es08-6</t>
  </si>
  <si>
    <t>Es08-7</t>
  </si>
  <si>
    <t>Es10-2</t>
  </si>
  <si>
    <t>Es10-3</t>
  </si>
  <si>
    <t>Es10-4</t>
  </si>
  <si>
    <t>Es10-5</t>
  </si>
  <si>
    <t>Es10-6</t>
  </si>
  <si>
    <t>Es10-7</t>
  </si>
  <si>
    <t>Es10-8</t>
  </si>
  <si>
    <t>Es11-2</t>
  </si>
  <si>
    <t>Es11-3</t>
  </si>
  <si>
    <t>Es11-4</t>
  </si>
  <si>
    <t>Es11-5</t>
  </si>
  <si>
    <t>Es11-6</t>
  </si>
  <si>
    <t>Es11-7</t>
  </si>
  <si>
    <t>Es12-2</t>
  </si>
  <si>
    <t>Es12-3</t>
  </si>
  <si>
    <t>Es13-2</t>
  </si>
  <si>
    <t>Es13-3</t>
  </si>
  <si>
    <t>Es13-4</t>
  </si>
  <si>
    <t>Es13-5</t>
  </si>
  <si>
    <t>Es13-6</t>
  </si>
  <si>
    <t>Es13-7</t>
  </si>
  <si>
    <t>Es16-2</t>
  </si>
  <si>
    <t>Es16-3</t>
  </si>
  <si>
    <t>Es16-4</t>
  </si>
  <si>
    <t>Es16-5</t>
  </si>
  <si>
    <t>Es16-6</t>
  </si>
  <si>
    <t>Es16-7</t>
  </si>
  <si>
    <t>Es16-8</t>
  </si>
  <si>
    <t>Es14-2</t>
  </si>
  <si>
    <t>Es14-3</t>
  </si>
  <si>
    <t>Es14-4</t>
  </si>
  <si>
    <t>Es14-5</t>
  </si>
  <si>
    <t>Es14-6</t>
  </si>
  <si>
    <t>Es14-8</t>
  </si>
  <si>
    <t>Es15-2</t>
  </si>
  <si>
    <t>Es15-3</t>
  </si>
  <si>
    <t>Es15-4</t>
  </si>
  <si>
    <t>Es15-5</t>
  </si>
  <si>
    <t>Es15-6</t>
  </si>
  <si>
    <t>Es17-4</t>
  </si>
  <si>
    <t>Es17-5</t>
  </si>
  <si>
    <t>ID</t>
    <phoneticPr fontId="26"/>
  </si>
  <si>
    <t>CMG0</t>
    <phoneticPr fontId="26"/>
  </si>
  <si>
    <t>LD_COMP_WAIT_L2_MISS_EX</t>
    <phoneticPr fontId="26"/>
  </si>
  <si>
    <t>PMCCNTR</t>
    <phoneticPr fontId="28"/>
  </si>
  <si>
    <t>CNTVCT</t>
    <phoneticPr fontId="28"/>
  </si>
  <si>
    <t>[A09]</t>
  </si>
  <si>
    <t>L2 miss</t>
    <phoneticPr fontId="26"/>
  </si>
  <si>
    <t>Es09-8</t>
  </si>
  <si>
    <t>Es08-8</t>
  </si>
  <si>
    <t>Es12-4</t>
  </si>
  <si>
    <t>Es12-5</t>
  </si>
  <si>
    <t>Es13-8</t>
  </si>
  <si>
    <t>Es15-7</t>
  </si>
  <si>
    <t>Es17-7</t>
  </si>
  <si>
    <t>Es17-8</t>
  </si>
  <si>
    <t>Operation wait</t>
    <phoneticPr fontId="26"/>
  </si>
  <si>
    <t>Other wait</t>
    <phoneticPr fontId="26"/>
  </si>
  <si>
    <t>Fujitsu PA version</t>
    <phoneticPr fontId="26"/>
  </si>
  <si>
    <t>Hostname</t>
  </si>
  <si>
    <t>[パワーノブモード]</t>
    <phoneticPr fontId="26"/>
  </si>
  <si>
    <t>Integer load memory access wait</t>
  </si>
  <si>
    <t>Store wait</t>
  </si>
  <si>
    <t>Integer load L2 cache access wait</t>
  </si>
  <si>
    <t>Integer load L1D cache access wait</t>
  </si>
  <si>
    <t>Floating-point load L2 cache access wait</t>
  </si>
  <si>
    <t>Floating-point load L1D cache access wait</t>
  </si>
  <si>
    <t>Integer operation wait</t>
  </si>
  <si>
    <t>Floating-point operation wait</t>
  </si>
  <si>
    <t>Branch instruction wait</t>
  </si>
  <si>
    <t>Other waits</t>
  </si>
  <si>
    <t>1 instruction commit</t>
  </si>
  <si>
    <t>2 instruction commit</t>
  </si>
  <si>
    <t>3 instruction commit</t>
  </si>
  <si>
    <t>4 instruction commit</t>
  </si>
  <si>
    <t>L1D miss</t>
  </si>
  <si>
    <t>L1D miss dm rate (/L1D miss)</t>
  </si>
  <si>
    <t>L1D miss hwpf rate (/L1D miss)</t>
  </si>
  <si>
    <t>L1D miss swpf rate (/L1D miss)</t>
  </si>
  <si>
    <t>L2 miss</t>
  </si>
  <si>
    <t>L2 miss dm rate (/L2 miss)</t>
  </si>
  <si>
    <t>L2 miss hwpf rate (/L2 miss)</t>
  </si>
  <si>
    <t>L2 miss swpf rate (/L2 miss)</t>
  </si>
  <si>
    <t>Load-store instruction</t>
    <phoneticPr fontId="26"/>
  </si>
  <si>
    <t>Scatter store
(/Load-store instruction)</t>
    <phoneticPr fontId="26"/>
  </si>
  <si>
    <t>Gather load
(/Load-store instruction)</t>
    <phoneticPr fontId="26"/>
  </si>
  <si>
    <t>Memory busy rate</t>
  </si>
  <si>
    <t>L1 busy rate</t>
    <phoneticPr fontId="26"/>
  </si>
  <si>
    <t>L2 busy rate</t>
    <phoneticPr fontId="26"/>
  </si>
  <si>
    <t>Instruction balance</t>
    <phoneticPr fontId="28"/>
  </si>
  <si>
    <t>ID</t>
    <phoneticPr fontId="26"/>
  </si>
  <si>
    <t>SIMD instruction rate
(/Effective instruction)</t>
    <phoneticPr fontId="26"/>
  </si>
  <si>
    <t>0x8008</t>
  </si>
  <si>
    <t>0x009f</t>
  </si>
  <si>
    <t>0x80ad</t>
  </si>
  <si>
    <t>0x8091</t>
  </si>
  <si>
    <t>0x80bc</t>
  </si>
  <si>
    <t>0x80ae</t>
  </si>
  <si>
    <t>0x8092</t>
  </si>
  <si>
    <t>0x8034</t>
  </si>
  <si>
    <t>0x8043</t>
  </si>
  <si>
    <t>0x807c</t>
  </si>
  <si>
    <t>0x8096</t>
  </si>
  <si>
    <t>Read</t>
    <phoneticPr fontId="26"/>
  </si>
  <si>
    <t>Write</t>
    <phoneticPr fontId="26"/>
  </si>
  <si>
    <t>Mem</t>
    <phoneticPr fontId="26"/>
  </si>
  <si>
    <t>Tofu</t>
    <phoneticPr fontId="26"/>
  </si>
  <si>
    <t>PCI</t>
    <phoneticPr fontId="26"/>
  </si>
  <si>
    <t>★Write</t>
    <phoneticPr fontId="26"/>
  </si>
  <si>
    <t>0x800e</t>
  </si>
  <si>
    <t>G03</t>
  </si>
  <si>
    <t>G05</t>
  </si>
  <si>
    <t>G06</t>
  </si>
  <si>
    <t>G07</t>
  </si>
  <si>
    <t>GFLOPS</t>
    <phoneticPr fontId="28"/>
  </si>
  <si>
    <t>GIPS</t>
    <phoneticPr fontId="26"/>
  </si>
  <si>
    <t>L1D miss</t>
    <phoneticPr fontId="26"/>
  </si>
  <si>
    <t>L2 miss rate
(/Load-store instruction)</t>
    <phoneticPr fontId="26"/>
  </si>
  <si>
    <t>Measured range</t>
    <phoneticPr fontId="26"/>
  </si>
  <si>
    <t>GFLOPS
(=Giga Floating-point operation per second)</t>
    <phoneticPr fontId="28"/>
  </si>
  <si>
    <t>GIPS
(=Giga instruction per second)</t>
    <phoneticPr fontId="26"/>
  </si>
  <si>
    <t>source</t>
    <phoneticPr fontId="28"/>
  </si>
  <si>
    <t>CMG0</t>
    <phoneticPr fontId="26"/>
  </si>
  <si>
    <t>Micro instruction commit</t>
    <phoneticPr fontId="26"/>
  </si>
  <si>
    <t>Stream mode prefetch rate a prefetch</t>
    <phoneticPr fontId="26"/>
  </si>
  <si>
    <t>Injection mode allocate prefetch rate a prefetch</t>
    <phoneticPr fontId="26"/>
  </si>
  <si>
    <t>Injection mode unallocate prefetch rate a prefetch</t>
    <phoneticPr fontId="26"/>
  </si>
  <si>
    <t>Other hardware prefetch a prefetch</t>
    <phoneticPr fontId="26"/>
  </si>
  <si>
    <t>B20</t>
  </si>
  <si>
    <t>Load-store instruction</t>
    <phoneticPr fontId="26"/>
  </si>
  <si>
    <t>Predicate register instruction</t>
    <phoneticPr fontId="26"/>
  </si>
  <si>
    <t>Other instructions</t>
    <phoneticPr fontId="26"/>
  </si>
  <si>
    <t>Effective instruction</t>
    <phoneticPr fontId="26"/>
  </si>
  <si>
    <t>Integer instruction</t>
    <phoneticPr fontId="26"/>
  </si>
  <si>
    <t>Branch instruction</t>
    <phoneticPr fontId="26"/>
  </si>
  <si>
    <t>E21</t>
  </si>
  <si>
    <t>E22</t>
  </si>
  <si>
    <t>Measured time</t>
    <phoneticPr fontId="26"/>
  </si>
  <si>
    <t>FP_FIXED_OPS_SPEC</t>
    <phoneticPr fontId="26"/>
  </si>
  <si>
    <t>FP_SCALE_OPS_SPEC</t>
    <phoneticPr fontId="26"/>
  </si>
  <si>
    <t>0INST_COMMIT</t>
    <phoneticPr fontId="26"/>
  </si>
  <si>
    <t>EU_COMP_WAIT</t>
    <phoneticPr fontId="26"/>
  </si>
  <si>
    <t>WFE_WFI_CYCLE</t>
    <phoneticPr fontId="26"/>
  </si>
  <si>
    <t>SVE_LD_GATHER_SPEC</t>
    <phoneticPr fontId="28"/>
  </si>
  <si>
    <t>PRF_SPEC</t>
    <phoneticPr fontId="26"/>
  </si>
  <si>
    <t>L2D_CACHE_REFILL_DM</t>
    <phoneticPr fontId="26"/>
  </si>
  <si>
    <t>LD_COMP_WAIT_PFP_BUSY</t>
    <phoneticPr fontId="26"/>
  </si>
  <si>
    <t>LD_COMP_WAIT_L1_MISS_EX</t>
    <phoneticPr fontId="26"/>
  </si>
  <si>
    <t>LD_COMP_WAIT_PFP_BUSY_EX</t>
    <phoneticPr fontId="26"/>
  </si>
  <si>
    <t>BR_COMP_WAIT</t>
    <phoneticPr fontId="26"/>
  </si>
  <si>
    <t>FL_COMP_WAIT</t>
    <phoneticPr fontId="26"/>
  </si>
  <si>
    <t>L1D_CACHE_REFILL_HWPRF</t>
    <phoneticPr fontId="26"/>
  </si>
  <si>
    <t>L1D_CACHE_REFILL_PRF</t>
    <phoneticPr fontId="26"/>
  </si>
  <si>
    <t>L2D_CACHE_REFILL_HWPRF</t>
    <phoneticPr fontId="26"/>
  </si>
  <si>
    <t>L1D_TLB_REFILL</t>
    <phoneticPr fontId="26"/>
  </si>
  <si>
    <t>L1I_CACHE_REFILL</t>
    <phoneticPr fontId="26"/>
  </si>
  <si>
    <t>FP_SP_SCALE_OPS_SPEC</t>
    <phoneticPr fontId="26"/>
  </si>
  <si>
    <t>FP_SP_FIXED_OPS_SPEC</t>
    <phoneticPr fontId="26"/>
  </si>
  <si>
    <t>SVE_PRF_GATHER_SPEC</t>
    <phoneticPr fontId="26"/>
  </si>
  <si>
    <t>SVE_PRF_CONTIG_SPEC</t>
    <phoneticPr fontId="26"/>
  </si>
  <si>
    <t>ASE_SVE_INT_SPEC</t>
    <phoneticPr fontId="26"/>
  </si>
  <si>
    <t>BR_PRED</t>
    <phoneticPr fontId="26"/>
  </si>
  <si>
    <t>BC_LD_SPEC</t>
    <phoneticPr fontId="26"/>
  </si>
  <si>
    <t>FP_MV_SPEC</t>
    <phoneticPr fontId="26"/>
  </si>
  <si>
    <t>CRYPTO_SPEC</t>
    <phoneticPr fontId="26"/>
  </si>
  <si>
    <t>LD_COMP_WAIT_PFP_BUSY_SWPF</t>
    <phoneticPr fontId="26"/>
  </si>
  <si>
    <t>SINGLE_MOVPRFX_COMMIT</t>
    <phoneticPr fontId="26"/>
  </si>
  <si>
    <t>L1HWPF_INJ_ALLOC_PF</t>
    <phoneticPr fontId="26"/>
  </si>
  <si>
    <t>L1HWPF_INJ_NOALLOC_PF</t>
    <phoneticPr fontId="26"/>
  </si>
  <si>
    <t>L2HWPF_STREAM_PF</t>
    <phoneticPr fontId="26"/>
  </si>
  <si>
    <t>L2HWPF_INJ_ALLOC_PF</t>
    <phoneticPr fontId="26"/>
  </si>
  <si>
    <t>UOP_SPEC</t>
    <phoneticPr fontId="26"/>
  </si>
  <si>
    <t>UOP_SPLIT</t>
    <phoneticPr fontId="26"/>
  </si>
  <si>
    <t>L1_PIPE0_COMP_PRD_CNT</t>
    <phoneticPr fontId="26"/>
  </si>
  <si>
    <t>L1_PIPE1_COMP_PRD_CNT</t>
    <phoneticPr fontId="26"/>
  </si>
  <si>
    <t>Predicate レジスタ spill 命令数</t>
  </si>
  <si>
    <t>要素間操作命令数</t>
    <phoneticPr fontId="26"/>
  </si>
  <si>
    <t>Write data throughput(GB/s)</t>
    <phoneticPr fontId="26"/>
  </si>
  <si>
    <t>Floating-point operation peak ratio</t>
    <phoneticPr fontId="26"/>
  </si>
  <si>
    <t>Read data throughput(GB/s)</t>
    <phoneticPr fontId="26"/>
  </si>
  <si>
    <t>分岐命令数</t>
    <phoneticPr fontId="26"/>
  </si>
  <si>
    <t>Prefetch instruction</t>
    <phoneticPr fontId="26"/>
  </si>
  <si>
    <t>Cryptographic instruction</t>
    <phoneticPr fontId="26"/>
  </si>
  <si>
    <t>Block zero instruction</t>
    <phoneticPr fontId="28"/>
  </si>
  <si>
    <t>Floating-point accuracy conversion instruction</t>
    <phoneticPr fontId="26"/>
  </si>
  <si>
    <t>Floating-point move instruction</t>
    <phoneticPr fontId="26"/>
  </si>
  <si>
    <t>通常プリフェッチ命令数</t>
    <phoneticPr fontId="26"/>
  </si>
  <si>
    <t>連続プリフェッチ命令数</t>
    <phoneticPr fontId="26"/>
  </si>
  <si>
    <t>浮動小数点積和演算命令数</t>
    <phoneticPr fontId="26"/>
  </si>
  <si>
    <t>浮動小数点逆数演算命令数</t>
    <phoneticPr fontId="26"/>
  </si>
  <si>
    <t>浮動小数点精度変換命令数</t>
    <phoneticPr fontId="26"/>
  </si>
  <si>
    <t>整数演算命令数</t>
    <phoneticPr fontId="26"/>
  </si>
  <si>
    <t>暗号命令数</t>
    <phoneticPr fontId="26"/>
  </si>
  <si>
    <t>0x80c0</t>
  </si>
  <si>
    <t>0x80c1</t>
  </si>
  <si>
    <t>0x8000</t>
  </si>
  <si>
    <t>0x8087</t>
  </si>
  <si>
    <t>0x8010</t>
  </si>
  <si>
    <t>0x8028</t>
  </si>
  <si>
    <t>0x8085</t>
  </si>
  <si>
    <t>0x8086</t>
  </si>
  <si>
    <t>0x0049</t>
  </si>
  <si>
    <t>0x0059</t>
  </si>
  <si>
    <t>0x80c6</t>
  </si>
  <si>
    <t>0x80c4</t>
  </si>
  <si>
    <t>0x80c7</t>
  </si>
  <si>
    <t>0x80c5</t>
  </si>
  <si>
    <t>0x8038</t>
  </si>
  <si>
    <t>0x8095</t>
  </si>
  <si>
    <t>Breakdown of execution time
(※『of』が必要と思われる。もしくは、 「Execution time breakdown」)</t>
    <rPh sb="35" eb="37">
      <t>ヒツヨウ</t>
    </rPh>
    <rPh sb="38" eb="39">
      <t>オモ</t>
    </rPh>
    <phoneticPr fontId="26"/>
  </si>
  <si>
    <t>Supplementary floating-point
※適訳がいまいち分からない。
東京チューニングガイドなどよると、
数学関数補助演算イベント=SVE_MATH_SPEC</t>
    <phoneticPr fontId="26"/>
  </si>
  <si>
    <t>L1I miss rate
(/Effective instruction)</t>
    <phoneticPr fontId="26"/>
  </si>
  <si>
    <t>L1D miss rate
(/Load-store instruction)</t>
    <phoneticPr fontId="26"/>
  </si>
  <si>
    <t>[Power knob mode]</t>
    <phoneticPr fontId="26"/>
  </si>
  <si>
    <t>[Power knob mode]</t>
    <phoneticPr fontId="26"/>
  </si>
  <si>
    <t>Execution time (s)</t>
    <phoneticPr fontId="26"/>
  </si>
  <si>
    <t>Memory throughput (GB/s)</t>
    <phoneticPr fontId="26"/>
  </si>
  <si>
    <t>Most left Time(s)</t>
    <phoneticPr fontId="26"/>
  </si>
  <si>
    <t>平均時間 (s)</t>
    <phoneticPr fontId="26"/>
  </si>
  <si>
    <t>Es12-6</t>
  </si>
  <si>
    <t>Es12-7</t>
  </si>
  <si>
    <t>Es12-8</t>
  </si>
  <si>
    <t>BR_MIS_PRED</t>
    <phoneticPr fontId="28"/>
  </si>
  <si>
    <t>Floating-point instruction</t>
    <phoneticPr fontId="26"/>
  </si>
  <si>
    <t>Floating-point reciprocal instruction</t>
    <phoneticPr fontId="26"/>
  </si>
  <si>
    <t>命令数</t>
    <rPh sb="0" eb="3">
      <t>メイレイスウ</t>
    </rPh>
    <phoneticPr fontId="28"/>
  </si>
  <si>
    <t>Vector length (bit)</t>
    <phoneticPr fontId="26"/>
  </si>
  <si>
    <t>EXA only mode</t>
    <phoneticPr fontId="26"/>
  </si>
  <si>
    <t>EFFECTIVE_INST_SPEC</t>
    <phoneticPr fontId="26"/>
  </si>
  <si>
    <t>ASE_SVE_ST_MULTI_SPEC</t>
    <phoneticPr fontId="26"/>
  </si>
  <si>
    <t>L2D_CACHE_REFILL</t>
    <phoneticPr fontId="28"/>
  </si>
  <si>
    <t>Process</t>
    <phoneticPr fontId="26"/>
  </si>
  <si>
    <t>SVE_MATH_SPEC</t>
    <phoneticPr fontId="26"/>
  </si>
  <si>
    <t>Lv2取り(★★)</t>
    <rPh sb="3" eb="4">
      <t>ド</t>
    </rPh>
    <phoneticPr fontId="28"/>
  </si>
  <si>
    <t>Es03-1</t>
  </si>
  <si>
    <t>Es03-3</t>
  </si>
  <si>
    <t>Es03-8</t>
  </si>
  <si>
    <t>CMG</t>
    <phoneticPr fontId="26"/>
  </si>
  <si>
    <t>Operation wait</t>
    <phoneticPr fontId="28"/>
  </si>
  <si>
    <t>Other wait</t>
    <phoneticPr fontId="28"/>
  </si>
  <si>
    <t>[Lv2]</t>
    <phoneticPr fontId="26"/>
  </si>
  <si>
    <t>[Lv3]</t>
    <phoneticPr fontId="26"/>
  </si>
  <si>
    <t>←空欄は消さないこと。</t>
    <rPh sb="1" eb="3">
      <t>クウラン</t>
    </rPh>
    <rPh sb="4" eb="5">
      <t>ケ</t>
    </rPh>
    <phoneticPr fontId="26"/>
  </si>
  <si>
    <t>　　ヒゲグラフを左寄せするための空白</t>
    <rPh sb="8" eb="9">
      <t>ヒダリ</t>
    </rPh>
    <rPh sb="16" eb="18">
      <t>クウハク</t>
    </rPh>
    <phoneticPr fontId="26"/>
  </si>
  <si>
    <t>O01</t>
  </si>
  <si>
    <t>O02</t>
  </si>
  <si>
    <t>O03</t>
  </si>
  <si>
    <t>O04</t>
  </si>
  <si>
    <t>O05</t>
  </si>
  <si>
    <t>O06</t>
  </si>
  <si>
    <t>O07</t>
  </si>
  <si>
    <t>O08</t>
  </si>
  <si>
    <t>O09</t>
  </si>
  <si>
    <t>O10</t>
  </si>
  <si>
    <t>O11</t>
  </si>
  <si>
    <t>O12</t>
  </si>
  <si>
    <t>O13</t>
  </si>
  <si>
    <t>O14</t>
  </si>
  <si>
    <t>O15</t>
  </si>
  <si>
    <t>O16</t>
  </si>
  <si>
    <t>O17</t>
  </si>
  <si>
    <t>Other instruction commit
(※5-8 instruction commit)</t>
    <phoneticPr fontId="26"/>
  </si>
  <si>
    <t>浮動小数点移動命令数</t>
    <rPh sb="5" eb="7">
      <t>イドウ</t>
    </rPh>
    <phoneticPr fontId="26"/>
  </si>
  <si>
    <t>数学関数補助演算命令数</t>
    <phoneticPr fontId="26"/>
  </si>
  <si>
    <t>測定区間を実行した回数</t>
    <phoneticPr fontId="26"/>
  </si>
  <si>
    <t>Busy rate</t>
    <phoneticPr fontId="26"/>
  </si>
  <si>
    <t>Floating-point multiply-and-add instruction</t>
    <phoneticPr fontId="26"/>
  </si>
  <si>
    <t>Other instruction</t>
    <phoneticPr fontId="26"/>
  </si>
  <si>
    <t>Effective instruction</t>
    <phoneticPr fontId="26"/>
  </si>
  <si>
    <t>Normal prefetch instruction</t>
    <phoneticPr fontId="26"/>
  </si>
  <si>
    <t>Gathering prefetch instruction</t>
    <phoneticPr fontId="26"/>
  </si>
  <si>
    <t>Continuous prefetch instruction</t>
    <phoneticPr fontId="26"/>
  </si>
  <si>
    <t>[E22]</t>
  </si>
  <si>
    <t>[E23]</t>
  </si>
  <si>
    <t>[E25]</t>
  </si>
  <si>
    <t>[E26]</t>
  </si>
  <si>
    <t>[E27]</t>
  </si>
  <si>
    <r>
      <t>[C03]</t>
    </r>
    <r>
      <rPr>
        <sz val="11"/>
        <color theme="1"/>
        <rFont val="Meiryo UI"/>
        <family val="2"/>
        <charset val="128"/>
      </rPr>
      <t/>
    </r>
  </si>
  <si>
    <r>
      <t>[C06]</t>
    </r>
    <r>
      <rPr>
        <sz val="11"/>
        <color theme="1"/>
        <rFont val="Meiryo UI"/>
        <family val="2"/>
        <charset val="128"/>
      </rPr>
      <t/>
    </r>
  </si>
  <si>
    <r>
      <t>[C07]</t>
    </r>
    <r>
      <rPr>
        <sz val="11"/>
        <color theme="1"/>
        <rFont val="Meiryo UI"/>
        <family val="2"/>
        <charset val="128"/>
      </rPr>
      <t/>
    </r>
  </si>
  <si>
    <r>
      <t>[C08]</t>
    </r>
    <r>
      <rPr>
        <sz val="11"/>
        <color theme="1"/>
        <rFont val="Meiryo UI"/>
        <family val="2"/>
        <charset val="128"/>
      </rPr>
      <t/>
    </r>
  </si>
  <si>
    <r>
      <t>[C09]</t>
    </r>
    <r>
      <rPr>
        <sz val="11"/>
        <color theme="1"/>
        <rFont val="Meiryo UI"/>
        <family val="2"/>
        <charset val="128"/>
      </rPr>
      <t/>
    </r>
  </si>
  <si>
    <r>
      <t>[C10]</t>
    </r>
    <r>
      <rPr>
        <sz val="11"/>
        <color theme="1"/>
        <rFont val="Meiryo UI"/>
        <family val="2"/>
        <charset val="128"/>
      </rPr>
      <t/>
    </r>
  </si>
  <si>
    <r>
      <t>[C11]</t>
    </r>
    <r>
      <rPr>
        <sz val="11"/>
        <color theme="1"/>
        <rFont val="Meiryo UI"/>
        <family val="2"/>
        <charset val="128"/>
      </rPr>
      <t/>
    </r>
  </si>
  <si>
    <t>Graph C</t>
    <phoneticPr fontId="28"/>
  </si>
  <si>
    <t>Lv3取り(★★★)</t>
    <rPh sb="3" eb="4">
      <t>ド</t>
    </rPh>
    <phoneticPr fontId="28"/>
  </si>
  <si>
    <t>[D06]</t>
  </si>
  <si>
    <t>[D08]</t>
  </si>
  <si>
    <t>[D10]</t>
  </si>
  <si>
    <t>[D12]</t>
  </si>
  <si>
    <t>[D14]</t>
  </si>
  <si>
    <t>Call</t>
    <phoneticPr fontId="26"/>
  </si>
  <si>
    <t>Issue state</t>
    <phoneticPr fontId="26"/>
  </si>
  <si>
    <t>Throttling state</t>
  </si>
  <si>
    <t>Issue state</t>
  </si>
  <si>
    <t>HBM アクセスのスロットリング(mem)</t>
    <phoneticPr fontId="26"/>
  </si>
  <si>
    <t>命令発行制限(core)</t>
    <phoneticPr fontId="26"/>
  </si>
  <si>
    <t>Level</t>
    <phoneticPr fontId="26"/>
  </si>
  <si>
    <t>Spawn</t>
    <phoneticPr fontId="26"/>
  </si>
  <si>
    <t>Region_name</t>
    <phoneticPr fontId="26"/>
  </si>
  <si>
    <t>Region_number</t>
    <phoneticPr fontId="26"/>
  </si>
  <si>
    <t>Memory band width(GB/s)</t>
    <phoneticPr fontId="28"/>
  </si>
  <si>
    <t>Measured time</t>
    <phoneticPr fontId="26"/>
  </si>
  <si>
    <t>G08</t>
  </si>
  <si>
    <t>G09</t>
  </si>
  <si>
    <t>G10</t>
  </si>
  <si>
    <t>I04</t>
  </si>
  <si>
    <t>I05</t>
  </si>
  <si>
    <t>I06</t>
  </si>
  <si>
    <t>I07</t>
  </si>
  <si>
    <t>K02</t>
  </si>
  <si>
    <t>K03</t>
  </si>
  <si>
    <t>L02</t>
  </si>
  <si>
    <t>L03</t>
  </si>
  <si>
    <t>L04</t>
  </si>
  <si>
    <t>L05</t>
  </si>
  <si>
    <t>L06</t>
  </si>
  <si>
    <t>L07</t>
  </si>
  <si>
    <t>L08</t>
  </si>
  <si>
    <t>L09</t>
  </si>
  <si>
    <t>L10</t>
  </si>
  <si>
    <t>L11</t>
  </si>
  <si>
    <t>L12</t>
  </si>
  <si>
    <t>L13</t>
  </si>
  <si>
    <t>L14</t>
  </si>
  <si>
    <t>L15</t>
  </si>
  <si>
    <t>L16</t>
  </si>
  <si>
    <t>L17</t>
  </si>
  <si>
    <t>L18</t>
  </si>
  <si>
    <t>Information</t>
    <phoneticPr fontId="28"/>
  </si>
  <si>
    <r>
      <t>[F03]</t>
    </r>
    <r>
      <rPr>
        <sz val="11"/>
        <color theme="1"/>
        <rFont val="Meiryo UI"/>
        <family val="2"/>
        <charset val="128"/>
      </rPr>
      <t/>
    </r>
  </si>
  <si>
    <t>GraphN-1</t>
    <phoneticPr fontId="28"/>
  </si>
  <si>
    <t>Information</t>
    <phoneticPr fontId="26"/>
  </si>
  <si>
    <t>A Statistics</t>
    <phoneticPr fontId="26"/>
  </si>
  <si>
    <t>C busy</t>
    <phoneticPr fontId="26"/>
  </si>
  <si>
    <t>D Cache</t>
    <phoneticPr fontId="26"/>
  </si>
  <si>
    <t>E Instruction</t>
    <phoneticPr fontId="26"/>
  </si>
  <si>
    <t>Item name</t>
    <phoneticPr fontId="28"/>
  </si>
  <si>
    <t>Floating-point operation</t>
    <phoneticPr fontId="26"/>
  </si>
  <si>
    <t>Memory cache busy wait</t>
    <phoneticPr fontId="26"/>
  </si>
  <si>
    <t>F FLOPS</t>
    <phoneticPr fontId="26"/>
  </si>
  <si>
    <t>J CMG</t>
    <phoneticPr fontId="26"/>
  </si>
  <si>
    <t>G Extra</t>
    <phoneticPr fontId="26"/>
  </si>
  <si>
    <t>1 CMG</t>
    <phoneticPr fontId="35"/>
  </si>
  <si>
    <t>Value</t>
    <phoneticPr fontId="26"/>
  </si>
  <si>
    <t xml:space="preserve">1回目の実行時間との比率（性能比） </t>
    <phoneticPr fontId="28"/>
  </si>
  <si>
    <t>CMG</t>
    <phoneticPr fontId="28"/>
  </si>
  <si>
    <t>Cycle Accounting Extra</t>
    <phoneticPr fontId="28"/>
  </si>
  <si>
    <t>Cache</t>
    <phoneticPr fontId="28"/>
  </si>
  <si>
    <t>キャッシュ情報</t>
    <phoneticPr fontId="28"/>
  </si>
  <si>
    <t>Busy</t>
    <phoneticPr fontId="28"/>
  </si>
  <si>
    <t>Cycle accounting</t>
    <phoneticPr fontId="28"/>
  </si>
  <si>
    <t>サイクルアカウンティング</t>
    <phoneticPr fontId="28"/>
  </si>
  <si>
    <t>Statistics</t>
    <phoneticPr fontId="26"/>
  </si>
  <si>
    <t>Instruction</t>
    <phoneticPr fontId="28"/>
  </si>
  <si>
    <t>命令数</t>
    <phoneticPr fontId="28"/>
  </si>
  <si>
    <t>FLOPS</t>
    <phoneticPr fontId="26"/>
  </si>
  <si>
    <t>Extra</t>
  </si>
  <si>
    <t>Extra</t>
    <phoneticPr fontId="28"/>
  </si>
  <si>
    <t>Breakdown of time in section.</t>
    <phoneticPr fontId="26"/>
  </si>
  <si>
    <t>バランス情報</t>
    <phoneticPr fontId="26"/>
  </si>
  <si>
    <t>Balance</t>
    <phoneticPr fontId="26"/>
  </si>
  <si>
    <t>IPC</t>
    <phoneticPr fontId="26"/>
  </si>
  <si>
    <t>IPC
(=Instruction per cycle)</t>
    <phoneticPr fontId="26"/>
  </si>
  <si>
    <t>Memory access wait &amp; 
Cache access wait</t>
    <phoneticPr fontId="26"/>
  </si>
  <si>
    <t>L1_PIPE1_COMP</t>
    <phoneticPr fontId="26"/>
  </si>
  <si>
    <t>Micro-operation instruction</t>
    <phoneticPr fontId="26"/>
  </si>
  <si>
    <t>マイクロ命令数</t>
    <phoneticPr fontId="26"/>
  </si>
  <si>
    <t>Between register instruction</t>
    <phoneticPr fontId="26"/>
  </si>
  <si>
    <t>Operation between elements instruction</t>
    <phoneticPr fontId="28"/>
  </si>
  <si>
    <t>MOVPRFX instruction</t>
    <phoneticPr fontId="26"/>
  </si>
  <si>
    <t>Micro decomposition</t>
    <phoneticPr fontId="26"/>
  </si>
  <si>
    <t>Math accelerator instruction</t>
    <phoneticPr fontId="26"/>
  </si>
  <si>
    <t>The number of calc[/core/cycle]</t>
  </si>
  <si>
    <t>VL/128 (SIMD演算のSIMD計算用係数)</t>
    <phoneticPr fontId="26"/>
  </si>
  <si>
    <t>Predicate係数</t>
    <rPh sb="9" eb="11">
      <t>ケイスウ</t>
    </rPh>
    <phoneticPr fontId="26"/>
  </si>
  <si>
    <t>Line size of BUS</t>
    <phoneticPr fontId="26"/>
  </si>
  <si>
    <t>1CMG性能</t>
    <rPh sb="4" eb="6">
      <t>セイノウ</t>
    </rPh>
    <phoneticPr fontId="26"/>
  </si>
  <si>
    <t>GraphD-1</t>
    <phoneticPr fontId="28"/>
  </si>
  <si>
    <t>GraphD-2</t>
    <phoneticPr fontId="28"/>
  </si>
  <si>
    <t>[H01]</t>
    <phoneticPr fontId="28"/>
  </si>
  <si>
    <r>
      <t>[H02]</t>
    </r>
    <r>
      <rPr>
        <sz val="11"/>
        <color theme="1"/>
        <rFont val="ＭＳ Ｐゴシック"/>
        <family val="2"/>
        <charset val="128"/>
        <scheme val="minor"/>
      </rPr>
      <t/>
    </r>
  </si>
  <si>
    <t>[I01]</t>
    <phoneticPr fontId="28"/>
  </si>
  <si>
    <t>[I07]</t>
    <phoneticPr fontId="28"/>
  </si>
  <si>
    <r>
      <t>[I02]</t>
    </r>
    <r>
      <rPr>
        <sz val="11"/>
        <color theme="1"/>
        <rFont val="ＭＳ Ｐゴシック"/>
        <family val="2"/>
        <charset val="128"/>
        <scheme val="minor"/>
      </rPr>
      <t/>
    </r>
  </si>
  <si>
    <r>
      <t>[I03]</t>
    </r>
    <r>
      <rPr>
        <sz val="11"/>
        <color theme="1"/>
        <rFont val="ＭＳ Ｐゴシック"/>
        <family val="2"/>
        <charset val="128"/>
        <scheme val="minor"/>
      </rPr>
      <t/>
    </r>
  </si>
  <si>
    <r>
      <t>[I04]</t>
    </r>
    <r>
      <rPr>
        <sz val="11"/>
        <color theme="1"/>
        <rFont val="ＭＳ Ｐゴシック"/>
        <family val="2"/>
        <charset val="128"/>
        <scheme val="minor"/>
      </rPr>
      <t/>
    </r>
  </si>
  <si>
    <r>
      <t>[I05]</t>
    </r>
    <r>
      <rPr>
        <sz val="11"/>
        <color theme="1"/>
        <rFont val="ＭＳ Ｐゴシック"/>
        <family val="2"/>
        <charset val="128"/>
        <scheme val="minor"/>
      </rPr>
      <t/>
    </r>
  </si>
  <si>
    <r>
      <t>[I06]</t>
    </r>
    <r>
      <rPr>
        <sz val="11"/>
        <color theme="1"/>
        <rFont val="ＭＳ Ｐゴシック"/>
        <family val="2"/>
        <charset val="128"/>
        <scheme val="minor"/>
      </rPr>
      <t/>
    </r>
  </si>
  <si>
    <r>
      <t>[I07]</t>
    </r>
    <r>
      <rPr>
        <sz val="11"/>
        <color theme="1"/>
        <rFont val="ＭＳ Ｐゴシック"/>
        <family val="2"/>
        <charset val="128"/>
        <scheme val="minor"/>
      </rPr>
      <t/>
    </r>
  </si>
  <si>
    <t>★Read</t>
    <phoneticPr fontId="26"/>
  </si>
  <si>
    <t>[K01]</t>
    <phoneticPr fontId="28"/>
  </si>
  <si>
    <r>
      <t>[K02]</t>
    </r>
    <r>
      <rPr>
        <sz val="11"/>
        <color theme="1"/>
        <rFont val="ＭＳ Ｐゴシック"/>
        <family val="2"/>
        <charset val="128"/>
        <scheme val="minor"/>
      </rPr>
      <t/>
    </r>
  </si>
  <si>
    <r>
      <t>[K03]</t>
    </r>
    <r>
      <rPr>
        <sz val="11"/>
        <color theme="1"/>
        <rFont val="ＭＳ Ｐゴシック"/>
        <family val="2"/>
        <charset val="128"/>
        <scheme val="minor"/>
      </rPr>
      <t/>
    </r>
  </si>
  <si>
    <t>Graph K</t>
    <phoneticPr fontId="28"/>
  </si>
  <si>
    <t>[L01]</t>
    <phoneticPr fontId="26"/>
  </si>
  <si>
    <r>
      <t>[L02]</t>
    </r>
    <r>
      <rPr>
        <sz val="11"/>
        <color theme="1"/>
        <rFont val="ＭＳ Ｐゴシック"/>
        <family val="2"/>
        <charset val="128"/>
        <scheme val="minor"/>
      </rPr>
      <t/>
    </r>
  </si>
  <si>
    <r>
      <t>[L03]</t>
    </r>
    <r>
      <rPr>
        <sz val="11"/>
        <color theme="1"/>
        <rFont val="ＭＳ Ｐゴシック"/>
        <family val="2"/>
        <charset val="128"/>
        <scheme val="minor"/>
      </rPr>
      <t/>
    </r>
  </si>
  <si>
    <r>
      <t>[L04]</t>
    </r>
    <r>
      <rPr>
        <sz val="11"/>
        <color theme="1"/>
        <rFont val="ＭＳ Ｐゴシック"/>
        <family val="2"/>
        <charset val="128"/>
        <scheme val="minor"/>
      </rPr>
      <t/>
    </r>
  </si>
  <si>
    <r>
      <t>[L05]</t>
    </r>
    <r>
      <rPr>
        <sz val="11"/>
        <color theme="1"/>
        <rFont val="ＭＳ Ｐゴシック"/>
        <family val="2"/>
        <charset val="128"/>
        <scheme val="minor"/>
      </rPr>
      <t/>
    </r>
  </si>
  <si>
    <r>
      <t>[L06]</t>
    </r>
    <r>
      <rPr>
        <sz val="11"/>
        <color theme="1"/>
        <rFont val="ＭＳ Ｐゴシック"/>
        <family val="2"/>
        <charset val="128"/>
        <scheme val="minor"/>
      </rPr>
      <t/>
    </r>
  </si>
  <si>
    <r>
      <t>[L07]</t>
    </r>
    <r>
      <rPr>
        <sz val="11"/>
        <color theme="1"/>
        <rFont val="ＭＳ Ｐゴシック"/>
        <family val="2"/>
        <charset val="128"/>
        <scheme val="minor"/>
      </rPr>
      <t/>
    </r>
  </si>
  <si>
    <r>
      <t>[L08]</t>
    </r>
    <r>
      <rPr>
        <sz val="11"/>
        <color theme="1"/>
        <rFont val="ＭＳ Ｐゴシック"/>
        <family val="2"/>
        <charset val="128"/>
        <scheme val="minor"/>
      </rPr>
      <t/>
    </r>
  </si>
  <si>
    <r>
      <t>[L09]</t>
    </r>
    <r>
      <rPr>
        <sz val="11"/>
        <color theme="1"/>
        <rFont val="ＭＳ Ｐゴシック"/>
        <family val="2"/>
        <charset val="128"/>
        <scheme val="minor"/>
      </rPr>
      <t/>
    </r>
  </si>
  <si>
    <r>
      <t>[L10]</t>
    </r>
    <r>
      <rPr>
        <sz val="11"/>
        <color theme="1"/>
        <rFont val="ＭＳ Ｐゴシック"/>
        <family val="2"/>
        <charset val="128"/>
        <scheme val="minor"/>
      </rPr>
      <t/>
    </r>
  </si>
  <si>
    <r>
      <t>[L11]</t>
    </r>
    <r>
      <rPr>
        <sz val="11"/>
        <color theme="1"/>
        <rFont val="ＭＳ Ｐゴシック"/>
        <family val="2"/>
        <charset val="128"/>
        <scheme val="minor"/>
      </rPr>
      <t/>
    </r>
  </si>
  <si>
    <r>
      <t>[L12]</t>
    </r>
    <r>
      <rPr>
        <sz val="11"/>
        <color theme="1"/>
        <rFont val="ＭＳ Ｐゴシック"/>
        <family val="2"/>
        <charset val="128"/>
        <scheme val="minor"/>
      </rPr>
      <t/>
    </r>
  </si>
  <si>
    <r>
      <t>[L13]</t>
    </r>
    <r>
      <rPr>
        <sz val="11"/>
        <color theme="1"/>
        <rFont val="ＭＳ Ｐゴシック"/>
        <family val="2"/>
        <charset val="128"/>
        <scheme val="minor"/>
      </rPr>
      <t/>
    </r>
  </si>
  <si>
    <r>
      <t>[L14]</t>
    </r>
    <r>
      <rPr>
        <sz val="11"/>
        <color theme="1"/>
        <rFont val="ＭＳ Ｐゴシック"/>
        <family val="2"/>
        <charset val="128"/>
        <scheme val="minor"/>
      </rPr>
      <t/>
    </r>
  </si>
  <si>
    <r>
      <t>[L15]</t>
    </r>
    <r>
      <rPr>
        <sz val="11"/>
        <color theme="1"/>
        <rFont val="ＭＳ Ｐゴシック"/>
        <family val="2"/>
        <charset val="128"/>
        <scheme val="minor"/>
      </rPr>
      <t/>
    </r>
  </si>
  <si>
    <r>
      <t>[L16]</t>
    </r>
    <r>
      <rPr>
        <sz val="11"/>
        <color theme="1"/>
        <rFont val="ＭＳ Ｐゴシック"/>
        <family val="2"/>
        <charset val="128"/>
        <scheme val="minor"/>
      </rPr>
      <t/>
    </r>
  </si>
  <si>
    <r>
      <t>[L17]</t>
    </r>
    <r>
      <rPr>
        <sz val="11"/>
        <color theme="1"/>
        <rFont val="ＭＳ Ｐゴシック"/>
        <family val="2"/>
        <charset val="128"/>
        <scheme val="minor"/>
      </rPr>
      <t/>
    </r>
  </si>
  <si>
    <r>
      <t>[L18]</t>
    </r>
    <r>
      <rPr>
        <sz val="11"/>
        <color theme="1"/>
        <rFont val="ＭＳ Ｐゴシック"/>
        <family val="2"/>
        <charset val="128"/>
        <scheme val="minor"/>
      </rPr>
      <t/>
    </r>
  </si>
  <si>
    <t>[M01]</t>
    <phoneticPr fontId="28"/>
  </si>
  <si>
    <t>[M02]</t>
    <phoneticPr fontId="26"/>
  </si>
  <si>
    <t>[N01]</t>
    <phoneticPr fontId="26"/>
  </si>
  <si>
    <t>[N02]</t>
    <phoneticPr fontId="26"/>
  </si>
  <si>
    <t>GraphN-2</t>
    <phoneticPr fontId="28"/>
  </si>
  <si>
    <r>
      <t>[F01]</t>
    </r>
    <r>
      <rPr>
        <sz val="11"/>
        <color theme="1"/>
        <rFont val="Meiryo UI"/>
        <family val="2"/>
        <charset val="128"/>
      </rPr>
      <t/>
    </r>
    <phoneticPr fontId="26"/>
  </si>
  <si>
    <r>
      <t>[F02]</t>
    </r>
    <r>
      <rPr>
        <sz val="11"/>
        <color theme="1"/>
        <rFont val="Meiryo UI"/>
        <family val="2"/>
        <charset val="128"/>
      </rPr>
      <t/>
    </r>
    <phoneticPr fontId="26"/>
  </si>
  <si>
    <t>N Balance</t>
    <phoneticPr fontId="26"/>
  </si>
  <si>
    <t>(0, 112, 192)</t>
  </si>
  <si>
    <t>(255, 0, 0)</t>
  </si>
  <si>
    <t>(255, 153, 255)</t>
  </si>
  <si>
    <t>(255, 128, 128)</t>
  </si>
  <si>
    <t>(204, 255, 153)</t>
  </si>
  <si>
    <t>(255, 204, 204)</t>
  </si>
  <si>
    <t>(204, 204, 255)</t>
  </si>
  <si>
    <t>(255, 153, 0)</t>
  </si>
  <si>
    <t>(255, 204, 0)</t>
  </si>
  <si>
    <t>(255, 153, 153)</t>
  </si>
  <si>
    <t>(102, 204, 255)</t>
  </si>
  <si>
    <t>(204, 153, 255)</t>
  </si>
  <si>
    <t>Floating-point instruction</t>
    <phoneticPr fontId="26"/>
  </si>
  <si>
    <t>LANG</t>
    <phoneticPr fontId="26"/>
  </si>
  <si>
    <t>Statistics</t>
  </si>
  <si>
    <t>GFLOPS value used by 
predicate mask information</t>
    <phoneticPr fontId="26"/>
  </si>
  <si>
    <t>測定日時</t>
    <phoneticPr fontId="26"/>
  </si>
  <si>
    <t>Ecoモード</t>
    <phoneticPr fontId="26"/>
  </si>
  <si>
    <t>spill</t>
    <phoneticPr fontId="26"/>
  </si>
  <si>
    <t>fill</t>
    <phoneticPr fontId="26"/>
  </si>
  <si>
    <t>Gather</t>
    <phoneticPr fontId="26"/>
  </si>
  <si>
    <t>Scatter</t>
    <phoneticPr fontId="26"/>
  </si>
  <si>
    <t>SVE spill instruction</t>
  </si>
  <si>
    <t>Predicate register spill instruction</t>
  </si>
  <si>
    <t>SVE fill instruction</t>
  </si>
  <si>
    <t>Predicate register fill instruction</t>
  </si>
  <si>
    <t>Predicate レジスタfill 命令数</t>
  </si>
  <si>
    <t>Rate that becomes 2 flow</t>
  </si>
  <si>
    <t>Rate that becomes 1 flow</t>
  </si>
  <si>
    <t xml:space="preserve">Rate that becomes 0 flow </t>
  </si>
  <si>
    <t>L1D,L2キャッシュミス率(/ロード・ストア数)</t>
    <rPh sb="13" eb="14">
      <t>リツ</t>
    </rPh>
    <rPh sb="23" eb="24">
      <t>スウ</t>
    </rPh>
    <phoneticPr fontId="28"/>
  </si>
  <si>
    <t>Spawn no.</t>
    <phoneticPr fontId="26"/>
  </si>
  <si>
    <t>CMG no.</t>
    <phoneticPr fontId="26"/>
  </si>
  <si>
    <t>スポーン番号</t>
    <rPh sb="4" eb="6">
      <t>バンゴウ</t>
    </rPh>
    <phoneticPr fontId="26"/>
  </si>
  <si>
    <t>CMG番号</t>
    <rPh sb="3" eb="5">
      <t>バンゴウ</t>
    </rPh>
    <phoneticPr fontId="26"/>
  </si>
  <si>
    <t>[V02]</t>
  </si>
  <si>
    <t>[V03]</t>
  </si>
  <si>
    <t>[V04]</t>
  </si>
  <si>
    <t>[V05]</t>
  </si>
  <si>
    <t>[V06]</t>
  </si>
  <si>
    <t>[V07]</t>
  </si>
  <si>
    <t>[V08]</t>
  </si>
  <si>
    <t>[V09]</t>
  </si>
  <si>
    <t>[V10]</t>
  </si>
  <si>
    <t>[V11]</t>
  </si>
  <si>
    <t>[V12]</t>
  </si>
  <si>
    <t>[V13]</t>
  </si>
  <si>
    <t>[V14]</t>
  </si>
  <si>
    <t>[V15]</t>
  </si>
  <si>
    <t>[V16]</t>
  </si>
  <si>
    <t>SIMD LD</t>
    <phoneticPr fontId="26"/>
  </si>
  <si>
    <t>SIMD ST</t>
    <phoneticPr fontId="26"/>
  </si>
  <si>
    <t>Non-SIMD</t>
    <phoneticPr fontId="26"/>
  </si>
  <si>
    <t>Floating-point load instruction</t>
  </si>
  <si>
    <t>structure load instruction</t>
  </si>
  <si>
    <t>gather load instruction</t>
  </si>
  <si>
    <t>ブロードキャストロード命令数</t>
  </si>
  <si>
    <t>Fault load instruction</t>
  </si>
  <si>
    <t>Floating-point store instruction</t>
  </si>
  <si>
    <t>structure store instruction</t>
  </si>
  <si>
    <t>scatter store instruction</t>
  </si>
  <si>
    <t>Load instruction</t>
  </si>
  <si>
    <t>Store instruction</t>
  </si>
  <si>
    <t>destination (GB/s)</t>
    <phoneticPr fontId="28"/>
  </si>
  <si>
    <t>データ送信先 (GB/s)</t>
    <rPh sb="3" eb="5">
      <t>ソウシン</t>
    </rPh>
    <rPh sb="5" eb="6">
      <t>サキ</t>
    </rPh>
    <phoneticPr fontId="28"/>
  </si>
  <si>
    <t>Write</t>
    <phoneticPr fontId="26"/>
  </si>
  <si>
    <t>Read</t>
    <phoneticPr fontId="26"/>
  </si>
  <si>
    <t>Branch predication miss rate</t>
    <phoneticPr fontId="26"/>
  </si>
  <si>
    <t>Gather率 (%)</t>
    <phoneticPr fontId="26"/>
  </si>
  <si>
    <t>[I01-I03]</t>
    <phoneticPr fontId="28"/>
  </si>
  <si>
    <t>[I04-I06]</t>
    <phoneticPr fontId="28"/>
  </si>
  <si>
    <t>[J01-J07]</t>
    <phoneticPr fontId="26"/>
  </si>
  <si>
    <t>[J01-J07]</t>
    <phoneticPr fontId="26"/>
  </si>
  <si>
    <t>[V01]</t>
    <phoneticPr fontId="26"/>
  </si>
  <si>
    <t>情報</t>
    <phoneticPr fontId="28"/>
  </si>
  <si>
    <t>Information</t>
    <phoneticPr fontId="28"/>
  </si>
  <si>
    <t>Navigation</t>
    <phoneticPr fontId="26"/>
  </si>
  <si>
    <t>注意点：これ以降のゾーンは共通データゾーンと重ならない行から開始することとした</t>
    <rPh sb="0" eb="2">
      <t>チュウイテン</t>
    </rPh>
    <rPh sb="6" eb="8">
      <t>イコウ</t>
    </rPh>
    <rPh sb="13" eb="15">
      <t>キョウツウ</t>
    </rPh>
    <phoneticPr fontId="26"/>
  </si>
  <si>
    <t>Item name</t>
    <phoneticPr fontId="26"/>
  </si>
  <si>
    <t>Value</t>
    <phoneticPr fontId="26"/>
  </si>
  <si>
    <t>Comment</t>
    <phoneticPr fontId="26"/>
  </si>
  <si>
    <t>Table</t>
    <phoneticPr fontId="28"/>
  </si>
  <si>
    <t>Counter-timer Frequency(Hz)</t>
    <phoneticPr fontId="26"/>
  </si>
  <si>
    <t>CNTFRQの値</t>
    <rPh sb="7" eb="8">
      <t>アタイ</t>
    </rPh>
    <phoneticPr fontId="28"/>
  </si>
  <si>
    <t>CLOCKFREQ</t>
    <phoneticPr fontId="26"/>
  </si>
  <si>
    <t>CPU clock周波数 (例: 1.8*10^9[Hz])</t>
    <rPh sb="9" eb="12">
      <t>シュウハスウ</t>
    </rPh>
    <rPh sb="14" eb="15">
      <t>レイ</t>
    </rPh>
    <phoneticPr fontId="26"/>
  </si>
  <si>
    <t>BUSのラインサイズ</t>
    <phoneticPr fontId="26"/>
  </si>
  <si>
    <t>Data size</t>
    <phoneticPr fontId="26"/>
  </si>
  <si>
    <t>1: Half precision (2 byte)
2: Single precision (4 byte)
3: Double precision (8 byte)</t>
    <phoneticPr fontId="26"/>
  </si>
  <si>
    <t>VL</t>
    <phoneticPr fontId="26"/>
  </si>
  <si>
    <t>VL/64</t>
    <phoneticPr fontId="26"/>
  </si>
  <si>
    <t>EFCTFRQ(Hz)</t>
    <phoneticPr fontId="26"/>
  </si>
  <si>
    <t>The number of core(/NODE)</t>
    <phoneticPr fontId="26"/>
  </si>
  <si>
    <t>The number of core(/CMG)</t>
    <phoneticPr fontId="26"/>
  </si>
  <si>
    <t>1cycle当たりの1coreの最大演算数(8byte演算時)</t>
    <rPh sb="27" eb="29">
      <t>エンザン</t>
    </rPh>
    <rPh sb="29" eb="30">
      <t>ジ</t>
    </rPh>
    <phoneticPr fontId="26"/>
  </si>
  <si>
    <t>Predicate coefficient</t>
    <phoneticPr fontId="26"/>
  </si>
  <si>
    <t>Spawn</t>
    <phoneticPr fontId="26"/>
  </si>
  <si>
    <t>Process</t>
    <phoneticPr fontId="26"/>
  </si>
  <si>
    <t>Region_name</t>
    <phoneticPr fontId="26"/>
  </si>
  <si>
    <t>Region_number</t>
    <phoneticPr fontId="26"/>
  </si>
  <si>
    <t>Call</t>
    <phoneticPr fontId="26"/>
  </si>
  <si>
    <t>CNTVCT</t>
    <phoneticPr fontId="28"/>
  </si>
  <si>
    <t>PMCCNTR</t>
    <phoneticPr fontId="28"/>
  </si>
  <si>
    <t>SIMD_INST_RETIRED</t>
    <phoneticPr fontId="26"/>
  </si>
  <si>
    <t>Region_name</t>
    <phoneticPr fontId="26"/>
  </si>
  <si>
    <t>PMCCNTR</t>
    <phoneticPr fontId="28"/>
  </si>
  <si>
    <t>LD_COMP_WAIT</t>
    <phoneticPr fontId="26"/>
  </si>
  <si>
    <t>ROB_EMPTY</t>
    <phoneticPr fontId="26"/>
  </si>
  <si>
    <t>ROB_EMPTY_STQ_BUSY</t>
    <phoneticPr fontId="26"/>
  </si>
  <si>
    <t>Level</t>
    <phoneticPr fontId="26"/>
  </si>
  <si>
    <t>Region_number</t>
    <phoneticPr fontId="26"/>
  </si>
  <si>
    <t>L1_PIPE0_VAL</t>
    <phoneticPr fontId="26"/>
  </si>
  <si>
    <t>L2_PIPE_VAL</t>
    <phoneticPr fontId="26"/>
  </si>
  <si>
    <t>EXA_VAL</t>
    <phoneticPr fontId="26"/>
  </si>
  <si>
    <t>EXB_VAL</t>
    <phoneticPr fontId="26"/>
  </si>
  <si>
    <t>CNTVCT</t>
    <phoneticPr fontId="28"/>
  </si>
  <si>
    <t>SVE_ST_SCATTER_SPEC</t>
    <phoneticPr fontId="26"/>
  </si>
  <si>
    <t>L1D_CACHE_REFILL</t>
    <phoneticPr fontId="26"/>
  </si>
  <si>
    <t>L2D_CACHE_REFILL</t>
    <phoneticPr fontId="26"/>
  </si>
  <si>
    <t>Level</t>
    <phoneticPr fontId="26"/>
  </si>
  <si>
    <t>Process</t>
    <phoneticPr fontId="26"/>
  </si>
  <si>
    <t>CNTVCT</t>
    <phoneticPr fontId="28"/>
  </si>
  <si>
    <t>FP_SPEC</t>
    <phoneticPr fontId="26"/>
  </si>
  <si>
    <t>FP_FMA_SPEC</t>
    <phoneticPr fontId="26"/>
  </si>
  <si>
    <t>FP_RECPE_SPEC</t>
    <phoneticPr fontId="26"/>
  </si>
  <si>
    <t>FP_LD_SPEC</t>
    <phoneticPr fontId="26"/>
  </si>
  <si>
    <t>ASE_SVE_LD_SPEC</t>
    <phoneticPr fontId="26"/>
  </si>
  <si>
    <t>LD_SPEC</t>
    <phoneticPr fontId="26"/>
  </si>
  <si>
    <t>ST_SPEC</t>
    <phoneticPr fontId="26"/>
  </si>
  <si>
    <t>LD_COMP_WAIT_EX</t>
    <phoneticPr fontId="26"/>
  </si>
  <si>
    <t>LD_COMP_WAIT_L1_MISS</t>
    <phoneticPr fontId="26"/>
  </si>
  <si>
    <t>1INST_COMMIT</t>
    <phoneticPr fontId="26"/>
  </si>
  <si>
    <t>EA_CORE</t>
    <phoneticPr fontId="26"/>
  </si>
  <si>
    <t>EA_L2</t>
    <phoneticPr fontId="28"/>
  </si>
  <si>
    <t>L1_PIPE0_COMP</t>
    <phoneticPr fontId="26"/>
  </si>
  <si>
    <t>EAGA_VAL</t>
    <phoneticPr fontId="26"/>
  </si>
  <si>
    <t>PRX_VAL</t>
    <phoneticPr fontId="26"/>
  </si>
  <si>
    <t>FP_DP_SCALE_OPS_SPEC</t>
    <phoneticPr fontId="26"/>
  </si>
  <si>
    <t>FP_DP_FIXED_OPS_SPEC</t>
    <phoneticPr fontId="26"/>
  </si>
  <si>
    <t>Spawn</t>
    <phoneticPr fontId="26"/>
  </si>
  <si>
    <t>L2D_TLB_REFILL</t>
    <phoneticPr fontId="26"/>
  </si>
  <si>
    <t>Level</t>
    <phoneticPr fontId="26"/>
  </si>
  <si>
    <t>SVE_LDR_REG_SPEC</t>
    <phoneticPr fontId="26"/>
  </si>
  <si>
    <t>SVE_STR_REG_SPEC</t>
    <phoneticPr fontId="26"/>
  </si>
  <si>
    <t>SVE_LDFF_SPEC</t>
    <phoneticPr fontId="26"/>
  </si>
  <si>
    <t>DCZVA_SPEC</t>
    <phoneticPr fontId="26"/>
  </si>
  <si>
    <t>ASE_SVE_LD_MULTI_SPEC</t>
    <phoneticPr fontId="26"/>
  </si>
  <si>
    <t>FP_CVT_SPEC</t>
    <phoneticPr fontId="26"/>
  </si>
  <si>
    <t>PRD_SPEC</t>
    <phoneticPr fontId="26"/>
  </si>
  <si>
    <t>FP_ST_SPEC</t>
    <phoneticPr fontId="26"/>
  </si>
  <si>
    <t>UOP_ONLY_COMMIT</t>
    <phoneticPr fontId="26"/>
  </si>
  <si>
    <t>L1HWPF_STREAM_PF</t>
    <phoneticPr fontId="26"/>
  </si>
  <si>
    <t>SVE_LDR_PREG_SPEC</t>
    <phoneticPr fontId="26"/>
  </si>
  <si>
    <t>SVE_STR_PREG_SPEC</t>
    <phoneticPr fontId="26"/>
  </si>
  <si>
    <t>L1_PIPE_COMP_GATHER_2FLOW</t>
    <phoneticPr fontId="26"/>
  </si>
  <si>
    <t>IEL_SPEC</t>
    <phoneticPr fontId="26"/>
  </si>
  <si>
    <t>SVE_MOVPRFX_SPEC</t>
    <phoneticPr fontId="26"/>
  </si>
  <si>
    <t>BUS_READ_TOTAL_MEM</t>
    <phoneticPr fontId="26"/>
  </si>
  <si>
    <t>BUS_READ_TOTAL_TOFU</t>
    <phoneticPr fontId="26"/>
  </si>
  <si>
    <t>ES01</t>
    <phoneticPr fontId="26"/>
  </si>
  <si>
    <t>used by L2 cache</t>
    <phoneticPr fontId="26"/>
  </si>
  <si>
    <t>L1 busy rate</t>
    <phoneticPr fontId="28"/>
  </si>
  <si>
    <t>L2 busy rate</t>
    <phoneticPr fontId="28"/>
  </si>
  <si>
    <t>0x80a5</t>
    <phoneticPr fontId="26"/>
  </si>
  <si>
    <t>0x80a6</t>
    <phoneticPr fontId="26"/>
  </si>
  <si>
    <t>Mode State</t>
    <phoneticPr fontId="26"/>
  </si>
  <si>
    <t>Used core</t>
    <phoneticPr fontId="26"/>
  </si>
  <si>
    <t>Process No.</t>
    <phoneticPr fontId="26"/>
  </si>
  <si>
    <t>Thread No.＼ID</t>
    <phoneticPr fontId="26"/>
  </si>
  <si>
    <t>A01</t>
    <phoneticPr fontId="26"/>
  </si>
  <si>
    <t>B01</t>
    <phoneticPr fontId="28"/>
  </si>
  <si>
    <t>D01</t>
    <phoneticPr fontId="26"/>
  </si>
  <si>
    <t>F01</t>
    <phoneticPr fontId="26"/>
  </si>
  <si>
    <t>I01</t>
    <phoneticPr fontId="26"/>
  </si>
  <si>
    <t>J01</t>
    <phoneticPr fontId="26"/>
  </si>
  <si>
    <t>K01</t>
    <phoneticPr fontId="26"/>
  </si>
  <si>
    <t>L01</t>
    <phoneticPr fontId="26"/>
  </si>
  <si>
    <t>M01</t>
    <phoneticPr fontId="26"/>
  </si>
  <si>
    <t>M02</t>
    <phoneticPr fontId="26"/>
  </si>
  <si>
    <t>N01</t>
    <phoneticPr fontId="26"/>
  </si>
  <si>
    <t>N02</t>
    <phoneticPr fontId="26"/>
  </si>
  <si>
    <t>G_A01</t>
    <phoneticPr fontId="26"/>
  </si>
  <si>
    <t>G_A02</t>
  </si>
  <si>
    <t>G_A03</t>
  </si>
  <si>
    <t>G_B01_v2</t>
    <phoneticPr fontId="26"/>
  </si>
  <si>
    <t>G_C01</t>
    <phoneticPr fontId="26"/>
  </si>
  <si>
    <t>G_D101</t>
    <phoneticPr fontId="26"/>
  </si>
  <si>
    <t>G_D102</t>
  </si>
  <si>
    <t>G_D201_v2</t>
    <phoneticPr fontId="26"/>
  </si>
  <si>
    <t>G_D201_v3</t>
    <phoneticPr fontId="26"/>
  </si>
  <si>
    <t>G_D202_v3</t>
    <phoneticPr fontId="26"/>
  </si>
  <si>
    <t>G_D203_v3</t>
    <phoneticPr fontId="26"/>
  </si>
  <si>
    <t>G_K01</t>
    <phoneticPr fontId="26"/>
  </si>
  <si>
    <t>G_K02</t>
    <phoneticPr fontId="26"/>
  </si>
  <si>
    <t>G_K03</t>
    <phoneticPr fontId="26"/>
  </si>
  <si>
    <t>T_A01</t>
    <phoneticPr fontId="26"/>
  </si>
  <si>
    <t>T_A02</t>
  </si>
  <si>
    <t>T_A03</t>
  </si>
  <si>
    <t>T_A04</t>
  </si>
  <si>
    <t>T_A05</t>
  </si>
  <si>
    <t>T_A06</t>
  </si>
  <si>
    <t>T_A07</t>
  </si>
  <si>
    <t>T_A08</t>
  </si>
  <si>
    <t>T_A09</t>
  </si>
  <si>
    <t>T_A10</t>
  </si>
  <si>
    <t>T_A11</t>
  </si>
  <si>
    <t>T_A12</t>
  </si>
  <si>
    <t>T_A13</t>
  </si>
  <si>
    <t>T_A14</t>
  </si>
  <si>
    <t>T_A15</t>
  </si>
  <si>
    <t>T_A16</t>
  </si>
  <si>
    <t>T_A17</t>
  </si>
  <si>
    <t>Used Core</t>
    <phoneticPr fontId="26"/>
  </si>
  <si>
    <t>read</t>
    <phoneticPr fontId="26"/>
  </si>
  <si>
    <t>CMG</t>
    <phoneticPr fontId="26"/>
  </si>
  <si>
    <t>Eco Mode</t>
    <phoneticPr fontId="26"/>
  </si>
  <si>
    <t>FLA only mode</t>
    <phoneticPr fontId="26"/>
  </si>
  <si>
    <t>G_B07_v3</t>
  </si>
  <si>
    <t>G_B08_v3</t>
  </si>
  <si>
    <t>G_B18_v3</t>
  </si>
  <si>
    <t>G_B19_v3</t>
  </si>
  <si>
    <t>G_B20_v3</t>
  </si>
  <si>
    <t>Floating-point load memory access wait</t>
    <phoneticPr fontId="26"/>
  </si>
  <si>
    <t>SVE Floating-point register spil instruction</t>
    <phoneticPr fontId="26"/>
  </si>
  <si>
    <t>SVE Floating-point register fill instruction</t>
    <phoneticPr fontId="26"/>
  </si>
  <si>
    <t>Vector length (bit)</t>
    <phoneticPr fontId="26"/>
  </si>
  <si>
    <t>Vector length</t>
    <phoneticPr fontId="26"/>
  </si>
  <si>
    <t>Line size of cache</t>
    <phoneticPr fontId="26"/>
  </si>
  <si>
    <t>Broadcast load instruction</t>
    <phoneticPr fontId="26"/>
  </si>
  <si>
    <t>[B15]</t>
  </si>
  <si>
    <t>Half precision floating-point rate</t>
    <phoneticPr fontId="26"/>
  </si>
  <si>
    <t>Double precision floating-point rate</t>
    <phoneticPr fontId="26"/>
  </si>
  <si>
    <t>Single precision floating-point rate</t>
    <phoneticPr fontId="26"/>
  </si>
  <si>
    <t>Busy</t>
  </si>
  <si>
    <t>Cache</t>
  </si>
  <si>
    <t>FLOPS</t>
  </si>
  <si>
    <t>CycleExt</t>
  </si>
  <si>
    <t>Hardpref</t>
  </si>
  <si>
    <t>Graph. Statistics</t>
    <phoneticPr fontId="26"/>
  </si>
  <si>
    <t>Graph. Busy rate</t>
    <phoneticPr fontId="26"/>
  </si>
  <si>
    <t>Graph. L1D,L2 Cache miss</t>
    <phoneticPr fontId="26"/>
  </si>
  <si>
    <t>Graph. Breakdown of EP</t>
    <phoneticPr fontId="26"/>
  </si>
  <si>
    <t>注意点：</t>
    <phoneticPr fontId="26"/>
  </si>
  <si>
    <t>Cycle1</t>
  </si>
  <si>
    <t>Busy1</t>
  </si>
  <si>
    <t>Cache1</t>
  </si>
  <si>
    <t>Inst1</t>
  </si>
  <si>
    <t>Cycle2</t>
  </si>
  <si>
    <t>Busy2</t>
  </si>
  <si>
    <t>Cache2</t>
  </si>
  <si>
    <t>Inst2</t>
  </si>
  <si>
    <t>Inst3</t>
  </si>
  <si>
    <t>InstExt1</t>
  </si>
  <si>
    <t>InstExt2</t>
  </si>
  <si>
    <t>pa10</t>
  </si>
  <si>
    <t>pa11</t>
  </si>
  <si>
    <t>pa12</t>
  </si>
  <si>
    <t>pa13</t>
  </si>
  <si>
    <t>pa14</t>
  </si>
  <si>
    <t>pa15</t>
  </si>
  <si>
    <t>pa16</t>
  </si>
  <si>
    <t>pa17</t>
  </si>
  <si>
    <t>Cycle3_EP</t>
  </si>
  <si>
    <t>FLB_VAL_PRD_CNT</t>
  </si>
  <si>
    <t>Es15-8</t>
  </si>
  <si>
    <t>Es17-3</t>
  </si>
  <si>
    <t>Es17-6</t>
  </si>
  <si>
    <t>extra2</t>
  </si>
  <si>
    <t>Command line</t>
    <phoneticPr fontId="26"/>
  </si>
  <si>
    <t>コマンドライン</t>
    <phoneticPr fontId="26"/>
  </si>
  <si>
    <t>Command line</t>
    <phoneticPr fontId="26"/>
  </si>
  <si>
    <t>Eco state</t>
    <phoneticPr fontId="26"/>
  </si>
  <si>
    <t>FXA only mode</t>
  </si>
  <si>
    <t>EXAのみのモード</t>
  </si>
  <si>
    <t>Eco state</t>
    <phoneticPr fontId="26"/>
  </si>
  <si>
    <t>L1_PIPE_ABORT_STLD_INTLK</t>
  </si>
  <si>
    <t>A08</t>
  </si>
  <si>
    <t>A09</t>
  </si>
  <si>
    <t>A11</t>
  </si>
  <si>
    <t>Es02-2</t>
  </si>
  <si>
    <t>Es07-２</t>
  </si>
  <si>
    <t>Es07-３</t>
  </si>
  <si>
    <t>FLA_VAL_PRD_CNT</t>
    <phoneticPr fontId="26"/>
  </si>
  <si>
    <t>A02</t>
  </si>
  <si>
    <t>E13</t>
  </si>
  <si>
    <t>E14</t>
  </si>
  <si>
    <t>No instruction commit due to memory access for an integer load instruction</t>
  </si>
  <si>
    <t>No instruction commit due to memory access for a floating-point load instruction</t>
  </si>
  <si>
    <t>No instruction commit due to L2 cache access for an integer load instruction</t>
  </si>
  <si>
    <t>No instruction commit due to L2 cache for a floating-point load instruction</t>
  </si>
  <si>
    <t>No instruction commit waiting for an integer operation to be completed</t>
  </si>
  <si>
    <t>No instruction commit waiting for a floating-point operation to be completed</t>
  </si>
  <si>
    <t>No instruction commit waiting for a branch instruction to be completed</t>
  </si>
  <si>
    <t>No instruction commit for other reasons</t>
  </si>
  <si>
    <t>No instruction commit because SP(store port) is full</t>
  </si>
  <si>
    <t>No instruction commit waiting for an instruction to be fetched</t>
  </si>
  <si>
    <t>Synchronous waiting time between threads</t>
  </si>
  <si>
    <t>One instruction commit</t>
  </si>
  <si>
    <t>Four  instructions commit</t>
    <phoneticPr fontId="26"/>
  </si>
  <si>
    <t>Two instructions commit</t>
    <phoneticPr fontId="26"/>
  </si>
  <si>
    <t>Three instructions commit</t>
    <phoneticPr fontId="26"/>
  </si>
  <si>
    <t>No instruction commit due to L1D cache access for an integer load instruction</t>
    <phoneticPr fontId="26"/>
  </si>
  <si>
    <t>No instruction commit due to L1D cache for a floating-point load instruction</t>
    <phoneticPr fontId="26"/>
  </si>
  <si>
    <t>Other instruction commit</t>
    <phoneticPr fontId="26"/>
  </si>
  <si>
    <t>No instruction commit because PFP(prefetch port) is full</t>
    <phoneticPr fontId="26"/>
  </si>
  <si>
    <t>Store port busy wait</t>
    <phoneticPr fontId="26"/>
  </si>
  <si>
    <t>Execution time</t>
  </si>
  <si>
    <t>Execution time</t>
    <phoneticPr fontId="26"/>
  </si>
  <si>
    <t>Time in section.</t>
  </si>
  <si>
    <t>Memory access wait &amp; Cache access wait</t>
    <phoneticPr fontId="26"/>
  </si>
  <si>
    <t>Stream mode prefetch rate</t>
    <phoneticPr fontId="26"/>
  </si>
  <si>
    <t>Injection mode allocate prefetch rate a prefetch</t>
    <phoneticPr fontId="26"/>
  </si>
  <si>
    <t>Injection mode allocate prefetch rate</t>
    <phoneticPr fontId="26"/>
  </si>
  <si>
    <t>Injection mode unallocate prefetch rate</t>
    <phoneticPr fontId="26"/>
  </si>
  <si>
    <t>Stream mode prefetch rate</t>
    <phoneticPr fontId="26"/>
  </si>
  <si>
    <t>Other hardware prefetch</t>
    <phoneticPr fontId="26"/>
  </si>
  <si>
    <t>Scalar prefetch instruction</t>
    <phoneticPr fontId="26"/>
  </si>
  <si>
    <t>Floating-point conversion instruction</t>
    <phoneticPr fontId="26"/>
  </si>
  <si>
    <t>Predicate instruction</t>
    <phoneticPr fontId="26"/>
  </si>
  <si>
    <t>DCZVA命令数</t>
    <rPh sb="5" eb="8">
      <t>メイレイスウ</t>
    </rPh>
    <phoneticPr fontId="28"/>
  </si>
  <si>
    <t>Non-SIMD load instruction</t>
    <phoneticPr fontId="26"/>
  </si>
  <si>
    <t>Non-SIMD store instruction</t>
    <phoneticPr fontId="26"/>
  </si>
  <si>
    <t>非SIMDロード命令数</t>
    <rPh sb="0" eb="1">
      <t>ヒ</t>
    </rPh>
    <phoneticPr fontId="26"/>
  </si>
  <si>
    <t>非SIMDストア命令数</t>
    <rPh sb="0" eb="1">
      <t>ヒ</t>
    </rPh>
    <phoneticPr fontId="26"/>
  </si>
  <si>
    <t>[A10]</t>
  </si>
  <si>
    <t>[A11]</t>
  </si>
  <si>
    <t>Effective instruction</t>
    <phoneticPr fontId="26"/>
  </si>
  <si>
    <t>1 instruction commit</t>
    <phoneticPr fontId="26"/>
  </si>
  <si>
    <t>[B16]</t>
  </si>
  <si>
    <t>[B17]</t>
  </si>
  <si>
    <t>[B18]</t>
  </si>
  <si>
    <t>[B19]</t>
  </si>
  <si>
    <t>[B20]</t>
  </si>
  <si>
    <t>(/cycle)</t>
  </si>
  <si>
    <t>ビジー率(%)</t>
    <rPh sb="3" eb="4">
      <t>リツ</t>
    </rPh>
    <phoneticPr fontId="28"/>
  </si>
  <si>
    <t>[D02]</t>
  </si>
  <si>
    <t>[D04]</t>
  </si>
  <si>
    <t>プリフェッチ命令率 (/ロード・ストア数)</t>
    <rPh sb="6" eb="8">
      <t>メイレイ</t>
    </rPh>
    <rPh sb="8" eb="9">
      <t>リツ</t>
    </rPh>
    <phoneticPr fontId="28"/>
  </si>
  <si>
    <t>Load-store instruction</t>
    <phoneticPr fontId="26"/>
  </si>
  <si>
    <t>Prefetch instruction</t>
    <phoneticPr fontId="26"/>
  </si>
  <si>
    <t>Floating-point instruction</t>
    <phoneticPr fontId="26"/>
  </si>
  <si>
    <t>[E13]</t>
  </si>
  <si>
    <t>[E15]</t>
  </si>
  <si>
    <t>[G02]</t>
  </si>
  <si>
    <t>[G03]</t>
  </si>
  <si>
    <t>[G04]</t>
  </si>
  <si>
    <t>[G05]</t>
  </si>
  <si>
    <t>[G06]</t>
  </si>
  <si>
    <t>[G07]</t>
  </si>
  <si>
    <t>[G08]</t>
  </si>
  <si>
    <t>[G09]</t>
  </si>
  <si>
    <t>[G10]</t>
  </si>
  <si>
    <t>Floating-point register fill instruction</t>
    <phoneticPr fontId="26"/>
  </si>
  <si>
    <t>浮動小数点レジスタspill 命令数</t>
    <phoneticPr fontId="26"/>
  </si>
  <si>
    <t>浮動小数点レジスタfill 命令数</t>
    <phoneticPr fontId="26"/>
  </si>
  <si>
    <t>Element manipulated instruction</t>
    <phoneticPr fontId="26"/>
  </si>
  <si>
    <t>Register manipulated instruction</t>
    <phoneticPr fontId="26"/>
  </si>
  <si>
    <t>Math functional instruction</t>
    <phoneticPr fontId="26"/>
  </si>
  <si>
    <t>[G01-G02]</t>
    <phoneticPr fontId="26"/>
  </si>
  <si>
    <t>[G03-G04]</t>
    <phoneticPr fontId="26"/>
  </si>
  <si>
    <t>L1 stream mode prefetch rate</t>
    <phoneticPr fontId="26"/>
  </si>
  <si>
    <t>L1 injection mode allocate prefetch rate</t>
    <phoneticPr fontId="26"/>
  </si>
  <si>
    <t>L1 injection mode unallocate prefetch rate</t>
    <phoneticPr fontId="26"/>
  </si>
  <si>
    <t>L2 stream mode prefetch rate</t>
    <phoneticPr fontId="26"/>
  </si>
  <si>
    <t>L2 injection mode allocate prefetch rate</t>
    <phoneticPr fontId="26"/>
  </si>
  <si>
    <t>L2 injection mode unallocate prefetch rate</t>
    <phoneticPr fontId="26"/>
  </si>
  <si>
    <t>L1/L2 other hardware prefetch</t>
    <phoneticPr fontId="26"/>
  </si>
  <si>
    <t>Micro instruction commit</t>
  </si>
  <si>
    <t>[J01-r]</t>
    <phoneticPr fontId="26"/>
  </si>
  <si>
    <t>[J02-r]</t>
    <phoneticPr fontId="26"/>
  </si>
  <si>
    <t>[J03-r]</t>
    <phoneticPr fontId="26"/>
  </si>
  <si>
    <t>[J04-r]</t>
    <phoneticPr fontId="26"/>
  </si>
  <si>
    <t>[J05-r]</t>
    <phoneticPr fontId="26"/>
  </si>
  <si>
    <t>[J06-r]</t>
    <phoneticPr fontId="26"/>
  </si>
  <si>
    <t>[J07-r]</t>
    <phoneticPr fontId="26"/>
  </si>
  <si>
    <t>[J01-w]</t>
    <phoneticPr fontId="26"/>
  </si>
  <si>
    <t>[J02-w]</t>
    <phoneticPr fontId="26"/>
  </si>
  <si>
    <t>[J03-w]</t>
    <phoneticPr fontId="26"/>
  </si>
  <si>
    <t>[J04-w]</t>
    <phoneticPr fontId="26"/>
  </si>
  <si>
    <t>[J05-w]</t>
    <phoneticPr fontId="26"/>
  </si>
  <si>
    <t>[J06-w]</t>
  </si>
  <si>
    <t>[J07-w]</t>
  </si>
  <si>
    <t>statistics</t>
    <phoneticPr fontId="26"/>
  </si>
  <si>
    <t>cycleaccounting1</t>
    <phoneticPr fontId="26"/>
  </si>
  <si>
    <t>busy1</t>
    <phoneticPr fontId="26"/>
  </si>
  <si>
    <t>cache1</t>
    <phoneticPr fontId="26"/>
  </si>
  <si>
    <t>instruction1</t>
    <phoneticPr fontId="26"/>
  </si>
  <si>
    <t>cycleaccounting2</t>
  </si>
  <si>
    <t>cycleaccounting2</t>
    <phoneticPr fontId="26"/>
  </si>
  <si>
    <t>cycleaccounting3</t>
  </si>
  <si>
    <t>instruction2</t>
  </si>
  <si>
    <t>instruction2</t>
    <phoneticPr fontId="26"/>
  </si>
  <si>
    <t>instruction3</t>
  </si>
  <si>
    <t>cycleaccountingex</t>
    <phoneticPr fontId="26"/>
  </si>
  <si>
    <t>hardwareprefetch</t>
    <phoneticPr fontId="26"/>
  </si>
  <si>
    <t>extra1</t>
    <phoneticPr fontId="26"/>
  </si>
  <si>
    <t>-</t>
    <phoneticPr fontId="26"/>
  </si>
  <si>
    <t>イベントセット名(短縮名称)</t>
    <rPh sb="7" eb="8">
      <t>メイ</t>
    </rPh>
    <rPh sb="9" eb="11">
      <t>タンシュク</t>
    </rPh>
    <rPh sb="11" eb="13">
      <t>メイショウ</t>
    </rPh>
    <phoneticPr fontId="26"/>
  </si>
  <si>
    <t>pa1</t>
    <phoneticPr fontId="26"/>
  </si>
  <si>
    <t>pa2</t>
  </si>
  <si>
    <t>pa3</t>
  </si>
  <si>
    <t>pa4</t>
  </si>
  <si>
    <t>pa5</t>
  </si>
  <si>
    <t>pa6</t>
  </si>
  <si>
    <t>pa7</t>
  </si>
  <si>
    <t>pa8</t>
  </si>
  <si>
    <t>pa9</t>
  </si>
  <si>
    <t>Load balance</t>
    <phoneticPr fontId="26"/>
  </si>
  <si>
    <t>Load balance</t>
    <phoneticPr fontId="28"/>
  </si>
  <si>
    <t>Instruction balance</t>
    <phoneticPr fontId="28"/>
  </si>
  <si>
    <t>H Cycle Accounting (Extra)</t>
    <phoneticPr fontId="26"/>
  </si>
  <si>
    <t>ES No.</t>
  </si>
  <si>
    <t>pa2</t>
    <phoneticPr fontId="26"/>
  </si>
  <si>
    <t>pa6</t>
    <phoneticPr fontId="26"/>
  </si>
  <si>
    <t>pa12</t>
    <phoneticPr fontId="26"/>
  </si>
  <si>
    <t>pa1</t>
    <phoneticPr fontId="26"/>
  </si>
  <si>
    <t>ES name</t>
  </si>
  <si>
    <t>Cycle Accounting</t>
    <phoneticPr fontId="28"/>
  </si>
  <si>
    <t>B Cycle Accounting</t>
    <phoneticPr fontId="26"/>
  </si>
  <si>
    <t>Cycle Accounting (Extra)</t>
    <phoneticPr fontId="28"/>
  </si>
  <si>
    <t>I Hardware Prefetch Rate (/Hardware Prefetch) (%)</t>
    <phoneticPr fontId="26"/>
  </si>
  <si>
    <t>Instruction</t>
    <phoneticPr fontId="28"/>
  </si>
  <si>
    <t>Value</t>
    <phoneticPr fontId="26"/>
  </si>
  <si>
    <t>L2D_SWAP_DM</t>
    <phoneticPr fontId="26"/>
  </si>
  <si>
    <t>M Mean Time</t>
    <phoneticPr fontId="26"/>
  </si>
  <si>
    <t>Mean Time</t>
    <phoneticPr fontId="26"/>
  </si>
  <si>
    <t>busy1</t>
    <phoneticPr fontId="26"/>
  </si>
  <si>
    <t>cache1</t>
    <phoneticPr fontId="26"/>
  </si>
  <si>
    <t>cache2</t>
    <phoneticPr fontId="26"/>
  </si>
  <si>
    <t>cache2</t>
    <phoneticPr fontId="26"/>
  </si>
  <si>
    <t>[G15-G17]</t>
    <phoneticPr fontId="26"/>
  </si>
  <si>
    <t>First-fault load instruction</t>
    <phoneticPr fontId="26"/>
  </si>
  <si>
    <t>Multiple vector contiguous structure store instruction</t>
    <phoneticPr fontId="26"/>
  </si>
  <si>
    <t>Non-contiguous gather load instruction</t>
    <phoneticPr fontId="26"/>
  </si>
  <si>
    <t>Single vector contiguous load instruction</t>
    <phoneticPr fontId="26"/>
  </si>
  <si>
    <t>Multiple vector contiguous structure load instruction</t>
    <phoneticPr fontId="26"/>
  </si>
  <si>
    <t>Single vector contiguous store instruction</t>
    <phoneticPr fontId="26"/>
  </si>
  <si>
    <t>Gathering prefetch instruction</t>
    <phoneticPr fontId="26"/>
  </si>
  <si>
    <t>DCZVA instruction</t>
    <phoneticPr fontId="26"/>
  </si>
  <si>
    <t>Non-SIMD instruction</t>
    <phoneticPr fontId="26"/>
  </si>
  <si>
    <t>Threshold</t>
    <phoneticPr fontId="26"/>
  </si>
  <si>
    <t>◆ES data zone</t>
    <phoneticPr fontId="28"/>
  </si>
  <si>
    <t>◆Graph zone</t>
    <phoneticPr fontId="28"/>
  </si>
  <si>
    <t>1NODEあたりのCore数</t>
    <rPh sb="13" eb="14">
      <t>スウ</t>
    </rPh>
    <phoneticPr fontId="26"/>
  </si>
  <si>
    <t>1CMGあたりのCore数</t>
    <rPh sb="12" eb="13">
      <t>スウ</t>
    </rPh>
    <phoneticPr fontId="26"/>
  </si>
  <si>
    <t>Cacheのラインサイズ</t>
    <phoneticPr fontId="26"/>
  </si>
  <si>
    <t>ES data zone、INFO data zoneおよびCalculate data zoneのヘッダ部の高さが固定でないためINFO data zone と合わせるとお互いにセルの高さがまちまちにならないようにした。</t>
    <rPh sb="53" eb="54">
      <t>ブ</t>
    </rPh>
    <rPh sb="55" eb="56">
      <t>タカ</t>
    </rPh>
    <rPh sb="58" eb="60">
      <t>コテイ</t>
    </rPh>
    <rPh sb="81" eb="82">
      <t>ア</t>
    </rPh>
    <rPh sb="87" eb="88">
      <t>タガ</t>
    </rPh>
    <rPh sb="93" eb="94">
      <t>タカ</t>
    </rPh>
    <phoneticPr fontId="26"/>
  </si>
  <si>
    <t>これ以降のzone data のデータ入力部および出力部は30行目から開始するように位置配置を決めた。</t>
    <rPh sb="2" eb="4">
      <t>イコウ</t>
    </rPh>
    <rPh sb="19" eb="21">
      <t>ニュウリョク</t>
    </rPh>
    <rPh sb="21" eb="22">
      <t>ブ</t>
    </rPh>
    <rPh sb="25" eb="27">
      <t>シュツリョク</t>
    </rPh>
    <rPh sb="27" eb="28">
      <t>ブ</t>
    </rPh>
    <rPh sb="31" eb="33">
      <t>ギョウメ</t>
    </rPh>
    <rPh sb="35" eb="37">
      <t>カイシ</t>
    </rPh>
    <rPh sb="42" eb="44">
      <t>イチ</t>
    </rPh>
    <rPh sb="44" eb="46">
      <t>ハイチ</t>
    </rPh>
    <rPh sb="47" eb="48">
      <t>キ</t>
    </rPh>
    <phoneticPr fontId="26"/>
  </si>
  <si>
    <t>G04</t>
  </si>
  <si>
    <t>busy2</t>
    <phoneticPr fontId="26"/>
  </si>
  <si>
    <t>- (上段★★)</t>
    <phoneticPr fontId="26"/>
  </si>
  <si>
    <t>- (下段★★)</t>
    <rPh sb="3" eb="5">
      <t>カダン</t>
    </rPh>
    <phoneticPr fontId="28"/>
  </si>
  <si>
    <t>◆Temporary data zone</t>
    <phoneticPr fontId="28"/>
  </si>
  <si>
    <t>pa1</t>
  </si>
  <si>
    <t>Other instruction commit
(Other instruction commit without 4 instruction commit)</t>
    <phoneticPr fontId="26"/>
  </si>
  <si>
    <t>L1D TLB miss rate
（/Load-store instruction）</t>
    <phoneticPr fontId="26"/>
  </si>
  <si>
    <t>Prefetch (All)
（/Load-store instruction）</t>
    <phoneticPr fontId="26"/>
  </si>
  <si>
    <t>L2D TLB miss rate
（/Load-store instruction）</t>
    <phoneticPr fontId="26"/>
  </si>
  <si>
    <t>L1D,L2 Cache miss
(/Load-store instruction)</t>
    <phoneticPr fontId="28"/>
  </si>
  <si>
    <t>L1D,L2 cache miss rate (/Load-store instruction)</t>
    <phoneticPr fontId="28"/>
  </si>
  <si>
    <t>L1D,L2 cache miss items(/miss)</t>
    <phoneticPr fontId="28"/>
  </si>
  <si>
    <t>L1D,L2 cache miss rate (/Load-store instruction)</t>
    <phoneticPr fontId="26"/>
  </si>
  <si>
    <t>DCZVA instruction</t>
    <phoneticPr fontId="26"/>
  </si>
  <si>
    <t>Electric Power</t>
    <phoneticPr fontId="28"/>
  </si>
  <si>
    <t>Electric power used by core</t>
    <phoneticPr fontId="28"/>
  </si>
  <si>
    <t>Electric power used by L2 cache</t>
    <phoneticPr fontId="28"/>
  </si>
  <si>
    <t>Electric power used by Memory</t>
    <phoneticPr fontId="26"/>
  </si>
  <si>
    <t>Electric power used by core</t>
    <phoneticPr fontId="26"/>
  </si>
  <si>
    <t>Electric power used by L2 cache</t>
    <phoneticPr fontId="26"/>
  </si>
  <si>
    <t>Electric power used by Memory</t>
    <phoneticPr fontId="26"/>
  </si>
  <si>
    <t>Breakdown of Electric Power</t>
    <phoneticPr fontId="28"/>
  </si>
  <si>
    <r>
      <t xml:space="preserve">Measured </t>
    </r>
    <r>
      <rPr>
        <sz val="11"/>
        <color rgb="FFFF0000"/>
        <rFont val="Meiryo UI"/>
        <family val="3"/>
        <charset val="128"/>
      </rPr>
      <t>region</t>
    </r>
    <phoneticPr fontId="26"/>
  </si>
  <si>
    <t>Es02-A</t>
  </si>
  <si>
    <t>Es02-B</t>
  </si>
  <si>
    <t>Es02-C</t>
  </si>
  <si>
    <t>Es02-1</t>
  </si>
  <si>
    <t>Es02-8</t>
  </si>
  <si>
    <t>Es03-A</t>
  </si>
  <si>
    <t>Es03-B</t>
  </si>
  <si>
    <t>Es03-C</t>
  </si>
  <si>
    <t>Es04-A</t>
  </si>
  <si>
    <t>Es04-B</t>
  </si>
  <si>
    <t>Es04-C</t>
  </si>
  <si>
    <t>Es06-A</t>
  </si>
  <si>
    <t>Es06-B</t>
  </si>
  <si>
    <t>Es06-C</t>
  </si>
  <si>
    <t>Es07-A</t>
  </si>
  <si>
    <t>Es07-B</t>
  </si>
  <si>
    <t>Es07-C</t>
  </si>
  <si>
    <t>Es07-１</t>
  </si>
  <si>
    <t>Es08-A</t>
  </si>
  <si>
    <t>Es08-B</t>
  </si>
  <si>
    <t>Es08-C</t>
  </si>
  <si>
    <t>Es09-A</t>
  </si>
  <si>
    <t>Es09-B</t>
  </si>
  <si>
    <t>Es09-C</t>
  </si>
  <si>
    <t>Es10-A</t>
  </si>
  <si>
    <t>Es10-B</t>
  </si>
  <si>
    <t>Es10-C</t>
  </si>
  <si>
    <t>Es10-1</t>
  </si>
  <si>
    <t>Es11-A</t>
  </si>
  <si>
    <t>Es11-B</t>
  </si>
  <si>
    <t>Es11-C</t>
  </si>
  <si>
    <t>Es11-1</t>
  </si>
  <si>
    <t>Es11-8</t>
  </si>
  <si>
    <t>Es12-A</t>
  </si>
  <si>
    <t>Es12-B</t>
  </si>
  <si>
    <t>Es12-C</t>
  </si>
  <si>
    <t>Es15-A</t>
  </si>
  <si>
    <t>Es15-B</t>
  </si>
  <si>
    <t>Es15-Ｃ</t>
  </si>
  <si>
    <t>Es16-A</t>
  </si>
  <si>
    <t>Es16-B</t>
  </si>
  <si>
    <t>Es16-C</t>
  </si>
  <si>
    <t>Es16-1</t>
  </si>
  <si>
    <t>Es17-Ａ</t>
  </si>
  <si>
    <t>Es17-Ｂ</t>
  </si>
  <si>
    <t>Es17-C</t>
  </si>
  <si>
    <t>Es17-1</t>
  </si>
  <si>
    <t>Es17-2</t>
  </si>
  <si>
    <t>Es01-A</t>
    <phoneticPr fontId="26"/>
  </si>
  <si>
    <t>Es01-B</t>
    <phoneticPr fontId="26"/>
  </si>
  <si>
    <t>Es01-C</t>
    <phoneticPr fontId="26"/>
  </si>
  <si>
    <t>Electric Power</t>
    <phoneticPr fontId="26"/>
  </si>
  <si>
    <t>Label</t>
    <phoneticPr fontId="26"/>
  </si>
  <si>
    <t xml:space="preserve">計測区間名 </t>
    <rPh sb="0" eb="2">
      <t>ケイソク</t>
    </rPh>
    <phoneticPr fontId="26"/>
  </si>
  <si>
    <t>D02</t>
  </si>
  <si>
    <t>Es01-1</t>
    <phoneticPr fontId="26"/>
  </si>
  <si>
    <t>Es05-A</t>
    <phoneticPr fontId="26"/>
  </si>
  <si>
    <t>Es05-B</t>
    <phoneticPr fontId="26"/>
  </si>
  <si>
    <t>Es05-C</t>
    <phoneticPr fontId="26"/>
  </si>
  <si>
    <t>Es05-1</t>
    <phoneticPr fontId="26"/>
  </si>
  <si>
    <t>L2D_CACHE_MIBMCH_PRF</t>
  </si>
  <si>
    <t>L2D_CACHE_WB</t>
  </si>
  <si>
    <t>Es06-1</t>
    <phoneticPr fontId="26"/>
  </si>
  <si>
    <t>Es09-1</t>
    <phoneticPr fontId="26"/>
  </si>
  <si>
    <t>Es15-1</t>
    <phoneticPr fontId="26"/>
  </si>
  <si>
    <t>実効clock周波数(core0の実測値から算出)</t>
    <rPh sb="0" eb="2">
      <t>ジッコウ</t>
    </rPh>
    <rPh sb="7" eb="10">
      <t>シュウハスウ</t>
    </rPh>
    <rPh sb="17" eb="19">
      <t>ジッソク</t>
    </rPh>
    <rPh sb="19" eb="20">
      <t>チ</t>
    </rPh>
    <rPh sb="22" eb="24">
      <t>サンシュツ</t>
    </rPh>
    <phoneticPr fontId="26"/>
  </si>
  <si>
    <t>A10</t>
  </si>
  <si>
    <t>Total</t>
    <phoneticPr fontId="26"/>
  </si>
  <si>
    <t>Fill</t>
    <phoneticPr fontId="26"/>
  </si>
  <si>
    <t>Spill</t>
    <phoneticPr fontId="26"/>
  </si>
  <si>
    <t>CPU性能解析レポート版数</t>
    <rPh sb="3" eb="7">
      <t>セイノウカイセキ</t>
    </rPh>
    <rPh sb="11" eb="13">
      <t>ハンスウ</t>
    </rPh>
    <phoneticPr fontId="26"/>
  </si>
  <si>
    <t>L1 HWPF(L1_DIST)</t>
    <phoneticPr fontId="26"/>
  </si>
  <si>
    <t>L1 HWPF(L1W)</t>
    <phoneticPr fontId="26"/>
  </si>
  <si>
    <t>L2 HWPF(L2_DIST)</t>
    <phoneticPr fontId="26"/>
  </si>
  <si>
    <t>L2 HWPF(L2W)</t>
    <phoneticPr fontId="26"/>
  </si>
  <si>
    <t>L1 sector cache(L1_sec0_max)</t>
    <phoneticPr fontId="26"/>
  </si>
  <si>
    <t>L1 sector cache(L1_sec1_max)</t>
  </si>
  <si>
    <t>L2 sector cache(L2_sec0_max)</t>
    <phoneticPr fontId="26"/>
  </si>
  <si>
    <t>L2 sector cache(L2_sec1_max)</t>
    <phoneticPr fontId="26"/>
  </si>
  <si>
    <t>0x0017</t>
    <phoneticPr fontId="26"/>
  </si>
  <si>
    <t>0x0018</t>
    <phoneticPr fontId="26"/>
  </si>
  <si>
    <t>0x0325</t>
    <phoneticPr fontId="26"/>
  </si>
  <si>
    <t>0x0326</t>
    <phoneticPr fontId="26"/>
  </si>
  <si>
    <t>0x0121</t>
    <phoneticPr fontId="26"/>
  </si>
  <si>
    <t>0x0190</t>
    <phoneticPr fontId="26"/>
  </si>
  <si>
    <t>0x0191</t>
    <phoneticPr fontId="26"/>
  </si>
  <si>
    <t>0x0184</t>
    <phoneticPr fontId="26"/>
  </si>
  <si>
    <t>0x0186</t>
    <phoneticPr fontId="26"/>
  </si>
  <si>
    <t>0x0189</t>
    <phoneticPr fontId="26"/>
  </si>
  <si>
    <t>0x018c</t>
    <phoneticPr fontId="26"/>
  </si>
  <si>
    <t>0x018d</t>
    <phoneticPr fontId="26"/>
  </si>
  <si>
    <t>0x018e</t>
    <phoneticPr fontId="26"/>
  </si>
  <si>
    <t>0x0240</t>
    <phoneticPr fontId="26"/>
  </si>
  <si>
    <t>0x0241</t>
    <phoneticPr fontId="26"/>
  </si>
  <si>
    <t>0x0330</t>
    <phoneticPr fontId="26"/>
  </si>
  <si>
    <t>0x0274</t>
    <phoneticPr fontId="26"/>
  </si>
  <si>
    <t>0x01a4</t>
    <phoneticPr fontId="26"/>
  </si>
  <si>
    <t>0x01b4</t>
    <phoneticPr fontId="26"/>
  </si>
  <si>
    <t>0x01a5</t>
    <phoneticPr fontId="26"/>
  </si>
  <si>
    <t>0x01b5</t>
    <phoneticPr fontId="26"/>
  </si>
  <si>
    <t>0x0003</t>
    <phoneticPr fontId="26"/>
  </si>
  <si>
    <t>0x0300</t>
    <phoneticPr fontId="26"/>
  </si>
  <si>
    <t>0x0070</t>
    <phoneticPr fontId="26"/>
  </si>
  <si>
    <t>0x0071</t>
    <phoneticPr fontId="26"/>
  </si>
  <si>
    <t>0x0112</t>
    <phoneticPr fontId="26"/>
  </si>
  <si>
    <t>0x0185</t>
    <phoneticPr fontId="26"/>
  </si>
  <si>
    <t>0x0182</t>
    <phoneticPr fontId="26"/>
  </si>
  <si>
    <t>0x0183</t>
    <phoneticPr fontId="26"/>
  </si>
  <si>
    <t>0x0180</t>
    <phoneticPr fontId="26"/>
  </si>
  <si>
    <t>0x0181</t>
    <phoneticPr fontId="26"/>
  </si>
  <si>
    <t>0x0187</t>
    <phoneticPr fontId="26"/>
  </si>
  <si>
    <t>0x018b</t>
    <phoneticPr fontId="26"/>
  </si>
  <si>
    <t>0x018a</t>
    <phoneticPr fontId="26"/>
  </si>
  <si>
    <t>0x0192</t>
    <phoneticPr fontId="26"/>
  </si>
  <si>
    <t>0x0193</t>
    <phoneticPr fontId="26"/>
  </si>
  <si>
    <t>0x0194</t>
    <phoneticPr fontId="26"/>
  </si>
  <si>
    <t>0x01e0</t>
    <phoneticPr fontId="26"/>
  </si>
  <si>
    <t>0x03e0</t>
    <phoneticPr fontId="26"/>
  </si>
  <si>
    <t>0x03e8</t>
    <phoneticPr fontId="26"/>
  </si>
  <si>
    <t>0x0260</t>
    <phoneticPr fontId="26"/>
  </si>
  <si>
    <t>0x0261</t>
    <phoneticPr fontId="26"/>
  </si>
  <si>
    <t>0x01a0</t>
    <phoneticPr fontId="26"/>
  </si>
  <si>
    <t>0x01a1</t>
    <phoneticPr fontId="26"/>
  </si>
  <si>
    <t>0x01a2</t>
    <phoneticPr fontId="26"/>
  </si>
  <si>
    <t>0x01a3</t>
    <phoneticPr fontId="26"/>
  </si>
  <si>
    <t>0x0202</t>
    <phoneticPr fontId="26"/>
  </si>
  <si>
    <t>0x0302</t>
    <phoneticPr fontId="26"/>
  </si>
  <si>
    <t>0x0005</t>
    <phoneticPr fontId="26"/>
  </si>
  <si>
    <t>0x0001</t>
    <phoneticPr fontId="26"/>
  </si>
  <si>
    <t>0x0012</t>
    <phoneticPr fontId="26"/>
  </si>
  <si>
    <t>0x0105</t>
    <phoneticPr fontId="26"/>
  </si>
  <si>
    <t>0x0113</t>
    <phoneticPr fontId="26"/>
  </si>
  <si>
    <t>0x0108</t>
    <phoneticPr fontId="26"/>
  </si>
  <si>
    <t>0x0077</t>
    <phoneticPr fontId="26"/>
  </si>
  <si>
    <t>0x011a</t>
    <phoneticPr fontId="26"/>
  </si>
  <si>
    <t>0x0188</t>
    <phoneticPr fontId="26"/>
  </si>
  <si>
    <t>0x0198</t>
    <phoneticPr fontId="26"/>
  </si>
  <si>
    <t>0x0199</t>
    <phoneticPr fontId="26"/>
  </si>
  <si>
    <t>0x0230</t>
    <phoneticPr fontId="26"/>
  </si>
  <si>
    <t>0x0231</t>
    <phoneticPr fontId="26"/>
  </si>
  <si>
    <t>0x0232</t>
    <phoneticPr fontId="26"/>
  </si>
  <si>
    <t>0x0233</t>
    <phoneticPr fontId="26"/>
  </si>
  <si>
    <t>0x0234</t>
    <phoneticPr fontId="26"/>
  </si>
  <si>
    <t>0x0235</t>
    <phoneticPr fontId="26"/>
  </si>
  <si>
    <t>0x0236</t>
    <phoneticPr fontId="26"/>
  </si>
  <si>
    <t>0x0139</t>
    <phoneticPr fontId="26"/>
  </si>
  <si>
    <t>0x0109</t>
    <phoneticPr fontId="26"/>
  </si>
  <si>
    <t>0x010a</t>
    <phoneticPr fontId="26"/>
  </si>
  <si>
    <t>0x02b2</t>
    <phoneticPr fontId="26"/>
  </si>
  <si>
    <t>0x02b1</t>
    <phoneticPr fontId="26"/>
  </si>
  <si>
    <t>0x02b0</t>
    <phoneticPr fontId="26"/>
  </si>
  <si>
    <t>0x02b8</t>
    <phoneticPr fontId="26"/>
  </si>
  <si>
    <t>0x02b9</t>
    <phoneticPr fontId="26"/>
  </si>
  <si>
    <t>0x01a6</t>
    <phoneticPr fontId="26"/>
  </si>
  <si>
    <t>0x0010</t>
    <phoneticPr fontId="26"/>
  </si>
  <si>
    <t>0x0318</t>
    <phoneticPr fontId="26"/>
  </si>
  <si>
    <t>0x0319</t>
    <phoneticPr fontId="26"/>
  </si>
  <si>
    <t>0x031a</t>
    <phoneticPr fontId="26"/>
  </si>
  <si>
    <t>0x031b</t>
    <phoneticPr fontId="26"/>
  </si>
  <si>
    <t>0x0316</t>
    <phoneticPr fontId="26"/>
  </si>
  <si>
    <t>0x0314</t>
    <phoneticPr fontId="26"/>
  </si>
  <si>
    <t>0x0315</t>
    <phoneticPr fontId="26"/>
  </si>
  <si>
    <t>0x031e</t>
    <phoneticPr fontId="26"/>
  </si>
  <si>
    <t>0x031c</t>
    <phoneticPr fontId="26"/>
  </si>
  <si>
    <t>0x031d</t>
    <phoneticPr fontId="26"/>
  </si>
  <si>
    <t>0x002d</t>
    <phoneticPr fontId="26"/>
  </si>
  <si>
    <t>0x80af</t>
    <phoneticPr fontId="26"/>
  </si>
  <si>
    <t>0x809f</t>
    <phoneticPr fontId="26"/>
  </si>
  <si>
    <t>default</t>
    <phoneticPr fontId="26"/>
  </si>
  <si>
    <t>ItemNo</t>
    <phoneticPr fontId="26"/>
  </si>
  <si>
    <t>ENG</t>
    <phoneticPr fontId="26"/>
  </si>
  <si>
    <t>JPN</t>
    <phoneticPr fontId="26"/>
  </si>
  <si>
    <t>used by core</t>
    <phoneticPr fontId="26"/>
  </si>
  <si>
    <t>Variation of Time</t>
    <phoneticPr fontId="26"/>
  </si>
  <si>
    <t>Lang</t>
    <phoneticPr fontId="26"/>
  </si>
  <si>
    <t>Power Consumption</t>
    <phoneticPr fontId="28"/>
  </si>
  <si>
    <t>Power consumption used by core</t>
    <phoneticPr fontId="28"/>
  </si>
  <si>
    <t>Power consumption used by L2 cache</t>
    <phoneticPr fontId="28"/>
  </si>
  <si>
    <t>O Cycle Count</t>
    <phoneticPr fontId="26"/>
  </si>
  <si>
    <t>Cycle Count</t>
    <phoneticPr fontId="26"/>
  </si>
  <si>
    <r>
      <t>[O01]</t>
    </r>
    <r>
      <rPr>
        <sz val="11"/>
        <color theme="1"/>
        <rFont val="ＭＳ Ｐゴシック"/>
        <family val="2"/>
        <charset val="128"/>
        <scheme val="minor"/>
      </rPr>
      <t/>
    </r>
    <phoneticPr fontId="26"/>
  </si>
  <si>
    <t>[O02]</t>
  </si>
  <si>
    <t>[O03]</t>
  </si>
  <si>
    <t>[O04]</t>
  </si>
  <si>
    <t>[O05]</t>
  </si>
  <si>
    <t>[O06]</t>
  </si>
  <si>
    <t>[O07]</t>
  </si>
  <si>
    <t>[O08]</t>
  </si>
  <si>
    <t>[O09]</t>
  </si>
  <si>
    <t>[O10]</t>
  </si>
  <si>
    <t>[O11]</t>
  </si>
  <si>
    <t>[O12]</t>
  </si>
  <si>
    <t>[O13]</t>
  </si>
  <si>
    <t>[O14]</t>
  </si>
  <si>
    <t>[O15]</t>
  </si>
  <si>
    <t>[O16]</t>
  </si>
  <si>
    <t>[O17]</t>
  </si>
  <si>
    <t>Floating-point load memory access wait</t>
    <phoneticPr fontId="26"/>
  </si>
  <si>
    <t>Integer load L2 cache access wait</t>
    <phoneticPr fontId="26"/>
  </si>
  <si>
    <t>Integer load L1D cache access wait</t>
    <phoneticPr fontId="26"/>
  </si>
  <si>
    <t>Floating-point load L2 cache access wait</t>
    <phoneticPr fontId="26"/>
  </si>
  <si>
    <t>Integer operation wait</t>
    <phoneticPr fontId="26"/>
  </si>
  <si>
    <t>Floating-point operation wait</t>
    <phoneticPr fontId="26"/>
  </si>
  <si>
    <t>Branch instruction wait</t>
    <phoneticPr fontId="26"/>
  </si>
  <si>
    <t>Store port busy wait</t>
    <phoneticPr fontId="26"/>
  </si>
  <si>
    <t>Instruction fetch wait</t>
    <phoneticPr fontId="26"/>
  </si>
  <si>
    <t>Barrier synchronization wait</t>
    <phoneticPr fontId="26"/>
  </si>
  <si>
    <t>1 instruction commit</t>
    <phoneticPr fontId="26"/>
  </si>
  <si>
    <t>2 instruction commit</t>
    <phoneticPr fontId="26"/>
  </si>
  <si>
    <t>3 instruction commit</t>
    <phoneticPr fontId="26"/>
  </si>
  <si>
    <t>4 instruction commit</t>
    <phoneticPr fontId="26"/>
  </si>
  <si>
    <t>Other instruction commit</t>
    <phoneticPr fontId="26"/>
  </si>
  <si>
    <t>Total</t>
    <phoneticPr fontId="28"/>
  </si>
  <si>
    <t>◆INFO data zone</t>
    <phoneticPr fontId="28"/>
  </si>
  <si>
    <t>C12</t>
  </si>
  <si>
    <t>Load-store instruction</t>
    <phoneticPr fontId="26"/>
  </si>
  <si>
    <t>L1D miss</t>
    <phoneticPr fontId="26"/>
  </si>
  <si>
    <t>Data Transfer CMGs</t>
    <phoneticPr fontId="28"/>
  </si>
  <si>
    <t>LABEL-FAPP-cpupa</t>
    <phoneticPr fontId="26"/>
  </si>
  <si>
    <t>Thread</t>
    <phoneticPr fontId="26"/>
  </si>
  <si>
    <t>-</t>
    <phoneticPr fontId="26"/>
  </si>
  <si>
    <t>[A12]</t>
  </si>
  <si>
    <t>A12</t>
  </si>
  <si>
    <t>B02</t>
  </si>
  <si>
    <t>B03</t>
  </si>
  <si>
    <t>B04</t>
  </si>
  <si>
    <t>B08</t>
  </si>
  <si>
    <t>B09</t>
  </si>
  <si>
    <t>B10</t>
  </si>
  <si>
    <t>B11</t>
  </si>
  <si>
    <t>B12</t>
  </si>
  <si>
    <t>B13</t>
  </si>
  <si>
    <t>B14</t>
  </si>
  <si>
    <t>B15</t>
  </si>
  <si>
    <t>[B02]</t>
  </si>
  <si>
    <t>[B21]</t>
  </si>
  <si>
    <t>No instruction commit because PFP(prefetch port) is full by hardware  prefetch</t>
    <phoneticPr fontId="26"/>
  </si>
  <si>
    <t>No instruction commit because PFP(prefetch port) is full by software  prefetch</t>
    <phoneticPr fontId="26"/>
  </si>
  <si>
    <t>Es04-1</t>
    <phoneticPr fontId="26"/>
  </si>
  <si>
    <t>Es12-1</t>
    <phoneticPr fontId="26"/>
  </si>
  <si>
    <t>Es14-A</t>
    <phoneticPr fontId="26"/>
  </si>
  <si>
    <t>Es14-B</t>
    <phoneticPr fontId="26"/>
  </si>
  <si>
    <t>Es14-C</t>
    <phoneticPr fontId="26"/>
  </si>
  <si>
    <t>Es14-1</t>
    <phoneticPr fontId="26"/>
  </si>
  <si>
    <t>Es13-A</t>
    <phoneticPr fontId="26"/>
  </si>
  <si>
    <t>Es13-B</t>
    <phoneticPr fontId="26"/>
  </si>
  <si>
    <t>Es13-C</t>
    <phoneticPr fontId="26"/>
  </si>
  <si>
    <t>Es13-1</t>
    <phoneticPr fontId="26"/>
  </si>
  <si>
    <t>CSVバージョン</t>
    <phoneticPr fontId="26"/>
  </si>
  <si>
    <t>C13</t>
  </si>
  <si>
    <t>B21</t>
  </si>
  <si>
    <t>Extra</t>
    <phoneticPr fontId="26"/>
  </si>
  <si>
    <t>Es8-1</t>
    <phoneticPr fontId="26"/>
  </si>
  <si>
    <t>Es8-2</t>
  </si>
  <si>
    <t>Es8-3</t>
  </si>
  <si>
    <t>Es8-4</t>
  </si>
  <si>
    <t>Prefetch port busy wait</t>
    <phoneticPr fontId="26"/>
  </si>
  <si>
    <t>Integer load memory access wait</t>
    <phoneticPr fontId="28"/>
  </si>
  <si>
    <t>Floating-point move and conversion instruction</t>
  </si>
  <si>
    <t>Single vector contiguous load instruction</t>
  </si>
  <si>
    <t>Multiple vector contiguous structure load instruction</t>
  </si>
  <si>
    <t>Non-contiguous gather load instruction</t>
  </si>
  <si>
    <t>Broadcast load instruction</t>
  </si>
  <si>
    <t>Fill instruction</t>
  </si>
  <si>
    <t>First-fault load instruction</t>
  </si>
  <si>
    <t>Single vector contiguous store instruction</t>
  </si>
  <si>
    <t>Multiple vector contiguous structure store instruction</t>
  </si>
  <si>
    <t>Spill instruction</t>
  </si>
  <si>
    <t>Non-SIMD load instruction</t>
  </si>
  <si>
    <t>Non-SIMD store instruction</t>
  </si>
  <si>
    <t>Continuous prefetch instruction</t>
  </si>
  <si>
    <t>Gathering prefetch instruction</t>
  </si>
  <si>
    <t>Scalar prefetch instruction</t>
  </si>
  <si>
    <t>DCZVA instruction</t>
  </si>
  <si>
    <t>Floating-point instruction</t>
  </si>
  <si>
    <t>Floating-point reciprocal instruction</t>
  </si>
  <si>
    <t>Floating-point conversion instruction</t>
  </si>
  <si>
    <t>Floating-point move instruction</t>
  </si>
  <si>
    <t>Integer instruction</t>
  </si>
  <si>
    <t>Branch instruction</t>
  </si>
  <si>
    <t>Predicate instruction</t>
  </si>
  <si>
    <t>Cryptographic instruction</t>
  </si>
  <si>
    <t>Other instruction</t>
  </si>
  <si>
    <t>SIMD load instruction</t>
  </si>
  <si>
    <t>SIMD store instruction</t>
  </si>
  <si>
    <t>Load-store instruction</t>
  </si>
  <si>
    <t>Prefetch instruction</t>
  </si>
  <si>
    <t>Other instructions</t>
  </si>
  <si>
    <t>Effective instruction</t>
  </si>
  <si>
    <t>Floating-point register spill instruction</t>
  </si>
  <si>
    <t>Memory</t>
  </si>
  <si>
    <t>F02</t>
  </si>
  <si>
    <t>Power Consumption (W)</t>
    <phoneticPr fontId="26"/>
  </si>
  <si>
    <t>L Variation of Time</t>
    <phoneticPr fontId="26"/>
  </si>
  <si>
    <t>CPUPAレポートバージョン</t>
    <phoneticPr fontId="26"/>
  </si>
  <si>
    <t>Destination (GB/s)</t>
    <phoneticPr fontId="28"/>
  </si>
  <si>
    <t>Instruction fetch wait</t>
    <phoneticPr fontId="28"/>
  </si>
  <si>
    <t>1 instruction commit</t>
    <phoneticPr fontId="28"/>
  </si>
  <si>
    <t>Other instruction commit</t>
    <phoneticPr fontId="28"/>
  </si>
  <si>
    <t>Barrier synchronization wait</t>
    <phoneticPr fontId="28"/>
  </si>
  <si>
    <t>Floating-point busy rate</t>
    <phoneticPr fontId="28"/>
  </si>
  <si>
    <t>Integer busy rate</t>
    <phoneticPr fontId="28"/>
  </si>
  <si>
    <t>L1D miss rate(/Load store instruction)</t>
    <phoneticPr fontId="28"/>
  </si>
  <si>
    <t>L2 miss rate (/Load store instruction)</t>
    <phoneticPr fontId="28"/>
  </si>
  <si>
    <t>Graph. Cache L1D,L2 miss rate (/Load-store instructions)</t>
    <phoneticPr fontId="26"/>
  </si>
  <si>
    <t>L1D miss</t>
    <phoneticPr fontId="28"/>
  </si>
  <si>
    <t>L2 miss</t>
    <phoneticPr fontId="28"/>
  </si>
  <si>
    <t>FMA instruction</t>
    <phoneticPr fontId="26"/>
  </si>
  <si>
    <t>FMA instruction</t>
    <phoneticPr fontId="26"/>
  </si>
  <si>
    <t>used by memory</t>
    <phoneticPr fontId="26"/>
  </si>
  <si>
    <t>Integer operation wait</t>
    <phoneticPr fontId="26"/>
  </si>
  <si>
    <t>Branch instruction wait</t>
    <phoneticPr fontId="28"/>
  </si>
  <si>
    <t>Other wait</t>
    <phoneticPr fontId="26"/>
  </si>
  <si>
    <t>Store port busy wait</t>
    <phoneticPr fontId="26"/>
  </si>
  <si>
    <t>Memory throughput peak ratio</t>
    <phoneticPr fontId="26"/>
  </si>
  <si>
    <t>Graph. Cycle accounting execution time (s) Lv2</t>
    <phoneticPr fontId="26"/>
  </si>
  <si>
    <t>Graph. Cycle accounting execution time (s) Lv3</t>
    <phoneticPr fontId="26"/>
  </si>
  <si>
    <t>Graph. Cycle Accounting execution time (s)</t>
    <phoneticPr fontId="26"/>
  </si>
  <si>
    <t>GFLOPS by Active element rate</t>
    <phoneticPr fontId="26"/>
  </si>
  <si>
    <t>Power consumption used by memory</t>
    <phoneticPr fontId="26"/>
  </si>
  <si>
    <t>説明(日本語)</t>
    <rPh sb="0" eb="2">
      <t>セツメイ</t>
    </rPh>
    <rPh sb="3" eb="6">
      <t>ニホンゴ</t>
    </rPh>
    <phoneticPr fontId="28"/>
  </si>
  <si>
    <t>参考(旧名称)</t>
    <rPh sb="0" eb="2">
      <t>サンコウ</t>
    </rPh>
    <rPh sb="3" eb="6">
      <t>キュウメイショウ</t>
    </rPh>
    <phoneticPr fontId="26"/>
  </si>
  <si>
    <t>Formal name old</t>
    <phoneticPr fontId="26"/>
  </si>
  <si>
    <t>Floating-point instruction except FMA and reciprocal</t>
    <phoneticPr fontId="26"/>
  </si>
  <si>
    <t>Crypto-graphic instruction</t>
    <phoneticPr fontId="26"/>
  </si>
  <si>
    <t>Memory busy rate</t>
    <phoneticPr fontId="28"/>
  </si>
  <si>
    <t>CPU PA report ver.</t>
  </si>
  <si>
    <t>CPU PA report ver.</t>
    <phoneticPr fontId="26"/>
  </si>
  <si>
    <t>CSV ver.</t>
    <phoneticPr fontId="26"/>
  </si>
  <si>
    <t>CSV ver. lower limit</t>
    <phoneticPr fontId="26"/>
  </si>
  <si>
    <t>CSV ver. upper limit</t>
    <phoneticPr fontId="26"/>
  </si>
  <si>
    <t>CSVバージョン上限</t>
    <rPh sb="8" eb="10">
      <t>ジョウゲン</t>
    </rPh>
    <phoneticPr fontId="26"/>
  </si>
  <si>
    <t>CSVバージョン下限</t>
    <rPh sb="8" eb="10">
      <t>カゲン</t>
    </rPh>
    <phoneticPr fontId="26"/>
  </si>
  <si>
    <t>Hardware constant list</t>
    <phoneticPr fontId="28"/>
  </si>
  <si>
    <t>Power Consumption</t>
    <phoneticPr fontId="26"/>
  </si>
  <si>
    <t>Non-contiguous scatter store instruction</t>
    <phoneticPr fontId="26"/>
  </si>
  <si>
    <t>非連続ギャザーロード命令数</t>
    <rPh sb="0" eb="3">
      <t>ヒレンゾク</t>
    </rPh>
    <phoneticPr fontId="26"/>
  </si>
  <si>
    <t>非連続スキャッターストア命令数</t>
    <rPh sb="0" eb="3">
      <t>ヒレンゾク</t>
    </rPh>
    <phoneticPr fontId="26"/>
  </si>
  <si>
    <t>Non-contiguous scatter store instruction</t>
  </si>
  <si>
    <t>非連続ギャザーロード命令率 (/ロード・ストア数)</t>
    <rPh sb="0" eb="3">
      <t>ヒレンゾク</t>
    </rPh>
    <rPh sb="10" eb="12">
      <t>メイレイ</t>
    </rPh>
    <rPh sb="12" eb="13">
      <t>リツ</t>
    </rPh>
    <phoneticPr fontId="26"/>
  </si>
  <si>
    <t>非連続スキャッターストア命令率 (/ロード・ストア数)</t>
    <rPh sb="0" eb="3">
      <t>ヒレンゾク</t>
    </rPh>
    <rPh sb="12" eb="14">
      <t>メイレイ</t>
    </rPh>
    <rPh sb="14" eb="15">
      <t>リツ</t>
    </rPh>
    <phoneticPr fontId="26"/>
  </si>
  <si>
    <t>◆Calculate data zone</t>
    <phoneticPr fontId="28"/>
  </si>
  <si>
    <t>CSV Label</t>
    <phoneticPr fontId="26"/>
  </si>
  <si>
    <t>C02</t>
  </si>
  <si>
    <t>D01</t>
    <phoneticPr fontId="26"/>
  </si>
  <si>
    <t>D04</t>
    <phoneticPr fontId="26"/>
  </si>
  <si>
    <t>D09</t>
    <phoneticPr fontId="26"/>
  </si>
  <si>
    <t>D10</t>
    <phoneticPr fontId="26"/>
  </si>
  <si>
    <t>D01</t>
    <phoneticPr fontId="26"/>
  </si>
  <si>
    <t>D05</t>
    <phoneticPr fontId="26"/>
  </si>
  <si>
    <t>D09</t>
    <phoneticPr fontId="26"/>
  </si>
  <si>
    <t>D09</t>
    <phoneticPr fontId="26"/>
  </si>
  <si>
    <t>Item</t>
    <phoneticPr fontId="26"/>
  </si>
  <si>
    <t>No.</t>
    <phoneticPr fontId="26"/>
  </si>
  <si>
    <t>L02~L18</t>
    <phoneticPr fontId="26"/>
  </si>
  <si>
    <t>L02-L18_low</t>
    <phoneticPr fontId="26"/>
  </si>
  <si>
    <t>L02-L18_upper</t>
    <phoneticPr fontId="26"/>
  </si>
  <si>
    <t>A03</t>
    <phoneticPr fontId="26"/>
  </si>
  <si>
    <t>A03</t>
    <phoneticPr fontId="26"/>
  </si>
  <si>
    <t>M02</t>
    <phoneticPr fontId="26"/>
  </si>
  <si>
    <t xml:space="preserve">Process </t>
    <phoneticPr fontId="26"/>
  </si>
  <si>
    <t>Thread</t>
    <phoneticPr fontId="26"/>
  </si>
  <si>
    <t>Contiguous prefetch instruction</t>
    <phoneticPr fontId="26"/>
  </si>
  <si>
    <t>Es07-４</t>
  </si>
  <si>
    <t>Es07-５</t>
  </si>
  <si>
    <t>Es07-６</t>
  </si>
  <si>
    <t>Es07-７</t>
  </si>
  <si>
    <t>Es07-８</t>
  </si>
  <si>
    <t>G_B02_v2</t>
    <phoneticPr fontId="26"/>
  </si>
  <si>
    <t>G_B01_v3</t>
    <phoneticPr fontId="26"/>
  </si>
  <si>
    <t>G_B03_v2</t>
    <phoneticPr fontId="26"/>
  </si>
  <si>
    <t>G_B04_v2</t>
    <phoneticPr fontId="26"/>
  </si>
  <si>
    <t>G_B05_v2</t>
    <phoneticPr fontId="26"/>
  </si>
  <si>
    <t>G_B06_v2</t>
    <phoneticPr fontId="26"/>
  </si>
  <si>
    <t>G_B07_v2</t>
    <phoneticPr fontId="26"/>
  </si>
  <si>
    <t>G_B08_v2</t>
    <phoneticPr fontId="26"/>
  </si>
  <si>
    <t>G_B09_v2</t>
    <phoneticPr fontId="26"/>
  </si>
  <si>
    <t>G_B09_v3</t>
  </si>
  <si>
    <t>G_B10_v3</t>
  </si>
  <si>
    <t>G_B11_v3</t>
  </si>
  <si>
    <t>G_B12_v3</t>
  </si>
  <si>
    <t>G_B13_v3</t>
  </si>
  <si>
    <t>G_B14_v3</t>
  </si>
  <si>
    <t>G_B15_v3</t>
  </si>
  <si>
    <t>G_B16_v3</t>
  </si>
  <si>
    <t>G_B17_v3</t>
  </si>
  <si>
    <t>G_B06_v3</t>
  </si>
  <si>
    <t>G_B02_v3</t>
    <phoneticPr fontId="26"/>
  </si>
  <si>
    <t>G_B03_v3</t>
    <phoneticPr fontId="26"/>
  </si>
  <si>
    <t>G_B04_v3</t>
    <phoneticPr fontId="26"/>
  </si>
  <si>
    <t>G_B05_v3</t>
    <phoneticPr fontId="26"/>
  </si>
  <si>
    <t>G_B21_v3</t>
    <phoneticPr fontId="26"/>
  </si>
  <si>
    <t>G_B22_v3</t>
    <phoneticPr fontId="26"/>
  </si>
  <si>
    <t>G_B23_v3</t>
    <phoneticPr fontId="26"/>
  </si>
  <si>
    <t>G_B24_v3</t>
    <phoneticPr fontId="26"/>
  </si>
  <si>
    <t>G_B25_v3</t>
    <phoneticPr fontId="26"/>
  </si>
  <si>
    <t>[G01-G03]</t>
    <phoneticPr fontId="28"/>
  </si>
  <si>
    <t>[G04-G??]</t>
    <phoneticPr fontId="28"/>
  </si>
  <si>
    <t>[G??-G??]</t>
    <phoneticPr fontId="28"/>
  </si>
  <si>
    <t>G01</t>
    <phoneticPr fontId="26"/>
  </si>
  <si>
    <t>G02</t>
  </si>
  <si>
    <t>[G01]</t>
    <phoneticPr fontId="26"/>
  </si>
  <si>
    <t>[G??]</t>
    <phoneticPr fontId="26"/>
  </si>
  <si>
    <t>[F04]</t>
    <phoneticPr fontId="26"/>
  </si>
  <si>
    <r>
      <t>[C13]</t>
    </r>
    <r>
      <rPr>
        <sz val="11"/>
        <color theme="1"/>
        <rFont val="Meiryo UI"/>
        <family val="2"/>
        <charset val="128"/>
      </rPr>
      <t/>
    </r>
  </si>
  <si>
    <r>
      <t>[C14]</t>
    </r>
    <r>
      <rPr>
        <sz val="11"/>
        <color theme="1"/>
        <rFont val="Meiryo UI"/>
        <family val="2"/>
        <charset val="128"/>
      </rPr>
      <t/>
    </r>
  </si>
  <si>
    <t>C14</t>
  </si>
  <si>
    <t>True FLA predicate</t>
  </si>
  <si>
    <t>True FLB predicate</t>
  </si>
  <si>
    <t>predicate true rate 1 of PIPE0 predicate</t>
  </si>
  <si>
    <t>predicate true rate 1 of PIPE1 predicate</t>
  </si>
  <si>
    <t>[D??]</t>
    <phoneticPr fontId="26"/>
  </si>
  <si>
    <t>Crypto-graphic instruction</t>
  </si>
  <si>
    <t>E11</t>
  </si>
  <si>
    <t>E16</t>
  </si>
  <si>
    <t>E20</t>
  </si>
  <si>
    <t>E27</t>
  </si>
  <si>
    <t>E28</t>
  </si>
  <si>
    <t>E29</t>
  </si>
  <si>
    <t>- (中段1★★)</t>
    <phoneticPr fontId="26"/>
  </si>
  <si>
    <t>- (中段2★★)</t>
    <phoneticPr fontId="26"/>
  </si>
  <si>
    <t>SIMD</t>
    <phoneticPr fontId="26"/>
  </si>
  <si>
    <t>SIMD instruction</t>
    <phoneticPr fontId="26"/>
  </si>
  <si>
    <t>SIMD</t>
    <phoneticPr fontId="26"/>
  </si>
  <si>
    <t>[E01-E07]</t>
    <phoneticPr fontId="28"/>
  </si>
  <si>
    <t>[E02]</t>
  </si>
  <si>
    <t>[E05]</t>
  </si>
  <si>
    <t>[E07]</t>
  </si>
  <si>
    <t>[E09]</t>
  </si>
  <si>
    <t>[E11]</t>
  </si>
  <si>
    <t>[E12]</t>
  </si>
  <si>
    <t>[E14]</t>
  </si>
  <si>
    <t>[E16]</t>
  </si>
  <si>
    <t>[E17]</t>
  </si>
  <si>
    <t>[E18]</t>
  </si>
  <si>
    <t>[E19]</t>
  </si>
  <si>
    <t>[E20]</t>
  </si>
  <si>
    <t>[E21]</t>
  </si>
  <si>
    <t>[E24]</t>
  </si>
  <si>
    <t>[E28]</t>
  </si>
  <si>
    <t>Load instruction</t>
    <phoneticPr fontId="26"/>
  </si>
  <si>
    <t>Store instruction</t>
    <phoneticPr fontId="26"/>
  </si>
  <si>
    <t>LD</t>
    <phoneticPr fontId="26"/>
  </si>
  <si>
    <t>ST</t>
    <phoneticPr fontId="26"/>
  </si>
  <si>
    <t>[E08]</t>
    <phoneticPr fontId="28"/>
  </si>
  <si>
    <t>[E09-E13]</t>
    <phoneticPr fontId="28"/>
  </si>
  <si>
    <t>[E14]</t>
    <phoneticPr fontId="28"/>
  </si>
  <si>
    <t>Node name</t>
    <phoneticPr fontId="26"/>
  </si>
  <si>
    <t>ノード名</t>
    <rPh sb="3" eb="4">
      <t>メイ</t>
    </rPh>
    <phoneticPr fontId="26"/>
  </si>
  <si>
    <t>E12</t>
    <phoneticPr fontId="26"/>
  </si>
  <si>
    <t>csvデータのコピーエリア</t>
    <phoneticPr fontId="26"/>
  </si>
  <si>
    <t>ユーザフォームからの入力データ</t>
    <rPh sb="10" eb="12">
      <t>ニュウリョク</t>
    </rPh>
    <phoneticPr fontId="26"/>
  </si>
  <si>
    <t>編集可能データ</t>
    <rPh sb="0" eb="2">
      <t>ヘンシュウ</t>
    </rPh>
    <rPh sb="2" eb="4">
      <t>カノウ</t>
    </rPh>
    <phoneticPr fontId="26"/>
  </si>
  <si>
    <t>※マクロの編集は[Alt+F11]</t>
    <rPh sb="5" eb="7">
      <t>ヘンシュウ</t>
    </rPh>
    <phoneticPr fontId="26"/>
  </si>
  <si>
    <t>C03</t>
    <phoneticPr fontId="26"/>
  </si>
  <si>
    <t>C04</t>
    <phoneticPr fontId="26"/>
  </si>
  <si>
    <t>C05</t>
    <phoneticPr fontId="26"/>
  </si>
  <si>
    <t>C17</t>
    <phoneticPr fontId="26"/>
  </si>
  <si>
    <t>C17</t>
    <phoneticPr fontId="26"/>
  </si>
  <si>
    <t>D13</t>
    <phoneticPr fontId="26"/>
  </si>
  <si>
    <t>D14</t>
    <phoneticPr fontId="26"/>
  </si>
  <si>
    <t>Lang</t>
    <phoneticPr fontId="26"/>
  </si>
  <si>
    <t>C01</t>
    <phoneticPr fontId="26"/>
  </si>
  <si>
    <t>Floating-point register fill instruction</t>
    <phoneticPr fontId="26"/>
  </si>
  <si>
    <t>Predicate register fill instruction</t>
    <phoneticPr fontId="26"/>
  </si>
  <si>
    <t>Floating-point register spill instruction</t>
    <phoneticPr fontId="26"/>
  </si>
  <si>
    <t>Predicate register spill instruction</t>
    <phoneticPr fontId="26"/>
  </si>
  <si>
    <t>SIMD連続ロード命令数</t>
    <phoneticPr fontId="26"/>
  </si>
  <si>
    <t>SIMD連続ストラクチャーロード命令数</t>
    <phoneticPr fontId="26"/>
  </si>
  <si>
    <t>浮動小数点レジスターへのFill命令数</t>
    <phoneticPr fontId="26"/>
  </si>
  <si>
    <t>PredicateレジスターへのFill命令数</t>
    <phoneticPr fontId="26"/>
  </si>
  <si>
    <t>First-faultロード命令数</t>
    <phoneticPr fontId="26"/>
  </si>
  <si>
    <t>SIMD連続ストア命令数</t>
    <phoneticPr fontId="26"/>
  </si>
  <si>
    <t>SIMD連続ストラクチャーストア命令数</t>
    <rPh sb="4" eb="6">
      <t>レンゾク</t>
    </rPh>
    <rPh sb="16" eb="19">
      <t>メイレイスウ</t>
    </rPh>
    <phoneticPr fontId="26"/>
  </si>
  <si>
    <t>浮動小数点レジスターからのSpill命令数</t>
    <phoneticPr fontId="26"/>
  </si>
  <si>
    <t>PredicateレジスターからのSpill命令数</t>
    <phoneticPr fontId="26"/>
  </si>
  <si>
    <t>ギャザープリフェッチ命令数</t>
    <rPh sb="10" eb="13">
      <t>メイレイスウ</t>
    </rPh>
    <phoneticPr fontId="26"/>
  </si>
  <si>
    <t>浮動小数点積和演算命令および浮動小数点逆数演算命令を除く浮動小数点演算命令数</t>
    <phoneticPr fontId="26"/>
  </si>
  <si>
    <t>その他の命令数</t>
    <phoneticPr fontId="26"/>
  </si>
  <si>
    <t>全命令数(MOVPRFX命令は含まない)</t>
    <phoneticPr fontId="26"/>
  </si>
  <si>
    <t>ギャザーロード命令を除くSIMDロード命令数</t>
    <rPh sb="7" eb="9">
      <t>メイレイ</t>
    </rPh>
    <rPh sb="10" eb="11">
      <t>ノゾ</t>
    </rPh>
    <rPh sb="19" eb="22">
      <t>メイレイスウ</t>
    </rPh>
    <phoneticPr fontId="26"/>
  </si>
  <si>
    <t>[E29]</t>
    <phoneticPr fontId="26"/>
  </si>
  <si>
    <t>[E01,E02,E04-E07]
(Lv2)</t>
    <phoneticPr fontId="28"/>
  </si>
  <si>
    <t>簡易(Lv2)</t>
    <rPh sb="0" eb="2">
      <t>カンイ</t>
    </rPh>
    <phoneticPr fontId="26"/>
  </si>
  <si>
    <t>SIMD store instruction except scatter store</t>
    <phoneticPr fontId="26"/>
  </si>
  <si>
    <t>[E09,E10,E12,E13]
(Lv2)</t>
    <phoneticPr fontId="28"/>
  </si>
  <si>
    <t>標準(Lv2+)</t>
    <rPh sb="0" eb="2">
      <t>ヒョウジュン</t>
    </rPh>
    <phoneticPr fontId="26"/>
  </si>
  <si>
    <t>[E05,E06]
(Lv2+)</t>
    <phoneticPr fontId="28"/>
  </si>
  <si>
    <t>[E12,E13]
(Lv2+)</t>
    <phoneticPr fontId="28"/>
  </si>
  <si>
    <t>Fill instruction</t>
    <phoneticPr fontId="26"/>
  </si>
  <si>
    <t>Spill instruction</t>
    <phoneticPr fontId="26"/>
  </si>
  <si>
    <t>Spill命令数</t>
    <phoneticPr fontId="26"/>
  </si>
  <si>
    <t>Fill命令数</t>
    <phoneticPr fontId="26"/>
  </si>
  <si>
    <t>ハードウェアプリフェッチによるプリフェッチポートのビジー待ちのために完了命令数が0であった時間</t>
  </si>
  <si>
    <t>ソフトウェアプリフェッチによるプリフェッチポートのビジー待ちのために完了命令数が0であった時間</t>
  </si>
  <si>
    <t>実行中の命令の中で一番古い命令が整数ロードのメモリーアクセスによるデータ待ちのために完了命令数が0であった時間</t>
  </si>
  <si>
    <t>実行中の命令の中で一番古い命令が浮動小数点ロードのメモリーアクセスによるデータ待ちのために完了命令数が0であった時間</t>
  </si>
  <si>
    <t>実行中の命令の中で一番古い命令が整数ロードの2次キャッシュアクセスによるデータ待ちのために完了命令数が0であった時間</t>
  </si>
  <si>
    <t>実行中の命令の中で一番古い命令が整数ロードの1次データキャッシュアクセスによるデータ待ちのために完了命令数が0であった時間</t>
  </si>
  <si>
    <t>実行中の命令の中で一番古い命令が浮動小数点ロードの2次キャッシュアクセスによるデータ待ちのために完了命令数が0であった時間</t>
  </si>
  <si>
    <t>実行中の命令の中で一番古い命令が浮動小数点ロードの1次データキャッシュアクセスによるデータ待ちのために完了命令数が0であった時間</t>
  </si>
  <si>
    <t>実行中の命令の中で一番古い命令が整数演算実行中のために完了命令数が0であった時間</t>
  </si>
  <si>
    <t>実行中の命令の中で一番古い命令が浮動小数点演算実行中のために完了命令数が0であった時間</t>
  </si>
  <si>
    <t>実行中の命令の中で一番古い命令が分岐実行中のために完了命令数が0であった時間</t>
  </si>
  <si>
    <t>その他の要因によって完了命令数が0であった時間</t>
  </si>
  <si>
    <t>ストアポートがフルであるために完了命令数が0であった時間</t>
  </si>
  <si>
    <t>1サイクルに1命令実行した時間</t>
  </si>
  <si>
    <t>1サイクルに2命令実行した時間</t>
  </si>
  <si>
    <t>1サイクルに3命令実行した時間</t>
  </si>
  <si>
    <t>1サイクルに4命令実行した時間</t>
  </si>
  <si>
    <t>1サイクルに5～8命令実行した時間</t>
  </si>
  <si>
    <t>全体の時間</t>
  </si>
  <si>
    <t>プリフェッチポートがビジーであるために完了命令数が0であった時間</t>
    <phoneticPr fontId="26"/>
  </si>
  <si>
    <t>メモリーアクセス待ち、およびキャッシュアクセス待ちのために完了命令数が0であった時間</t>
    <phoneticPr fontId="26"/>
  </si>
  <si>
    <t>実行中の命令の中で一番古い命令が、演算実行中のために完了命令数が0であった時間</t>
    <phoneticPr fontId="26"/>
  </si>
  <si>
    <t>その他の要因によって完了命令数が0であった時間</t>
    <phoneticPr fontId="26"/>
  </si>
  <si>
    <t>ストアポートがフルであるために完了命令数が0であった時間</t>
    <phoneticPr fontId="26"/>
  </si>
  <si>
    <t>1サイクルに1命令実行した時間</t>
    <phoneticPr fontId="26"/>
  </si>
  <si>
    <t>1サイクルに2～8命令実行した時間</t>
    <phoneticPr fontId="26"/>
  </si>
  <si>
    <t>全体の時間</t>
    <phoneticPr fontId="28"/>
  </si>
  <si>
    <t>計測対象区間の命令実行に要した時間(秒)</t>
  </si>
  <si>
    <t>1秒あたりに実行された浮動小数点演算数</t>
  </si>
  <si>
    <t xml:space="preserve">実行された命令の総数 (MOVPRFX命令は含まない) </t>
  </si>
  <si>
    <t>実行された浮動小数点演算の総数</t>
  </si>
  <si>
    <t>1サイクルあたりに実行された命令数</t>
  </si>
  <si>
    <t>1秒あたりに実行された命令数</t>
  </si>
  <si>
    <r>
      <t>[C01]</t>
    </r>
    <r>
      <rPr>
        <sz val="11"/>
        <color theme="1"/>
        <rFont val="Meiryo UI"/>
        <family val="2"/>
        <charset val="128"/>
      </rPr>
      <t/>
    </r>
    <phoneticPr fontId="26"/>
  </si>
  <si>
    <r>
      <t>[C02]</t>
    </r>
    <r>
      <rPr>
        <sz val="11"/>
        <color theme="1"/>
        <rFont val="Meiryo UI"/>
        <family val="2"/>
        <charset val="128"/>
      </rPr>
      <t/>
    </r>
  </si>
  <si>
    <r>
      <t>[C04]</t>
    </r>
    <r>
      <rPr>
        <sz val="11"/>
        <color theme="1"/>
        <rFont val="Meiryo UI"/>
        <family val="2"/>
        <charset val="128"/>
      </rPr>
      <t/>
    </r>
  </si>
  <si>
    <r>
      <t>[C05]</t>
    </r>
    <r>
      <rPr>
        <sz val="11"/>
        <color theme="1"/>
        <rFont val="Meiryo UI"/>
        <family val="2"/>
        <charset val="128"/>
      </rPr>
      <t/>
    </r>
  </si>
  <si>
    <r>
      <t>[C12]</t>
    </r>
    <r>
      <rPr>
        <sz val="11"/>
        <color theme="1"/>
        <rFont val="Meiryo UI"/>
        <family val="2"/>
        <charset val="128"/>
      </rPr>
      <t/>
    </r>
  </si>
  <si>
    <t>実行された命令の総数に対する1次命令キャッシュミスの比</t>
  </si>
  <si>
    <t>ロード・ストア命令数</t>
  </si>
  <si>
    <t>1次データキャッシュミス数</t>
  </si>
  <si>
    <t>ロード・ストア命令数に対する、1次データキャッシュミスの比</t>
  </si>
  <si>
    <t>2次キャッシュミス数</t>
  </si>
  <si>
    <t>ロード・ストア命令数に対する、2次キャッシュミスの比</t>
  </si>
  <si>
    <t>ロード・ストア命令数に対する、L1D TLBミスの比</t>
  </si>
  <si>
    <t>ロード・ストア命令数に対する、L2D TLBミスの比</t>
  </si>
  <si>
    <t>Predicate instruction</t>
    <phoneticPr fontId="26"/>
  </si>
  <si>
    <t>[E29]</t>
    <phoneticPr fontId="26"/>
  </si>
  <si>
    <t>[E22-E23]</t>
    <phoneticPr fontId="28"/>
  </si>
  <si>
    <t>[E19-E21]</t>
    <phoneticPr fontId="28"/>
  </si>
  <si>
    <t>[E18]</t>
    <phoneticPr fontId="28"/>
  </si>
  <si>
    <t>[E15-E17]</t>
    <phoneticPr fontId="28"/>
  </si>
  <si>
    <t>[E01-E14]</t>
    <phoneticPr fontId="28"/>
  </si>
  <si>
    <t>[E09-E14]</t>
    <phoneticPr fontId="28"/>
  </si>
  <si>
    <t>SIMD命令</t>
    <rPh sb="5" eb="6">
      <t>レイ</t>
    </rPh>
    <phoneticPr fontId="26"/>
  </si>
  <si>
    <t>非SIMD命令</t>
    <phoneticPr fontId="26"/>
  </si>
  <si>
    <t>ロード命令</t>
    <rPh sb="3" eb="5">
      <t>メイレイ</t>
    </rPh>
    <phoneticPr fontId="26"/>
  </si>
  <si>
    <t>ストア命令</t>
    <phoneticPr fontId="26"/>
  </si>
  <si>
    <t>ロード・ストア命令</t>
    <phoneticPr fontId="26"/>
  </si>
  <si>
    <t>プリフェッチ命令</t>
    <phoneticPr fontId="26"/>
  </si>
  <si>
    <t>DCZVA命令</t>
    <rPh sb="5" eb="7">
      <t>メイレイ</t>
    </rPh>
    <phoneticPr fontId="28"/>
  </si>
  <si>
    <t>浮動小数点演算命令</t>
    <phoneticPr fontId="26"/>
  </si>
  <si>
    <t>浮動小数点移動変換命令</t>
    <phoneticPr fontId="26"/>
  </si>
  <si>
    <t>整数演算命令</t>
    <phoneticPr fontId="26"/>
  </si>
  <si>
    <t>分岐命令</t>
    <phoneticPr fontId="26"/>
  </si>
  <si>
    <t>Predicate演算命令</t>
    <phoneticPr fontId="26"/>
  </si>
  <si>
    <t>暗号命令</t>
    <phoneticPr fontId="26"/>
  </si>
  <si>
    <t>その他の命令</t>
    <phoneticPr fontId="26"/>
  </si>
  <si>
    <t>全命令数(MOVPRFX命令は含まない)</t>
    <phoneticPr fontId="26"/>
  </si>
  <si>
    <t>Active elementの比率を加味した浮動小数点演算性能</t>
  </si>
  <si>
    <t>レジスター間操作命令数</t>
    <phoneticPr fontId="26"/>
  </si>
  <si>
    <t>ハードウェアプリフェッチのうち、ストリームモードプリフェッチの比率</t>
  </si>
  <si>
    <t>ハードウェアプリフェッチのうち、プリフェッチインジェクションモードがALLOCATEモードであるプリフェッチの比率</t>
  </si>
  <si>
    <t>ハードウェアプリフェッチのうち、プリフェッチインジェクションモードがUNALLOCATEモードであるプリフェッチの比率</t>
  </si>
  <si>
    <t>ハードウェアプリフェッチのうち、その他のプリフェッチの比率</t>
  </si>
  <si>
    <t>コアで消費される電力</t>
  </si>
  <si>
    <t>L2キャッシュで消費される電力</t>
  </si>
  <si>
    <t>メモリーで消費される電力(1CMGに換算した値)</t>
  </si>
  <si>
    <t>Cycle Accounting</t>
    <phoneticPr fontId="26"/>
  </si>
  <si>
    <t>CMG</t>
    <phoneticPr fontId="26"/>
  </si>
  <si>
    <t>Hardware Prefetch</t>
    <phoneticPr fontId="26"/>
  </si>
  <si>
    <t>Command</t>
    <phoneticPr fontId="26"/>
  </si>
  <si>
    <t>Job-ID</t>
    <phoneticPr fontId="26"/>
  </si>
  <si>
    <t>Floating-point  operation peak ratio</t>
    <phoneticPr fontId="26"/>
  </si>
  <si>
    <t>G_C02</t>
    <phoneticPr fontId="26"/>
  </si>
  <si>
    <t>G_C03</t>
  </si>
  <si>
    <t>G_C04</t>
  </si>
  <si>
    <t>G_C05</t>
  </si>
  <si>
    <t>G_B13_v2</t>
  </si>
  <si>
    <t>G_B14_v2</t>
  </si>
  <si>
    <t>G_B10_v2</t>
  </si>
  <si>
    <t>G_B11_v2</t>
  </si>
  <si>
    <t>G_B12_v2</t>
  </si>
  <si>
    <t>Barrier synchronization wait</t>
    <phoneticPr fontId="28"/>
  </si>
  <si>
    <t>(0, 255, 255)</t>
    <phoneticPr fontId="26"/>
  </si>
  <si>
    <t>Correction flag</t>
    <phoneticPr fontId="26"/>
  </si>
  <si>
    <t>◆Common data zone</t>
    <phoneticPr fontId="28"/>
  </si>
  <si>
    <t>SIMD load instruction except gather load</t>
    <phoneticPr fontId="26"/>
  </si>
  <si>
    <t>スキャッターストア命令を除くSIMDストア命令数</t>
    <phoneticPr fontId="26"/>
  </si>
  <si>
    <t>[B02-B08]</t>
    <phoneticPr fontId="26"/>
  </si>
  <si>
    <t>[B09-B10]</t>
    <phoneticPr fontId="26"/>
  </si>
  <si>
    <t>[B11-B12]</t>
    <phoneticPr fontId="26"/>
  </si>
  <si>
    <t>[B13]</t>
    <phoneticPr fontId="26"/>
  </si>
  <si>
    <t>[B14]</t>
    <phoneticPr fontId="26"/>
  </si>
  <si>
    <t>[B15]</t>
    <phoneticPr fontId="26"/>
  </si>
  <si>
    <t>[B16]</t>
    <phoneticPr fontId="26"/>
  </si>
  <si>
    <t>[B17-B20]</t>
    <phoneticPr fontId="26"/>
  </si>
  <si>
    <t>[B21]</t>
    <phoneticPr fontId="26"/>
  </si>
  <si>
    <t>G_D204_v2</t>
    <phoneticPr fontId="26"/>
  </si>
  <si>
    <t>(0, 0, 255)</t>
    <phoneticPr fontId="26"/>
  </si>
  <si>
    <t>(255, 153, 153)</t>
    <phoneticPr fontId="26"/>
  </si>
  <si>
    <t>(255, 204, 255)</t>
    <phoneticPr fontId="26"/>
  </si>
  <si>
    <t>F04</t>
    <phoneticPr fontId="26"/>
  </si>
  <si>
    <t>(255, 0, 255)</t>
    <phoneticPr fontId="26"/>
  </si>
  <si>
    <t>(128, 0, 128)</t>
    <phoneticPr fontId="26"/>
  </si>
  <si>
    <t>(128, 0, 0)</t>
    <phoneticPr fontId="26"/>
  </si>
  <si>
    <t>(0, 0, 128)</t>
    <phoneticPr fontId="26"/>
  </si>
  <si>
    <t>(0, 102, 204)</t>
    <phoneticPr fontId="26"/>
  </si>
  <si>
    <t>(0, 255, 0)</t>
    <phoneticPr fontId="26"/>
  </si>
  <si>
    <t>(0, 0, 255)</t>
    <phoneticPr fontId="26"/>
  </si>
  <si>
    <t>(0, 153, 255)</t>
    <phoneticPr fontId="26"/>
  </si>
  <si>
    <t>(0, 204, 255)</t>
    <phoneticPr fontId="26"/>
  </si>
  <si>
    <t>(0, 102, 0)</t>
    <phoneticPr fontId="26"/>
  </si>
  <si>
    <t>(102, 0, 51)</t>
    <phoneticPr fontId="26"/>
  </si>
  <si>
    <t>(255, 0, 0)</t>
    <phoneticPr fontId="26"/>
  </si>
  <si>
    <t>Integer load L2 cache access wait</t>
    <phoneticPr fontId="28"/>
  </si>
  <si>
    <t>Integer load L1D cache access wait</t>
    <phoneticPr fontId="28"/>
  </si>
  <si>
    <t>Floating-point load L2 cache access wait</t>
    <phoneticPr fontId="28"/>
  </si>
  <si>
    <t>Floating-point load memory access wait</t>
    <phoneticPr fontId="28"/>
  </si>
  <si>
    <t>Prefetch port busy wait by hardware prefetch</t>
    <phoneticPr fontId="28"/>
  </si>
  <si>
    <t>Prefetch port busy wait by software prefetch</t>
    <phoneticPr fontId="28"/>
  </si>
  <si>
    <t>Memory and Cache access wait</t>
    <phoneticPr fontId="28"/>
  </si>
  <si>
    <t>Memory busy rate execution time</t>
    <phoneticPr fontId="26"/>
  </si>
  <si>
    <t>L2 busy rate execution time</t>
    <phoneticPr fontId="26"/>
  </si>
  <si>
    <t>Floating-point busy rate execution time</t>
    <phoneticPr fontId="26"/>
  </si>
  <si>
    <t>Integer busy rate execution time</t>
    <phoneticPr fontId="26"/>
  </si>
  <si>
    <t>L1 busy rate execution time</t>
    <phoneticPr fontId="26"/>
  </si>
  <si>
    <t>Floating-point A pipeline busy rate</t>
    <phoneticPr fontId="26"/>
  </si>
  <si>
    <t>Floating-point B pipeline busy rate</t>
    <phoneticPr fontId="26"/>
  </si>
  <si>
    <t>Fixed-point A pipeline busy rate</t>
    <phoneticPr fontId="26"/>
  </si>
  <si>
    <t>Fixed-point B pipeline busy rate</t>
    <phoneticPr fontId="26"/>
  </si>
  <si>
    <t>Virtual address A pipeline busy rate</t>
    <phoneticPr fontId="26"/>
  </si>
  <si>
    <t>Virtual address B pipeline busy rate</t>
    <phoneticPr fontId="26"/>
  </si>
  <si>
    <t>K Power Consumption</t>
    <phoneticPr fontId="26"/>
  </si>
  <si>
    <t>Measured</t>
    <phoneticPr fontId="26"/>
  </si>
  <si>
    <t>(a) Reference of 集合縦棒グラフ(通称: ヒゲグラフ)</t>
    <rPh sb="17" eb="19">
      <t>シュウゴウ</t>
    </rPh>
    <rPh sb="19" eb="20">
      <t>タテ</t>
    </rPh>
    <rPh sb="20" eb="21">
      <t>ボウ</t>
    </rPh>
    <rPh sb="25" eb="27">
      <t>ツウショウ</t>
    </rPh>
    <phoneticPr fontId="58"/>
  </si>
  <si>
    <t>(a) Reference of 集合縦棒棒グラフ(通称: ヒゲグラフ)の元データ</t>
    <rPh sb="21" eb="22">
      <t>ボウ</t>
    </rPh>
    <rPh sb="26" eb="28">
      <t>ツウショウ</t>
    </rPh>
    <rPh sb="37" eb="38">
      <t>モト</t>
    </rPh>
    <phoneticPr fontId="58"/>
  </si>
  <si>
    <t>(b) Reference data of vertical stacked bar graph</t>
    <phoneticPr fontId="26"/>
  </si>
  <si>
    <t>Reference data of horizontal bar graph</t>
    <phoneticPr fontId="26"/>
  </si>
  <si>
    <t>(a) Reference data of horizontal bar graph</t>
    <phoneticPr fontId="26"/>
  </si>
  <si>
    <t>Event Set 01</t>
    <phoneticPr fontId="26"/>
  </si>
  <si>
    <t>Event Set 02</t>
    <phoneticPr fontId="26"/>
  </si>
  <si>
    <t>Event Set 03</t>
    <phoneticPr fontId="26"/>
  </si>
  <si>
    <t>Event Set 04</t>
    <phoneticPr fontId="26"/>
  </si>
  <si>
    <t>Event Set 05</t>
    <phoneticPr fontId="26"/>
  </si>
  <si>
    <t>Event Set 06</t>
    <phoneticPr fontId="26"/>
  </si>
  <si>
    <t>Event Set 07</t>
    <phoneticPr fontId="26"/>
  </si>
  <si>
    <t>Event Set 08</t>
    <phoneticPr fontId="26"/>
  </si>
  <si>
    <t>Event Set 09</t>
    <phoneticPr fontId="26"/>
  </si>
  <si>
    <t>Event Set 10</t>
    <phoneticPr fontId="26"/>
  </si>
  <si>
    <t>Event Set 11</t>
    <phoneticPr fontId="26"/>
  </si>
  <si>
    <t>Event Set 12</t>
    <phoneticPr fontId="26"/>
  </si>
  <si>
    <t>Event Set 13</t>
    <phoneticPr fontId="26"/>
  </si>
  <si>
    <t>Event Set 14</t>
    <phoneticPr fontId="26"/>
  </si>
  <si>
    <t>Event Set 15</t>
    <phoneticPr fontId="26"/>
  </si>
  <si>
    <t>Event Set 16</t>
    <phoneticPr fontId="26"/>
  </si>
  <si>
    <t>Event Set 17</t>
    <phoneticPr fontId="26"/>
  </si>
  <si>
    <t>Event Set 
name</t>
    <phoneticPr fontId="26"/>
  </si>
  <si>
    <t>Throttling state 1</t>
    <phoneticPr fontId="26"/>
  </si>
  <si>
    <t>Throttling state 2</t>
  </si>
  <si>
    <t>Throttling state 3</t>
  </si>
  <si>
    <t>CPU frequency (GHz)</t>
    <phoneticPr fontId="26"/>
  </si>
  <si>
    <t>CPUクロック周波数 (GHz)</t>
    <phoneticPr fontId="26"/>
  </si>
  <si>
    <t>CPU frequency (Hz)</t>
    <phoneticPr fontId="26"/>
  </si>
  <si>
    <t>Memory throughput peak ratio (%)</t>
    <phoneticPr fontId="26"/>
  </si>
  <si>
    <t>Floating-point operation peak ratio (%)</t>
    <phoneticPr fontId="28"/>
  </si>
  <si>
    <t>SVE operation rate (%)</t>
    <phoneticPr fontId="26"/>
  </si>
  <si>
    <t>Floating-point pipeline Active element rate (%)</t>
    <phoneticPr fontId="26"/>
  </si>
  <si>
    <t>浮動小数点演算におけるActive elementの比率 (%)</t>
    <phoneticPr fontId="26"/>
  </si>
  <si>
    <t>実行された浮動小数点演算の総数に対するSVE演算数の比率 (%)</t>
    <phoneticPr fontId="26"/>
  </si>
  <si>
    <t>実行された命令の総数に対するSIMD命令数の比率 (%)</t>
    <phoneticPr fontId="26"/>
  </si>
  <si>
    <t>メモリースループットの理論値に対する実測値の比率 (%)</t>
    <phoneticPr fontId="26"/>
  </si>
  <si>
    <t xml:space="preserve">メモリースループット (GB/s) </t>
    <phoneticPr fontId="26"/>
  </si>
  <si>
    <t>浮動小数点演算性能の理論値に対する実測値の比率 (%)</t>
    <phoneticPr fontId="26"/>
  </si>
  <si>
    <t>Floating-point operation pipeline A busy rate (%)</t>
    <phoneticPr fontId="26"/>
  </si>
  <si>
    <t>Floating-point operation pipeline B busy rate (%)</t>
    <phoneticPr fontId="26"/>
  </si>
  <si>
    <t>Integer operation pipeline A busy rate (%)</t>
    <phoneticPr fontId="26"/>
  </si>
  <si>
    <t>Integer operation pipeline B busy rate (%)</t>
    <phoneticPr fontId="26"/>
  </si>
  <si>
    <t>L1 busy rate (%)</t>
    <phoneticPr fontId="26"/>
  </si>
  <si>
    <t>L2 busy rate (%)</t>
    <phoneticPr fontId="26"/>
  </si>
  <si>
    <t>Memory busy rate (%)</t>
    <phoneticPr fontId="26"/>
  </si>
  <si>
    <t>Address calculation operation pipeline A busy rate (%)</t>
    <phoneticPr fontId="26"/>
  </si>
  <si>
    <t>Address calculation operation pipeline B busy rate (%)</t>
    <phoneticPr fontId="26"/>
  </si>
  <si>
    <t>Floating-point pipeline A Active element rate (%)</t>
    <phoneticPr fontId="26"/>
  </si>
  <si>
    <t>Floating-point pipeline B Active element rate (%)</t>
    <phoneticPr fontId="26"/>
  </si>
  <si>
    <t>L1 pipeline 0 Active element rate (%)</t>
    <phoneticPr fontId="26"/>
  </si>
  <si>
    <t>L1 pipeline 1 Active element rate (%)</t>
    <phoneticPr fontId="26"/>
  </si>
  <si>
    <t>浮動小数点演算パイプラインAのビジー率 (%)</t>
    <phoneticPr fontId="26"/>
  </si>
  <si>
    <t>浮動小数点演算パイプラインBのビジー率 (%)</t>
    <phoneticPr fontId="26"/>
  </si>
  <si>
    <t>整数演算パイプラインAのビジー率 (%)</t>
    <phoneticPr fontId="26"/>
  </si>
  <si>
    <t>整数演算パイプラインBのビジー率 (%)</t>
    <phoneticPr fontId="26"/>
  </si>
  <si>
    <t>1次キャッシュのビジー率 (%)</t>
    <phoneticPr fontId="26"/>
  </si>
  <si>
    <t>2次キャッシュのビジー率 (%)</t>
    <phoneticPr fontId="26"/>
  </si>
  <si>
    <t>メモリーのビジー率 (%)</t>
    <phoneticPr fontId="26"/>
  </si>
  <si>
    <t>アドレス計算用演算パイプラインAのビジー率 (%)</t>
    <phoneticPr fontId="26"/>
  </si>
  <si>
    <t>アドレス計算用演算パイプラインBのビジー率 (%)</t>
    <phoneticPr fontId="26"/>
  </si>
  <si>
    <t>浮動小数点演算パイプラインAにおけるActive elementの比率 (%)</t>
    <phoneticPr fontId="26"/>
  </si>
  <si>
    <t>浮動小数点演算パイプラインBにおけるActive elementの比率 (%)</t>
    <phoneticPr fontId="26"/>
  </si>
  <si>
    <t>L1パイプライン0におけるActive elementの比率 (%)</t>
    <phoneticPr fontId="26"/>
  </si>
  <si>
    <t>L1パイプライン1におけるActive elementの比率 (%)</t>
    <phoneticPr fontId="26"/>
  </si>
  <si>
    <t>Floating-point operation pipeline A busy rate (%)</t>
    <phoneticPr fontId="26"/>
  </si>
  <si>
    <t>L1I miss rate (%) (/Effective instruction)</t>
    <phoneticPr fontId="26"/>
  </si>
  <si>
    <t>L1D miss rate (%) (/Load-store instruction)</t>
    <phoneticPr fontId="26"/>
  </si>
  <si>
    <t>L1D miss demand rate (%) (/L1D miss)</t>
    <phoneticPr fontId="26"/>
  </si>
  <si>
    <t>L1D miss hardware prefetch rate (%) (/L1D miss)</t>
    <phoneticPr fontId="26"/>
  </si>
  <si>
    <t>L1D miss software prefetch rate (%) (/L1D miss)</t>
    <phoneticPr fontId="26"/>
  </si>
  <si>
    <t>L2 miss rate (%) (/Load-store instruction)</t>
    <phoneticPr fontId="26"/>
  </si>
  <si>
    <t>L2 miss demand rate (%) (/L2 miss)</t>
    <phoneticPr fontId="26"/>
  </si>
  <si>
    <t>L2 miss hardware prefetch rate (%) (/L2 miss)</t>
    <phoneticPr fontId="26"/>
  </si>
  <si>
    <t>L2 miss software prefetch rate (%) (/L2 miss)</t>
    <phoneticPr fontId="26"/>
  </si>
  <si>
    <t>Non-contiguous gather load instruction rate (%) ( /Load-store instruction)</t>
    <phoneticPr fontId="26"/>
  </si>
  <si>
    <t>Non-contiguous scatter store instruction rate (%) ( /Load-store instruction)</t>
    <phoneticPr fontId="26"/>
  </si>
  <si>
    <t>Prefetch rate (%) (/Load-store instruction)</t>
    <phoneticPr fontId="26"/>
  </si>
  <si>
    <t>2次キャッシュミスのうち、ハードウェアプリフェッチによる2次キャッシュミスの比率 (%)</t>
    <phoneticPr fontId="26"/>
  </si>
  <si>
    <t>2次キャッシュミスのうち、ソフトウェアプリフェッチによる2次キャッシュミスの比率 (%)</t>
    <phoneticPr fontId="26"/>
  </si>
  <si>
    <t>2次キャッシュミスのうち、デマンドアクセスによる2次キャッシュミスの比率 (%)</t>
    <phoneticPr fontId="26"/>
  </si>
  <si>
    <t>1次データキャッシュミスのうち、ソフトウェアプリフェッチによる1次データキャッシュミスの比率 (%)</t>
    <phoneticPr fontId="26"/>
  </si>
  <si>
    <t>1次データキャッシュミスのうち、ハードウェアプリフェッチによる1次データキャッシュミスの比率 (%)</t>
    <phoneticPr fontId="26"/>
  </si>
  <si>
    <t>1次データキャッシュミスのうち、デマンドアクセスによる1次データキャッシュミスの比率 (%)</t>
    <phoneticPr fontId="26"/>
  </si>
  <si>
    <t>Gather instruction rate (%)</t>
    <phoneticPr fontId="26"/>
  </si>
  <si>
    <t>Rate (%)</t>
    <phoneticPr fontId="26"/>
  </si>
  <si>
    <t>比率 (%)</t>
    <rPh sb="0" eb="2">
      <t>ヒリツ</t>
    </rPh>
    <phoneticPr fontId="26"/>
  </si>
  <si>
    <t>0 flow rate (%)</t>
    <phoneticPr fontId="26"/>
  </si>
  <si>
    <t>1 flow rate (%)</t>
    <phoneticPr fontId="26"/>
  </si>
  <si>
    <t>2 flows rate (%)</t>
    <phoneticPr fontId="26"/>
  </si>
  <si>
    <t>Micro decomposition instruction rate (%)</t>
    <phoneticPr fontId="26"/>
  </si>
  <si>
    <t>Branch prediction miss rate (%)</t>
    <phoneticPr fontId="26"/>
  </si>
  <si>
    <t>ギャザー命令のうちInactive elementであるために0フロー実行となった命令の比率 (%)</t>
    <phoneticPr fontId="26"/>
  </si>
  <si>
    <t>ギャザー命令のうち1フロー実行となった命令の比率 (%)</t>
    <phoneticPr fontId="26"/>
  </si>
  <si>
    <t>ギャザー命令のうち2フロー実行となった命令の比率 (%)</t>
    <phoneticPr fontId="26"/>
  </si>
  <si>
    <t>分岐予測ミス率 (%)</t>
    <rPh sb="6" eb="7">
      <t>リツ</t>
    </rPh>
    <phoneticPr fontId="26"/>
  </si>
  <si>
    <t>マイクロ命令分解率 (%)</t>
    <rPh sb="8" eb="9">
      <t>リツ</t>
    </rPh>
    <phoneticPr fontId="26"/>
  </si>
  <si>
    <t>Micro decomposition rate (%)</t>
    <phoneticPr fontId="26"/>
  </si>
  <si>
    <t>Gather instruction 2 flows rate (%)</t>
    <phoneticPr fontId="26"/>
  </si>
  <si>
    <t>Gather instruction 1 flow rate (%)</t>
    <phoneticPr fontId="26"/>
  </si>
  <si>
    <t>Gather instruction 0 flow rate (%)</t>
    <phoneticPr fontId="26"/>
  </si>
  <si>
    <t>Gather rate (%)</t>
    <phoneticPr fontId="26"/>
  </si>
  <si>
    <t xml:space="preserve">Hardware Prefetch Rate (%) (/Hardware Prefetch) </t>
    <phoneticPr fontId="26"/>
  </si>
  <si>
    <t>ハードウェアプリフェッチ (%)</t>
    <phoneticPr fontId="28"/>
  </si>
  <si>
    <t>Hardware prefetch (%)</t>
    <phoneticPr fontId="28"/>
  </si>
  <si>
    <t>Mean time (s)</t>
    <phoneticPr fontId="26"/>
  </si>
  <si>
    <t>ベクトル長 (bit)</t>
    <rPh sb="4" eb="5">
      <t>チョウ</t>
    </rPh>
    <phoneticPr fontId="26"/>
  </si>
  <si>
    <t>サイクルアカウンティング (Extra)</t>
    <phoneticPr fontId="28"/>
  </si>
  <si>
    <t>CMG0から対象CMGへのデータ転送のスループット性能 (GB/s)</t>
    <phoneticPr fontId="26"/>
  </si>
  <si>
    <t>CMG1から対象CMGへのデータ転送のスループット性能 (GB/s)</t>
    <phoneticPr fontId="26"/>
  </si>
  <si>
    <t>CMG2から対象CMGへのデータ転送のスループット性能 (GB/s)</t>
    <phoneticPr fontId="26"/>
  </si>
  <si>
    <t>CMG3から対象CMGへのデータ転送のスループット性能 (GB/s)</t>
    <phoneticPr fontId="26"/>
  </si>
  <si>
    <t>メモリーから対象CMGへのデータ転送のスループット性能 (GB/s)</t>
    <phoneticPr fontId="26"/>
  </si>
  <si>
    <t>Tofuから対象CMGへのデータ転送のスループット性能 (GB/s)</t>
    <phoneticPr fontId="26"/>
  </si>
  <si>
    <t>PCIから対象CMGへのデータ転送のスループット性能 (GB/s)</t>
    <phoneticPr fontId="26"/>
  </si>
  <si>
    <t>CMG0 read throughput (GB/s)</t>
    <phoneticPr fontId="26"/>
  </si>
  <si>
    <t>CMG1 read throughput (GB/s)</t>
    <phoneticPr fontId="26"/>
  </si>
  <si>
    <t>CMG2 read throughput (GB/s)</t>
    <phoneticPr fontId="26"/>
  </si>
  <si>
    <t>CMG3 read throughput (GB/s)</t>
    <phoneticPr fontId="26"/>
  </si>
  <si>
    <t>Memory read throughput (GB/s)</t>
    <phoneticPr fontId="26"/>
  </si>
  <si>
    <t>Tofu read throughput (GB/s)</t>
    <phoneticPr fontId="26"/>
  </si>
  <si>
    <t>PCI read throughput (GB/s)</t>
    <phoneticPr fontId="26"/>
  </si>
  <si>
    <t>CMG0 write throughput (GB/s)</t>
    <phoneticPr fontId="26"/>
  </si>
  <si>
    <t>CMG1 write throughput (GB/s)</t>
    <phoneticPr fontId="26"/>
  </si>
  <si>
    <t>CMG2 write throughput (GB/s)</t>
    <phoneticPr fontId="26"/>
  </si>
  <si>
    <t>CMG3 write throughput (GB/s)</t>
    <phoneticPr fontId="26"/>
  </si>
  <si>
    <t>Memory write throughput (GB/s)</t>
    <phoneticPr fontId="26"/>
  </si>
  <si>
    <t>Tofu write throughput (GB/s)</t>
    <phoneticPr fontId="26"/>
  </si>
  <si>
    <t>PCI write throughput (GB/s)</t>
    <phoneticPr fontId="26"/>
  </si>
  <si>
    <t>対象CMGからCMG0へのデータ転送のスループット性能 (GB/s)</t>
    <phoneticPr fontId="26"/>
  </si>
  <si>
    <t>対象CMGからCMG1へのデータ転送のスループット性能 (GB/s)</t>
    <phoneticPr fontId="26"/>
  </si>
  <si>
    <t>対象CMGからCMG2へのデータ転送のスループット性能 (GB/s)</t>
    <phoneticPr fontId="26"/>
  </si>
  <si>
    <t>対象CMGからCMG3へのデータ転送のスループット性能 (GB/s)</t>
    <phoneticPr fontId="26"/>
  </si>
  <si>
    <t>対象CMGからメモリーへのデータ転送のスループット性能 (GB/s)</t>
    <phoneticPr fontId="26"/>
  </si>
  <si>
    <t>対象CMGからTofuへのデータ転送のスループット性能 (GB/s)</t>
    <phoneticPr fontId="26"/>
  </si>
  <si>
    <t>対象CMGからPCIへのデータ転送のスループット性能 (GB/s)</t>
    <phoneticPr fontId="26"/>
  </si>
  <si>
    <t>Base Time (s)</t>
    <phoneticPr fontId="26"/>
  </si>
  <si>
    <t>基準実行時間 (s)</t>
    <rPh sb="0" eb="2">
      <t>キジュン</t>
    </rPh>
    <phoneticPr fontId="26"/>
  </si>
  <si>
    <t>L1D TLB miss rate (%) (/Load-store instruction)</t>
    <phoneticPr fontId="26"/>
  </si>
  <si>
    <t>L2D TLB miss rate (%) (/Load-store instruction)</t>
    <phoneticPr fontId="26"/>
  </si>
  <si>
    <t>Non-contiguous gather load instruction rate (%) (/Load-store instruction)</t>
    <phoneticPr fontId="26"/>
  </si>
  <si>
    <t>Non-contiguous scatter store instruction rate (%) ( /Load-store instruction)</t>
    <phoneticPr fontId="26"/>
  </si>
  <si>
    <t>Prefetch rate (%) (/Load-store instruction)</t>
    <phoneticPr fontId="26"/>
  </si>
  <si>
    <t>(0, 112, 192)</t>
    <phoneticPr fontId="26"/>
  </si>
  <si>
    <t>SIMD instruction rate (%) (/Effective instruction)</t>
    <phoneticPr fontId="28"/>
  </si>
  <si>
    <t>SFI(Store Fetch Interlock) rate (%)(/Cycle Count)</t>
    <phoneticPr fontId="26"/>
  </si>
  <si>
    <t>0x0049</t>
    <phoneticPr fontId="26"/>
  </si>
  <si>
    <t>↑この表は削除しないこと(CycleAccountingのヒゲグラフが参照)</t>
    <rPh sb="3" eb="4">
      <t>ヒョウ</t>
    </rPh>
    <rPh sb="5" eb="7">
      <t>サクジョ</t>
    </rPh>
    <rPh sb="35" eb="37">
      <t>サンショウ</t>
    </rPh>
    <phoneticPr fontId="26"/>
  </si>
  <si>
    <t>↑この表は削除しないこと(Cacheのグラフが参照)</t>
    <rPh sb="3" eb="4">
      <t>ヒョウ</t>
    </rPh>
    <rPh sb="5" eb="7">
      <t>サクジョ</t>
    </rPh>
    <rPh sb="23" eb="25">
      <t>サンショウ</t>
    </rPh>
    <phoneticPr fontId="26"/>
  </si>
  <si>
    <t>data_GuardLimitFlag</t>
    <phoneticPr fontId="26"/>
  </si>
  <si>
    <t xml:space="preserve">    0以外:ガードしない</t>
    <rPh sb="5" eb="7">
      <t>イガイ</t>
    </rPh>
    <phoneticPr fontId="26"/>
  </si>
  <si>
    <t xml:space="preserve">    0       :ガードする</t>
    <phoneticPr fontId="26"/>
  </si>
  <si>
    <t>上限ガード関数: GuardLimitUpper()</t>
    <rPh sb="0" eb="2">
      <t>ジョウゲン</t>
    </rPh>
    <rPh sb="5" eb="7">
      <t>カンスウ</t>
    </rPh>
    <phoneticPr fontId="26"/>
  </si>
  <si>
    <t>下限ガード関数: GuardLimitLower()</t>
    <rPh sb="0" eb="2">
      <t>カゲン</t>
    </rPh>
    <rPh sb="5" eb="7">
      <t>カンスウ</t>
    </rPh>
    <phoneticPr fontId="26"/>
  </si>
  <si>
    <t>上下限ガードフラグ</t>
    <rPh sb="0" eb="3">
      <t>ジョウカゲン</t>
    </rPh>
    <phoneticPr fontId="26"/>
  </si>
  <si>
    <t>L1D miss rate (/Load-store instruction)</t>
    <phoneticPr fontId="26"/>
  </si>
  <si>
    <t>L2 miss rate (/Load-store instruction)</t>
    <phoneticPr fontId="26"/>
  </si>
  <si>
    <t>L1I miss rate (/Effective instruction)</t>
    <phoneticPr fontId="26"/>
  </si>
  <si>
    <t>L1D TLB miss rate (/Load-store instruction)</t>
    <phoneticPr fontId="26"/>
  </si>
  <si>
    <t>L2D TLB miss rate (/Load-store instruction)</t>
    <phoneticPr fontId="26"/>
  </si>
  <si>
    <t>SFI(Store Fetch Interlock) rate</t>
    <phoneticPr fontId="26"/>
  </si>
  <si>
    <t>SFI(Store Fetch Interlock)による待ち時間の比</t>
    <phoneticPr fontId="26"/>
  </si>
  <si>
    <t>Prefetch port busy wait by hardware prefetch</t>
    <phoneticPr fontId="26"/>
  </si>
  <si>
    <t>Prefetch port busy wait by software prefetch</t>
    <phoneticPr fontId="26"/>
  </si>
  <si>
    <t>EFFECTIVE_INST_SPEC</t>
  </si>
  <si>
    <t>0x0121</t>
  </si>
  <si>
    <t>Es14-7</t>
    <phoneticPr fontId="26"/>
  </si>
  <si>
    <t>(153, 102, 255)</t>
    <phoneticPr fontId="26"/>
  </si>
  <si>
    <t>demand rate(L1D,L2 miss)</t>
    <phoneticPr fontId="28"/>
  </si>
  <si>
    <t>software prefetch rate(L1D,L2 miss)</t>
    <phoneticPr fontId="28"/>
  </si>
  <si>
    <t>demand rate(L1D,L2 miss)</t>
    <phoneticPr fontId="28"/>
  </si>
  <si>
    <t>Double precision floating-point operation</t>
  </si>
  <si>
    <t>倍精度浮動小数点演算数</t>
  </si>
  <si>
    <t>Single precision floating-point operation</t>
  </si>
  <si>
    <t>単精度浮動小数点演算数</t>
  </si>
  <si>
    <t>Half precision floating-point operation</t>
  </si>
  <si>
    <t>半精度浮動小数点演算数</t>
  </si>
  <si>
    <t>命令の読み込み待ちのために完了命令数が0であった時間</t>
    <phoneticPr fontId="26"/>
  </si>
  <si>
    <t>命令の読み込み待ちのために完了命令数が0であった時間</t>
    <phoneticPr fontId="26"/>
  </si>
  <si>
    <t>WFE命令もしくはWFI命令により命令制御部が停止しているために完了命令数が0であった時間</t>
    <phoneticPr fontId="26"/>
  </si>
  <si>
    <t>WFE命令もしくはWFI命令により命令制御部が停止しているために完了命令数が0であった時間</t>
    <phoneticPr fontId="26"/>
  </si>
  <si>
    <t>Predicate演算命令数</t>
    <phoneticPr fontId="26"/>
  </si>
  <si>
    <t>MOVPRFX命令数</t>
    <phoneticPr fontId="26"/>
  </si>
  <si>
    <t>Floating-point load L1D cache access wait (*)</t>
    <phoneticPr fontId="28"/>
  </si>
  <si>
    <t>Floating-point load L1D cache access wait (*)</t>
    <phoneticPr fontId="26"/>
  </si>
  <si>
    <t>(*) Include wait time for integer L1D cache access</t>
    <phoneticPr fontId="26"/>
  </si>
  <si>
    <t>Other memory</t>
    <phoneticPr fontId="26"/>
  </si>
  <si>
    <t>Own memory</t>
    <phoneticPr fontId="26"/>
  </si>
  <si>
    <t>L2_MISS_COUNT</t>
    <phoneticPr fontId="26"/>
  </si>
  <si>
    <t>L2D_CACHE_SWAP_LOCAL</t>
    <phoneticPr fontId="26"/>
  </si>
  <si>
    <t>L2_PIPE_COMP_PF_L2MIB_MCH</t>
    <phoneticPr fontId="26"/>
  </si>
  <si>
    <t>0x0309</t>
  </si>
  <si>
    <t>0x0396</t>
  </si>
  <si>
    <t>0x0370</t>
  </si>
  <si>
    <t>0x0391</t>
  </si>
  <si>
    <t>0x03ae</t>
  </si>
  <si>
    <t>L2D_CACHE_REFILL_LOCAL_MEM</t>
  </si>
  <si>
    <t>L2D_CACHE_WB_REMOTE</t>
  </si>
  <si>
    <t>dummyで任意のPMU番号を設定</t>
    <rPh sb="6" eb="8">
      <t>ニンイ</t>
    </rPh>
    <rPh sb="12" eb="14">
      <t>バンゴウ</t>
    </rPh>
    <rPh sb="15" eb="17">
      <t>セッテイ</t>
    </rPh>
    <phoneticPr fontId="26"/>
  </si>
  <si>
    <t>CMG Other memory</t>
    <phoneticPr fontId="26"/>
  </si>
  <si>
    <t>MeanTime</t>
    <phoneticPr fontId="26"/>
  </si>
  <si>
    <t>SIMD instruction ratio
(/Effective instruction)</t>
    <phoneticPr fontId="26"/>
  </si>
  <si>
    <t>----------------------------------------</t>
    <phoneticPr fontId="26"/>
  </si>
  <si>
    <t>hardware prefetch rate(L1D,L2 miss)</t>
    <phoneticPr fontId="28"/>
  </si>
  <si>
    <t>hardware prefetch rate and software prefetch rate(L1D,L2 miss)</t>
    <phoneticPr fontId="26"/>
  </si>
  <si>
    <t>4.2.1</t>
    <phoneticPr fontId="26"/>
  </si>
  <si>
    <t>Creation date: 20200803</t>
    <phoneticPr fontId="26"/>
  </si>
  <si>
    <t>Wed Nov 22 12:09:47 2023</t>
  </si>
  <si>
    <t>h34-5001c</t>
  </si>
  <si>
    <t>pairljcutintel, 0</t>
  </si>
  <si>
    <t>LABEL-FAPP-cpupa</t>
  </si>
  <si>
    <t>Level</t>
  </si>
  <si>
    <t>Spawn</t>
  </si>
  <si>
    <t>Thread</t>
  </si>
  <si>
    <t>Region_name</t>
  </si>
  <si>
    <t>Region_number</t>
  </si>
  <si>
    <t>Call</t>
  </si>
  <si>
    <t>CNTVCT</t>
  </si>
  <si>
    <t>PMCCNTR</t>
  </si>
  <si>
    <t>0x0017</t>
  </si>
  <si>
    <t>0x0018</t>
  </si>
  <si>
    <t>0x0325</t>
  </si>
  <si>
    <t>0x0326</t>
  </si>
  <si>
    <t>FAPP-cpupa</t>
  </si>
  <si>
    <t>pairljcutintel</t>
  </si>
  <si>
    <t>0x0190</t>
  </si>
  <si>
    <t>0x0191</t>
  </si>
  <si>
    <t>0x0184</t>
  </si>
  <si>
    <t>0x0186</t>
  </si>
  <si>
    <t>0x0189</t>
  </si>
  <si>
    <t>0x018c</t>
  </si>
  <si>
    <t>0x018d</t>
  </si>
  <si>
    <t>0x018e</t>
  </si>
  <si>
    <t>0x0240</t>
  </si>
  <si>
    <t>0x0241</t>
  </si>
  <si>
    <t>0x0330</t>
  </si>
  <si>
    <t>0x0274</t>
  </si>
  <si>
    <t>0x01a4</t>
  </si>
  <si>
    <t>0x01b4</t>
  </si>
  <si>
    <t>0x01a5</t>
  </si>
  <si>
    <t>0x01b5</t>
  </si>
  <si>
    <t>0x0003</t>
  </si>
  <si>
    <t>0x0300</t>
  </si>
  <si>
    <t>0x0070</t>
  </si>
  <si>
    <t>0x0071</t>
  </si>
  <si>
    <t>0x0185</t>
  </si>
  <si>
    <t>0x0182</t>
  </si>
  <si>
    <t>0x0183</t>
  </si>
  <si>
    <t>0x0180</t>
  </si>
  <si>
    <t>0x0181</t>
  </si>
  <si>
    <t>0x0187</t>
  </si>
  <si>
    <t>0x0188</t>
  </si>
  <si>
    <t>0x018a</t>
  </si>
  <si>
    <t>0x0192</t>
  </si>
  <si>
    <t>0x0193</t>
  </si>
  <si>
    <t>0x0194</t>
  </si>
  <si>
    <t>0x018b</t>
  </si>
  <si>
    <t>0x01a6</t>
  </si>
  <si>
    <t>0x01e0</t>
  </si>
  <si>
    <t>0x03e0</t>
  </si>
  <si>
    <t>0x03e8</t>
  </si>
  <si>
    <t>0x01a0</t>
  </si>
  <si>
    <t>0x01a1</t>
  </si>
  <si>
    <t>0x01a2</t>
  </si>
  <si>
    <t>0x01a3</t>
  </si>
  <si>
    <t>0x0202</t>
  </si>
  <si>
    <t>0x0302</t>
  </si>
  <si>
    <t>0x0005</t>
  </si>
  <si>
    <t>0x002d</t>
  </si>
  <si>
    <t>0x0001</t>
  </si>
  <si>
    <t>0x80af</t>
  </si>
  <si>
    <t>0x809f</t>
  </si>
  <si>
    <t>0x0012</t>
  </si>
  <si>
    <t>0x80a5</t>
  </si>
  <si>
    <t>0x80a6</t>
  </si>
  <si>
    <t>0x0105</t>
  </si>
  <si>
    <t>0x0113</t>
  </si>
  <si>
    <t>0x0108</t>
  </si>
  <si>
    <t>0x0112</t>
  </si>
  <si>
    <t>0x011a</t>
  </si>
  <si>
    <t>0x0198</t>
  </si>
  <si>
    <t>0x0199</t>
  </si>
  <si>
    <t>0x0139</t>
  </si>
  <si>
    <t>0x0010</t>
  </si>
  <si>
    <t>-</t>
  </si>
  <si>
    <t>0x0109</t>
  </si>
  <si>
    <t>0x010a</t>
  </si>
  <si>
    <t>0x0077</t>
  </si>
  <si>
    <t>0x0230</t>
  </si>
  <si>
    <t>0x0231</t>
  </si>
  <si>
    <t>0x0232</t>
  </si>
  <si>
    <t>0x0233</t>
  </si>
  <si>
    <t>0x0234</t>
  </si>
  <si>
    <t>0x0235</t>
  </si>
  <si>
    <t>0x0236</t>
  </si>
  <si>
    <t>0x02b2</t>
  </si>
  <si>
    <t>0x02b1</t>
  </si>
  <si>
    <t>0x02b0</t>
  </si>
  <si>
    <t>0x02b8</t>
  </si>
  <si>
    <t>0x02b9</t>
  </si>
  <si>
    <t>0x0260</t>
  </si>
  <si>
    <t>0x0261</t>
  </si>
  <si>
    <t>0x0318</t>
  </si>
  <si>
    <t>0x0319</t>
  </si>
  <si>
    <t>0x031a</t>
  </si>
  <si>
    <t>0x031b</t>
  </si>
  <si>
    <t>0x0316</t>
  </si>
  <si>
    <t>0x0314</t>
  </si>
  <si>
    <t>0x0315</t>
  </si>
  <si>
    <t>0x031e</t>
  </si>
  <si>
    <t>0x031c</t>
  </si>
  <si>
    <t>0x031d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</si>
</sst>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quot;¥&quot;#,##0_);[Red]\(&quot;¥&quot;#,##0\)"/>
    <numFmt numFmtId="177" formatCode="0.00_ "/>
    <numFmt numFmtId="178" formatCode="0.00000_ "/>
    <numFmt numFmtId="179" formatCode="0.0%"/>
    <numFmt numFmtId="180" formatCode="0_ "/>
    <numFmt numFmtId="181" formatCode="0.00000_);[Red]\(0.00000\)"/>
    <numFmt numFmtId="182" formatCode="0.00000%"/>
    <numFmt numFmtId="183" formatCode="0.000E+00"/>
    <numFmt numFmtId="184" formatCode="#,##0.000"/>
    <numFmt numFmtId="185" formatCode="0.000_);[Red]\(0.000\)"/>
    <numFmt numFmtId="186" formatCode="0.00.E+00"/>
  </numFmts>
  <fonts count="10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Meiryo UI"/>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1"/>
      <name val="ＭＳ Ｐゴシック"/>
      <family val="3"/>
      <charset val="128"/>
      <scheme val="minor"/>
    </font>
    <font>
      <sz val="6"/>
      <name val="ＭＳ Ｐゴシック"/>
      <family val="2"/>
      <charset val="128"/>
      <scheme val="minor"/>
    </font>
    <font>
      <b/>
      <sz val="11"/>
      <color theme="1"/>
      <name val="Meiryo UI"/>
      <family val="3"/>
      <charset val="128"/>
    </font>
    <font>
      <sz val="11"/>
      <color theme="1"/>
      <name val="Meiryo UI"/>
      <family val="3"/>
      <charset val="128"/>
    </font>
    <font>
      <b/>
      <sz val="10"/>
      <color theme="1"/>
      <name val="Meiryo UI"/>
      <family val="3"/>
      <charset val="128"/>
    </font>
    <font>
      <b/>
      <sz val="9"/>
      <color theme="1"/>
      <name val="Meiryo UI"/>
      <family val="3"/>
      <charset val="128"/>
    </font>
    <font>
      <sz val="10"/>
      <color theme="1"/>
      <name val="Meiryo UI"/>
      <family val="3"/>
      <charset val="128"/>
    </font>
    <font>
      <sz val="9"/>
      <color theme="1"/>
      <name val="Meiryo UI"/>
      <family val="3"/>
      <charset val="128"/>
    </font>
    <font>
      <sz val="6"/>
      <name val="ＭＳ Ｐゴシック"/>
      <family val="3"/>
      <charset val="128"/>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name val="ＭＳ Ｐゴシック"/>
      <family val="3"/>
      <charset val="128"/>
    </font>
    <font>
      <b/>
      <sz val="12"/>
      <color rgb="FFFF0000"/>
      <name val="Meiryo UI"/>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1"/>
      <color theme="1"/>
      <name val="ＭＳ Ｐゴシック"/>
      <family val="2"/>
      <scheme val="minor"/>
    </font>
    <font>
      <b/>
      <sz val="11"/>
      <color rgb="FFFF0000"/>
      <name val="Meiryo UI"/>
      <family val="3"/>
      <charset val="128"/>
    </font>
    <font>
      <b/>
      <sz val="9"/>
      <color theme="0"/>
      <name val="Meiryo UI"/>
      <family val="3"/>
      <charset val="128"/>
    </font>
    <font>
      <b/>
      <sz val="9"/>
      <name val="Meiryo UI"/>
      <family val="3"/>
      <charset val="128"/>
    </font>
    <font>
      <b/>
      <sz val="11"/>
      <name val="Meiryo UI"/>
      <family val="3"/>
      <charset val="128"/>
    </font>
    <font>
      <b/>
      <u/>
      <sz val="11"/>
      <name val="Meiryo UI"/>
      <family val="3"/>
      <charset val="128"/>
    </font>
    <font>
      <b/>
      <u/>
      <sz val="11"/>
      <color theme="0"/>
      <name val="Meiryo UI"/>
      <family val="3"/>
      <charset val="128"/>
    </font>
    <font>
      <b/>
      <sz val="16"/>
      <color theme="0"/>
      <name val="Meiryo UI"/>
      <family val="3"/>
      <charset val="128"/>
    </font>
    <font>
      <b/>
      <sz val="11"/>
      <color theme="0"/>
      <name val="Meiryo UI"/>
      <family val="3"/>
      <charset val="128"/>
    </font>
    <font>
      <sz val="11"/>
      <name val="Meiryo UI"/>
      <family val="3"/>
      <charset val="128"/>
    </font>
    <font>
      <u/>
      <sz val="11"/>
      <color theme="10"/>
      <name val="ＭＳ Ｐゴシック"/>
      <family val="2"/>
      <scheme val="minor"/>
    </font>
    <font>
      <u/>
      <sz val="11"/>
      <color theme="10"/>
      <name val="ＭＳ Ｐゴシック"/>
      <family val="2"/>
      <charset val="128"/>
      <scheme val="minor"/>
    </font>
    <font>
      <b/>
      <sz val="10"/>
      <color theme="0"/>
      <name val="Meiryo UI"/>
      <family val="3"/>
      <charset val="128"/>
    </font>
    <font>
      <b/>
      <sz val="9"/>
      <color rgb="FF808080"/>
      <name val="Meiryo UI"/>
      <family val="3"/>
      <charset val="128"/>
    </font>
    <font>
      <b/>
      <sz val="9"/>
      <color rgb="FF000000"/>
      <name val="Meiryo UI"/>
      <family val="3"/>
      <charset val="128"/>
    </font>
    <font>
      <sz val="11"/>
      <color rgb="FF000000"/>
      <name val="Meiryo UI"/>
      <family val="3"/>
      <charset val="128"/>
    </font>
    <font>
      <sz val="18"/>
      <color theme="1"/>
      <name val="Meiryo UI"/>
      <family val="3"/>
      <charset val="128"/>
    </font>
    <font>
      <b/>
      <sz val="12"/>
      <name val="Meiryo UI"/>
      <family val="3"/>
      <charset val="128"/>
    </font>
    <font>
      <b/>
      <sz val="18"/>
      <color theme="1"/>
      <name val="Meiryo UI"/>
      <family val="3"/>
      <charset val="128"/>
    </font>
    <font>
      <strike/>
      <sz val="11"/>
      <color theme="1"/>
      <name val="Meiryo UI"/>
      <family val="3"/>
      <charset val="128"/>
    </font>
    <font>
      <sz val="11"/>
      <color theme="0"/>
      <name val="Meiryo UI"/>
      <family val="3"/>
      <charset val="128"/>
    </font>
    <font>
      <sz val="10"/>
      <color theme="0"/>
      <name val="Meiryo UI"/>
      <family val="3"/>
      <charset val="128"/>
    </font>
    <font>
      <sz val="12"/>
      <color rgb="FFFF0000"/>
      <name val="Meiryo UI"/>
      <family val="3"/>
      <charset val="128"/>
    </font>
    <font>
      <b/>
      <sz val="10"/>
      <color rgb="FF808080"/>
      <name val="Meiryo UI"/>
      <family val="3"/>
      <charset val="128"/>
    </font>
    <font>
      <sz val="11"/>
      <color rgb="FFFF0000"/>
      <name val="Meiryo UI"/>
      <family val="3"/>
      <charset val="128"/>
    </font>
    <font>
      <sz val="12"/>
      <name val="Meiryo UI"/>
      <family val="3"/>
      <charset val="128"/>
    </font>
    <font>
      <b/>
      <sz val="20"/>
      <color theme="1"/>
      <name val="Meiryo UI"/>
      <family val="3"/>
      <charset val="128"/>
    </font>
    <font>
      <b/>
      <sz val="10"/>
      <name val="Meiryo UI"/>
      <family val="3"/>
      <charset val="128"/>
    </font>
    <font>
      <sz val="10"/>
      <name val="Meiryo UI"/>
      <family val="3"/>
      <charset val="128"/>
    </font>
  </fonts>
  <fills count="95">
    <fill>
      <patternFill patternType="none"/>
    </fill>
    <fill>
      <patternFill patternType="gray125"/>
    </fill>
    <fill>
      <patternFill patternType="solid">
        <fgColor rgb="FFFFCC00"/>
        <bgColor indexed="64"/>
      </patternFill>
    </fill>
    <fill>
      <patternFill patternType="solid">
        <fgColor rgb="FFFF9999"/>
        <bgColor indexed="64"/>
      </patternFill>
    </fill>
    <fill>
      <patternFill patternType="solid">
        <fgColor rgb="FFFF0000"/>
        <bgColor indexed="64"/>
      </patternFill>
    </fill>
    <fill>
      <patternFill patternType="solid">
        <fgColor rgb="FF0070C0"/>
        <bgColor indexed="64"/>
      </patternFill>
    </fill>
    <fill>
      <patternFill patternType="solid">
        <fgColor rgb="FF66CCFF"/>
        <bgColor indexed="64"/>
      </patternFill>
    </fill>
    <fill>
      <patternFill patternType="solid">
        <fgColor rgb="FFFF8080"/>
        <bgColor indexed="64"/>
      </patternFill>
    </fill>
    <fill>
      <patternFill patternType="solid">
        <fgColor rgb="FFCCCCFF"/>
        <bgColor indexed="64"/>
      </patternFill>
    </fill>
    <fill>
      <patternFill patternType="solid">
        <fgColor rgb="FFCC99FF"/>
        <bgColor indexed="64"/>
      </patternFill>
    </fill>
    <fill>
      <patternFill patternType="solid">
        <fgColor rgb="FFFF00FF"/>
        <bgColor indexed="64"/>
      </patternFill>
    </fill>
    <fill>
      <patternFill patternType="solid">
        <fgColor rgb="FFFF9900"/>
        <bgColor indexed="64"/>
      </patternFill>
    </fill>
    <fill>
      <patternFill patternType="solid">
        <fgColor rgb="FF00CCFF"/>
        <bgColor indexed="64"/>
      </patternFill>
    </fill>
    <fill>
      <patternFill patternType="solid">
        <fgColor rgb="FFFF99FF"/>
        <bgColor indexed="64"/>
      </patternFill>
    </fill>
    <fill>
      <patternFill patternType="solid">
        <fgColor rgb="FF006600"/>
        <bgColor indexed="64"/>
      </patternFill>
    </fill>
    <fill>
      <patternFill patternType="solid">
        <fgColor rgb="FF800000"/>
        <bgColor indexed="64"/>
      </patternFill>
    </fill>
    <fill>
      <patternFill patternType="solid">
        <fgColor rgb="FF00FF00"/>
        <bgColor indexed="64"/>
      </patternFill>
    </fill>
    <fill>
      <patternFill patternType="solid">
        <fgColor rgb="FFCCFF99"/>
        <bgColor indexed="64"/>
      </patternFill>
    </fill>
    <fill>
      <patternFill patternType="solid">
        <fgColor rgb="FFFFCCCC"/>
        <bgColor indexed="64"/>
      </patternFill>
    </fill>
    <fill>
      <patternFill patternType="solid">
        <fgColor rgb="FF0066CC"/>
        <bgColor indexed="64"/>
      </patternFill>
    </fill>
    <fill>
      <patternFill patternType="solid">
        <fgColor rgb="FF000080"/>
        <bgColor indexed="64"/>
      </patternFill>
    </fill>
    <fill>
      <patternFill patternType="solid">
        <fgColor rgb="FF800080"/>
        <bgColor indexed="64"/>
      </patternFill>
    </fill>
    <fill>
      <patternFill patternType="solid">
        <fgColor rgb="FF0000FF"/>
        <bgColor indexed="64"/>
      </patternFill>
    </fill>
    <fill>
      <patternFill patternType="solid">
        <fgColor rgb="FF0099FF"/>
        <bgColor indexed="64"/>
      </patternFill>
    </fill>
    <fill>
      <patternFill patternType="solid">
        <fgColor rgb="FF99CCFF"/>
        <bgColor indexed="64"/>
      </patternFill>
    </fill>
    <fill>
      <patternFill patternType="solid">
        <fgColor rgb="FF33CCFF"/>
        <bgColor indexed="64"/>
      </patternFill>
    </fill>
    <fill>
      <patternFill patternType="solid">
        <fgColor rgb="FF660033"/>
        <bgColor indexed="64"/>
      </patternFill>
    </fill>
    <fill>
      <patternFill patternType="solid">
        <fgColor rgb="FF9966FF"/>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rgb="FFFF66FF"/>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2"/>
      </patternFill>
    </fill>
    <fill>
      <patternFill patternType="solid">
        <fgColor indexed="26"/>
      </patternFill>
    </fill>
    <fill>
      <patternFill patternType="solid">
        <fgColor theme="3"/>
        <bgColor indexed="64"/>
      </patternFill>
    </fill>
    <fill>
      <patternFill patternType="solid">
        <fgColor rgb="FFCCFFFF"/>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rgb="FFFFFFFF"/>
        <bgColor indexed="64"/>
      </patternFill>
    </fill>
    <fill>
      <patternFill patternType="solid">
        <fgColor theme="8" tint="0.79998168889431442"/>
        <bgColor indexed="64"/>
      </patternFill>
    </fill>
    <fill>
      <patternFill patternType="solid">
        <fgColor rgb="FF00FFFF"/>
        <bgColor indexed="64"/>
      </patternFill>
    </fill>
    <fill>
      <patternFill patternType="solid">
        <fgColor rgb="FFFFCCFF"/>
        <bgColor indexed="64"/>
      </patternFill>
    </fill>
  </fills>
  <borders count="285">
    <border>
      <left/>
      <right/>
      <top/>
      <bottom/>
      <diagonal/>
    </border>
    <border>
      <left/>
      <right/>
      <top style="medium">
        <color rgb="FF0000FF"/>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thin">
        <color rgb="FF000000"/>
      </left>
      <right style="thin">
        <color rgb="FF000000"/>
      </right>
      <top style="medium">
        <color rgb="FF000000"/>
      </top>
      <bottom/>
      <diagonal/>
    </border>
    <border>
      <left style="thin">
        <color rgb="FF000000"/>
      </left>
      <right/>
      <top style="medium">
        <color rgb="FF000000"/>
      </top>
      <bottom/>
      <diagonal/>
    </border>
    <border>
      <left/>
      <right style="thin">
        <color rgb="FF000000"/>
      </right>
      <top style="medium">
        <color rgb="FF000000"/>
      </top>
      <bottom/>
      <diagonal/>
    </border>
    <border>
      <left/>
      <right style="medium">
        <color rgb="FF000000"/>
      </right>
      <top/>
      <bottom/>
      <diagonal/>
    </border>
    <border>
      <left style="medium">
        <color rgb="FF000000"/>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right/>
      <top/>
      <bottom style="thin">
        <color auto="1"/>
      </bottom>
      <diagonal/>
    </border>
    <border>
      <left/>
      <right style="thin">
        <color rgb="FF000000"/>
      </right>
      <top style="thin">
        <color rgb="FF000000"/>
      </top>
      <bottom style="thin">
        <color rgb="FF000000"/>
      </bottom>
      <diagonal/>
    </border>
    <border>
      <left style="thin">
        <color auto="1"/>
      </left>
      <right style="medium">
        <color auto="1"/>
      </right>
      <top style="medium">
        <color auto="1"/>
      </top>
      <bottom style="thin">
        <color auto="1"/>
      </bottom>
      <diagonal/>
    </border>
    <border>
      <left style="thin">
        <color rgb="FF000000"/>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medium">
        <color rgb="FF000000"/>
      </top>
      <bottom/>
      <diagonal/>
    </border>
    <border>
      <left style="medium">
        <color rgb="FF000000"/>
      </left>
      <right style="thin">
        <color rgb="FF000000"/>
      </right>
      <top/>
      <bottom/>
      <diagonal/>
    </border>
    <border>
      <left style="thin">
        <color rgb="FF000000"/>
      </left>
      <right style="thin">
        <color rgb="FF000000"/>
      </right>
      <top/>
      <bottom/>
      <diagonal/>
    </border>
    <border>
      <left style="thin">
        <color rgb="FF000000"/>
      </left>
      <right style="medium">
        <color rgb="FF000000"/>
      </right>
      <top/>
      <bottom/>
      <diagonal/>
    </border>
    <border>
      <left style="thin">
        <color rgb="FF000000"/>
      </left>
      <right style="medium">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medium">
        <color indexed="64"/>
      </left>
      <right/>
      <top style="medium">
        <color indexed="64"/>
      </top>
      <bottom/>
      <diagonal/>
    </border>
    <border>
      <left style="thin">
        <color indexed="64"/>
      </left>
      <right style="medium">
        <color indexed="64"/>
      </right>
      <top style="medium">
        <color indexed="64"/>
      </top>
      <bottom/>
      <diagonal/>
    </border>
    <border>
      <left style="medium">
        <color auto="1"/>
      </left>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auto="1"/>
      </bottom>
      <diagonal/>
    </border>
    <border>
      <left/>
      <right/>
      <top style="thin">
        <color rgb="FF000000"/>
      </top>
      <bottom style="thin">
        <color rgb="FF000000"/>
      </bottom>
      <diagonal/>
    </border>
    <border>
      <left style="thin">
        <color indexed="64"/>
      </left>
      <right style="thin">
        <color indexed="64"/>
      </right>
      <top style="medium">
        <color indexed="64"/>
      </top>
      <bottom style="thin">
        <color indexed="64"/>
      </bottom>
      <diagonal/>
    </border>
    <border>
      <left style="thin">
        <color rgb="FF000000"/>
      </left>
      <right style="thin">
        <color rgb="FF000000"/>
      </right>
      <top style="thin">
        <color rgb="FF000000"/>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medium">
        <color auto="1"/>
      </right>
      <top style="thin">
        <color auto="1"/>
      </top>
      <bottom style="medium">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auto="1"/>
      </right>
      <top style="medium">
        <color indexed="64"/>
      </top>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medium">
        <color rgb="FF000000"/>
      </right>
      <top style="medium">
        <color indexed="64"/>
      </top>
      <bottom/>
      <diagonal/>
    </border>
    <border>
      <left style="thin">
        <color indexed="64"/>
      </left>
      <right style="thin">
        <color indexed="64"/>
      </right>
      <top style="medium">
        <color indexed="64"/>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indexed="64"/>
      </left>
      <right style="thin">
        <color rgb="FF000000"/>
      </right>
      <top style="thin">
        <color indexed="64"/>
      </top>
      <bottom style="thin">
        <color indexed="64"/>
      </bottom>
      <diagonal/>
    </border>
    <border>
      <left/>
      <right style="thin">
        <color rgb="FF000000"/>
      </right>
      <top style="thin">
        <color indexed="64"/>
      </top>
      <bottom style="thin">
        <color indexed="64"/>
      </bottom>
      <diagonal/>
    </border>
    <border>
      <left/>
      <right style="thin">
        <color indexed="64"/>
      </right>
      <top/>
      <bottom style="thin">
        <color auto="1"/>
      </bottom>
      <diagonal/>
    </border>
    <border>
      <left style="thin">
        <color indexed="64"/>
      </left>
      <right style="thin">
        <color indexed="64"/>
      </right>
      <top style="thin">
        <color indexed="64"/>
      </top>
      <bottom/>
      <diagonal/>
    </border>
    <border>
      <left style="thin">
        <color auto="1"/>
      </left>
      <right/>
      <top/>
      <bottom style="thin">
        <color auto="1"/>
      </bottom>
      <diagonal/>
    </border>
    <border>
      <left style="thin">
        <color rgb="FF000000"/>
      </left>
      <right/>
      <top/>
      <bottom style="thin">
        <color indexed="64"/>
      </bottom>
      <diagonal/>
    </border>
    <border>
      <left/>
      <right/>
      <top/>
      <bottom style="thin">
        <color rgb="FF000000"/>
      </bottom>
      <diagonal/>
    </border>
    <border>
      <left style="thin">
        <color rgb="FF000000"/>
      </left>
      <right style="thin">
        <color indexed="64"/>
      </right>
      <top style="thin">
        <color indexed="64"/>
      </top>
      <bottom style="thin">
        <color indexed="64"/>
      </bottom>
      <diagonal/>
    </border>
    <border>
      <left style="thin">
        <color indexed="64"/>
      </left>
      <right/>
      <top/>
      <bottom/>
      <diagonal/>
    </border>
    <border>
      <left style="thin">
        <color rgb="FF000000"/>
      </left>
      <right/>
      <top/>
      <bottom style="thin">
        <color rgb="FF000000"/>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thin">
        <color rgb="FF000000"/>
      </left>
      <right/>
      <top style="thin">
        <color rgb="FF000000"/>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rgb="FF000000"/>
      </left>
      <right style="thin">
        <color rgb="FF000000"/>
      </right>
      <top style="medium">
        <color rgb="FF000000"/>
      </top>
      <bottom style="medium">
        <color rgb="FF000000"/>
      </bottom>
      <diagonal/>
    </border>
    <border>
      <left style="medium">
        <color indexed="64"/>
      </left>
      <right style="thin">
        <color indexed="64"/>
      </right>
      <top style="thin">
        <color indexed="64"/>
      </top>
      <bottom/>
      <diagonal/>
    </border>
    <border>
      <left style="thin">
        <color indexed="64"/>
      </left>
      <right style="thin">
        <color indexed="64"/>
      </right>
      <top style="thin">
        <color rgb="FF000000"/>
      </top>
      <bottom style="medium">
        <color rgb="FF000000"/>
      </bottom>
      <diagonal/>
    </border>
    <border>
      <left style="medium">
        <color rgb="FF000000"/>
      </left>
      <right/>
      <top style="thin">
        <color rgb="FF000000"/>
      </top>
      <bottom style="thin">
        <color rgb="FF000000"/>
      </bottom>
      <diagonal/>
    </border>
    <border>
      <left style="thin">
        <color indexed="64"/>
      </left>
      <right style="thin">
        <color rgb="FF000000"/>
      </right>
      <top/>
      <bottom style="thin">
        <color rgb="FF000000"/>
      </bottom>
      <diagonal/>
    </border>
    <border>
      <left style="thin">
        <color rgb="FF000000"/>
      </left>
      <right style="thin">
        <color rgb="FF000000"/>
      </right>
      <top style="thin">
        <color indexed="64"/>
      </top>
      <bottom/>
      <diagonal/>
    </border>
    <border>
      <left style="thin">
        <color rgb="FF000000"/>
      </left>
      <right style="thin">
        <color indexed="64"/>
      </right>
      <top style="thin">
        <color indexed="64"/>
      </top>
      <bottom/>
      <diagonal/>
    </border>
    <border>
      <left style="thin">
        <color indexed="64"/>
      </left>
      <right style="thin">
        <color rgb="FF000000"/>
      </right>
      <top style="thin">
        <color rgb="FF000000"/>
      </top>
      <bottom/>
      <diagonal/>
    </border>
    <border>
      <left style="medium">
        <color rgb="FF000000"/>
      </left>
      <right style="thin">
        <color indexed="64"/>
      </right>
      <top/>
      <bottom style="medium">
        <color rgb="FF000000"/>
      </bottom>
      <diagonal/>
    </border>
    <border>
      <left style="thin">
        <color indexed="64"/>
      </left>
      <right style="thin">
        <color indexed="64"/>
      </right>
      <top/>
      <bottom style="medium">
        <color rgb="FF000000"/>
      </bottom>
      <diagonal/>
    </border>
    <border>
      <left style="thin">
        <color indexed="64"/>
      </left>
      <right/>
      <top style="thin">
        <color rgb="FF000000"/>
      </top>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thin">
        <color rgb="FF000000"/>
      </left>
      <right style="medium">
        <color indexed="64"/>
      </right>
      <top style="thin">
        <color rgb="FF000000"/>
      </top>
      <bottom style="thin">
        <color rgb="FF000000"/>
      </bottom>
      <diagonal/>
    </border>
    <border>
      <left/>
      <right style="thin">
        <color rgb="FF000000"/>
      </right>
      <top style="thin">
        <color rgb="FF000000"/>
      </top>
      <bottom style="medium">
        <color indexed="64"/>
      </bottom>
      <diagonal/>
    </border>
    <border>
      <left style="medium">
        <color indexed="64"/>
      </left>
      <right style="thin">
        <color indexed="64"/>
      </right>
      <top style="medium">
        <color indexed="64"/>
      </top>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right/>
      <top style="thin">
        <color rgb="FF000000"/>
      </top>
      <bottom style="medium">
        <color indexed="64"/>
      </bottom>
      <diagonal/>
    </border>
    <border>
      <left style="medium">
        <color auto="1"/>
      </left>
      <right style="thin">
        <color rgb="FF000000"/>
      </right>
      <top style="medium">
        <color rgb="FF000000"/>
      </top>
      <bottom style="thin">
        <color auto="1"/>
      </bottom>
      <diagonal/>
    </border>
    <border>
      <left style="medium">
        <color auto="1"/>
      </left>
      <right style="thin">
        <color rgb="FF000000"/>
      </right>
      <top style="thin">
        <color auto="1"/>
      </top>
      <bottom style="thin">
        <color auto="1"/>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medium">
        <color indexed="64"/>
      </top>
      <bottom/>
      <diagonal/>
    </border>
    <border>
      <left style="thin">
        <color rgb="FF000000"/>
      </left>
      <right style="medium">
        <color indexed="64"/>
      </right>
      <top/>
      <bottom/>
      <diagonal/>
    </border>
    <border>
      <left style="thin">
        <color rgb="FF000000"/>
      </left>
      <right style="medium">
        <color indexed="64"/>
      </right>
      <top/>
      <bottom style="medium">
        <color rgb="FF000000"/>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auto="1"/>
      </right>
      <top style="thin">
        <color auto="1"/>
      </top>
      <bottom/>
      <diagonal/>
    </border>
    <border>
      <left/>
      <right style="thin">
        <color rgb="FF000000"/>
      </right>
      <top style="thin">
        <color indexed="64"/>
      </top>
      <bottom/>
      <diagonal/>
    </border>
    <border>
      <left style="thin">
        <color rgb="FF000000"/>
      </left>
      <right/>
      <top style="thin">
        <color indexed="64"/>
      </top>
      <bottom/>
      <diagonal/>
    </border>
    <border>
      <left style="thin">
        <color auto="1"/>
      </left>
      <right style="thin">
        <color rgb="FF000000"/>
      </right>
      <top/>
      <bottom style="thin">
        <color auto="1"/>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rgb="FF000000"/>
      </top>
      <bottom/>
      <diagonal/>
    </border>
    <border>
      <left style="thin">
        <color rgb="FF000000"/>
      </left>
      <right style="thin">
        <color rgb="FF000000"/>
      </right>
      <top style="medium">
        <color indexed="64"/>
      </top>
      <bottom/>
      <diagonal/>
    </border>
    <border>
      <left style="thin">
        <color indexed="64"/>
      </left>
      <right style="thin">
        <color indexed="64"/>
      </right>
      <top style="medium">
        <color indexed="64"/>
      </top>
      <bottom style="thin">
        <color rgb="FF000000"/>
      </bottom>
      <diagonal/>
    </border>
    <border>
      <left style="thin">
        <color indexed="64"/>
      </left>
      <right style="medium">
        <color indexed="64"/>
      </right>
      <top style="medium">
        <color indexed="64"/>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medium">
        <color indexed="64"/>
      </right>
      <top style="thin">
        <color rgb="FF000000"/>
      </top>
      <bottom style="thin">
        <color rgb="FF000000"/>
      </bottom>
      <diagonal/>
    </border>
    <border>
      <left style="thin">
        <color indexed="64"/>
      </left>
      <right style="thin">
        <color indexed="64"/>
      </right>
      <top/>
      <bottom style="medium">
        <color indexed="64"/>
      </bottom>
      <diagonal/>
    </border>
    <border>
      <left/>
      <right/>
      <top style="thin">
        <color auto="1"/>
      </top>
      <bottom style="thin">
        <color auto="1"/>
      </bottom>
      <diagonal/>
    </border>
    <border>
      <left style="thin">
        <color rgb="FF000000"/>
      </left>
      <right style="thin">
        <color indexed="64"/>
      </right>
      <top style="medium">
        <color indexed="64"/>
      </top>
      <bottom/>
      <diagonal/>
    </border>
    <border>
      <left style="thin">
        <color rgb="FF000000"/>
      </left>
      <right style="thin">
        <color indexed="64"/>
      </right>
      <top/>
      <bottom/>
      <diagonal/>
    </border>
    <border>
      <left style="thin">
        <color rgb="FF000000"/>
      </left>
      <right style="thin">
        <color indexed="64"/>
      </right>
      <top/>
      <bottom style="thin">
        <color rgb="FF000000"/>
      </bottom>
      <diagonal/>
    </border>
    <border>
      <left style="thin">
        <color rgb="FF000000"/>
      </left>
      <right style="thin">
        <color rgb="FF000000"/>
      </right>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style="thin">
        <color rgb="FF000000"/>
      </right>
      <top style="thin">
        <color rgb="FF000000"/>
      </top>
      <bottom/>
      <diagonal/>
    </border>
    <border>
      <left style="thin">
        <color rgb="FF000000"/>
      </left>
      <right style="medium">
        <color indexed="64"/>
      </right>
      <top style="thin">
        <color rgb="FF000000"/>
      </top>
      <bottom/>
      <diagonal/>
    </border>
    <border>
      <left style="medium">
        <color indexed="64"/>
      </left>
      <right style="thin">
        <color rgb="FF000000"/>
      </right>
      <top/>
      <bottom/>
      <diagonal/>
    </border>
    <border>
      <left style="medium">
        <color indexed="64"/>
      </left>
      <right/>
      <top style="thin">
        <color rgb="FF000000"/>
      </top>
      <bottom style="medium">
        <color indexed="64"/>
      </bottom>
      <diagonal/>
    </border>
    <border>
      <left/>
      <right/>
      <top style="thin">
        <color auto="1"/>
      </top>
      <bottom style="medium">
        <color auto="1"/>
      </bottom>
      <diagonal/>
    </border>
    <border>
      <left/>
      <right style="medium">
        <color indexed="64"/>
      </right>
      <top style="thin">
        <color auto="1"/>
      </top>
      <bottom style="medium">
        <color auto="1"/>
      </bottom>
      <diagonal/>
    </border>
    <border>
      <left style="thin">
        <color indexed="64"/>
      </left>
      <right style="medium">
        <color indexed="64"/>
      </right>
      <top/>
      <bottom style="medium">
        <color rgb="FF000000"/>
      </bottom>
      <diagonal/>
    </border>
    <border>
      <left style="thin">
        <color rgb="FF000000"/>
      </left>
      <right style="thin">
        <color indexed="64"/>
      </right>
      <top style="thin">
        <color auto="1"/>
      </top>
      <bottom style="thin">
        <color auto="1"/>
      </bottom>
      <diagonal/>
    </border>
    <border>
      <left style="thin">
        <color rgb="FF000000"/>
      </left>
      <right style="thin">
        <color rgb="FF000000"/>
      </right>
      <top style="thin">
        <color auto="1"/>
      </top>
      <bottom style="thin">
        <color auto="1"/>
      </bottom>
      <diagonal/>
    </border>
    <border>
      <left style="thin">
        <color rgb="FF000000"/>
      </left>
      <right style="thin">
        <color rgb="FF000000"/>
      </right>
      <top/>
      <bottom style="thin">
        <color auto="1"/>
      </bottom>
      <diagonal/>
    </border>
    <border>
      <left style="thin">
        <color rgb="FF000000"/>
      </left>
      <right style="thin">
        <color auto="1"/>
      </right>
      <top style="thin">
        <color rgb="FF000000"/>
      </top>
      <bottom/>
      <diagonal/>
    </border>
    <border>
      <left style="thin">
        <color indexed="64"/>
      </left>
      <right style="medium">
        <color indexed="64"/>
      </right>
      <top style="thin">
        <color rgb="FF000000"/>
      </top>
      <bottom/>
      <diagonal/>
    </border>
    <border>
      <left style="medium">
        <color indexed="64"/>
      </left>
      <right style="thin">
        <color indexed="64"/>
      </right>
      <top style="medium">
        <color rgb="FF000000"/>
      </top>
      <bottom style="thin">
        <color indexed="64"/>
      </bottom>
      <diagonal/>
    </border>
    <border>
      <left style="thin">
        <color indexed="64"/>
      </left>
      <right style="thin">
        <color indexed="64"/>
      </right>
      <top style="medium">
        <color rgb="FF000000"/>
      </top>
      <bottom style="thin">
        <color indexed="64"/>
      </bottom>
      <diagonal/>
    </border>
    <border>
      <left/>
      <right style="medium">
        <color indexed="64"/>
      </right>
      <top style="thin">
        <color rgb="FF000000"/>
      </top>
      <bottom style="medium">
        <color indexed="64"/>
      </bottom>
      <diagonal/>
    </border>
    <border>
      <left/>
      <right/>
      <top style="thin">
        <color auto="1"/>
      </top>
      <bottom/>
      <diagonal/>
    </border>
    <border>
      <left style="thin">
        <color indexed="64"/>
      </left>
      <right style="thin">
        <color indexed="64"/>
      </right>
      <top/>
      <bottom style="thin">
        <color rgb="FF000000"/>
      </bottom>
      <diagonal/>
    </border>
    <border>
      <left style="thin">
        <color rgb="FF000000"/>
      </left>
      <right/>
      <top style="thin">
        <color indexed="64"/>
      </top>
      <bottom style="thin">
        <color rgb="FF000000"/>
      </bottom>
      <diagonal/>
    </border>
    <border>
      <left style="thin">
        <color auto="1"/>
      </left>
      <right style="thin">
        <color rgb="FF000000"/>
      </right>
      <top/>
      <bottom/>
      <diagonal/>
    </border>
    <border>
      <left style="thin">
        <color rgb="FF000000"/>
      </left>
      <right style="thin">
        <color rgb="FF000000"/>
      </right>
      <top style="thin">
        <color auto="1"/>
      </top>
      <bottom/>
      <diagonal/>
    </border>
    <border>
      <left style="thin">
        <color rgb="FF000000"/>
      </left>
      <right style="thin">
        <color indexed="64"/>
      </right>
      <top style="thin">
        <color indexed="64"/>
      </top>
      <bottom/>
      <diagonal/>
    </border>
    <border>
      <left style="medium">
        <color auto="1"/>
      </left>
      <right style="thin">
        <color auto="1"/>
      </right>
      <top style="medium">
        <color rgb="FF000000"/>
      </top>
      <bottom style="thin">
        <color rgb="FF000000"/>
      </bottom>
      <diagonal/>
    </border>
    <border>
      <left style="thin">
        <color auto="1"/>
      </left>
      <right style="thin">
        <color auto="1"/>
      </right>
      <top style="medium">
        <color rgb="FF000000"/>
      </top>
      <bottom style="thin">
        <color rgb="FF000000"/>
      </bottom>
      <diagonal/>
    </border>
    <border>
      <left style="thin">
        <color auto="1"/>
      </left>
      <right style="medium">
        <color indexed="64"/>
      </right>
      <top style="medium">
        <color rgb="FF000000"/>
      </top>
      <bottom style="thin">
        <color rgb="FF000000"/>
      </bottom>
      <diagonal/>
    </border>
    <border>
      <left style="medium">
        <color auto="1"/>
      </left>
      <right style="thin">
        <color auto="1"/>
      </right>
      <top style="thin">
        <color rgb="FF000000"/>
      </top>
      <bottom style="thin">
        <color rgb="FF000000"/>
      </bottom>
      <diagonal/>
    </border>
    <border>
      <left style="medium">
        <color auto="1"/>
      </left>
      <right style="thin">
        <color auto="1"/>
      </right>
      <top style="thin">
        <color rgb="FF000000"/>
      </top>
      <bottom/>
      <diagonal/>
    </border>
    <border>
      <left/>
      <right style="thin">
        <color rgb="FF000000"/>
      </right>
      <top style="thin">
        <color rgb="FF000000"/>
      </top>
      <bottom style="medium">
        <color rgb="FF000000"/>
      </bottom>
      <diagonal/>
    </border>
    <border>
      <left style="medium">
        <color indexed="64"/>
      </left>
      <right style="thin">
        <color indexed="64"/>
      </right>
      <top style="thin">
        <color indexed="64"/>
      </top>
      <bottom/>
      <diagonal/>
    </border>
    <border>
      <left style="thin">
        <color rgb="FF000000"/>
      </left>
      <right style="medium">
        <color indexed="64"/>
      </right>
      <top style="medium">
        <color rgb="FF000000"/>
      </top>
      <bottom style="thin">
        <color rgb="FF000000"/>
      </bottom>
      <diagonal/>
    </border>
    <border>
      <left style="thin">
        <color indexed="64"/>
      </left>
      <right style="thin">
        <color rgb="FF000000"/>
      </right>
      <top style="thin">
        <color indexed="64"/>
      </top>
      <bottom style="thin">
        <color indexed="64"/>
      </bottom>
      <diagonal/>
    </border>
    <border>
      <left style="thin">
        <color indexed="64"/>
      </left>
      <right style="thin">
        <color rgb="FF000000"/>
      </right>
      <top style="medium">
        <color indexed="64"/>
      </top>
      <bottom/>
      <diagonal/>
    </border>
    <border>
      <left style="thin">
        <color indexed="64"/>
      </left>
      <right style="thin">
        <color rgb="FF000000"/>
      </right>
      <top/>
      <bottom style="medium">
        <color rgb="FF000000"/>
      </bottom>
      <diagonal/>
    </border>
    <border>
      <left style="thin">
        <color indexed="64"/>
      </left>
      <right style="medium">
        <color indexed="64"/>
      </right>
      <top/>
      <bottom style="medium">
        <color indexed="64"/>
      </bottom>
      <diagonal/>
    </border>
    <border>
      <left/>
      <right style="thin">
        <color rgb="FF000000"/>
      </right>
      <top style="medium">
        <color indexed="64"/>
      </top>
      <bottom style="thin">
        <color rgb="FF000000"/>
      </bottom>
      <diagonal/>
    </border>
    <border>
      <left style="thin">
        <color rgb="FF000000"/>
      </left>
      <right style="medium">
        <color indexed="64"/>
      </right>
      <top/>
      <bottom style="medium">
        <color indexed="64"/>
      </bottom>
      <diagonal/>
    </border>
    <border>
      <left style="medium">
        <color rgb="FF000000"/>
      </left>
      <right style="thin">
        <color indexed="64"/>
      </right>
      <top style="medium">
        <color indexed="64"/>
      </top>
      <bottom/>
      <diagonal/>
    </border>
    <border>
      <left style="medium">
        <color rgb="FF000000"/>
      </left>
      <right style="thin">
        <color indexed="64"/>
      </right>
      <top/>
      <bottom/>
      <diagonal/>
    </border>
    <border>
      <left style="medium">
        <color auto="1"/>
      </left>
      <right style="thin">
        <color rgb="FF000000"/>
      </right>
      <top style="medium">
        <color indexed="64"/>
      </top>
      <bottom/>
      <diagonal/>
    </border>
    <border>
      <left style="thin">
        <color rgb="FF000000"/>
      </left>
      <right style="thin">
        <color indexed="64"/>
      </right>
      <top/>
      <bottom style="medium">
        <color rgb="FF000000"/>
      </bottom>
      <diagonal/>
    </border>
    <border>
      <left style="medium">
        <color auto="1"/>
      </left>
      <right style="thin">
        <color rgb="FF000000"/>
      </right>
      <top/>
      <bottom style="medium">
        <color indexed="64"/>
      </bottom>
      <diagonal/>
    </border>
    <border>
      <left/>
      <right style="thin">
        <color rgb="FF000000"/>
      </right>
      <top/>
      <bottom/>
      <diagonal/>
    </border>
    <border>
      <left/>
      <right style="thin">
        <color rgb="FF000000"/>
      </right>
      <top/>
      <bottom style="medium">
        <color indexed="64"/>
      </bottom>
      <diagonal/>
    </border>
    <border>
      <left style="medium">
        <color indexed="64"/>
      </left>
      <right style="thin">
        <color indexed="64"/>
      </right>
      <top/>
      <bottom style="medium">
        <color indexed="64"/>
      </bottom>
      <diagonal/>
    </border>
    <border>
      <left style="thin">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top/>
      <bottom style="thin">
        <color indexed="64"/>
      </bottom>
      <diagonal/>
    </border>
    <border>
      <left/>
      <right style="medium">
        <color rgb="FF000000"/>
      </right>
      <top/>
      <bottom style="thin">
        <color indexed="64"/>
      </bottom>
      <diagonal/>
    </border>
    <border>
      <left/>
      <right style="medium">
        <color indexed="64"/>
      </right>
      <top/>
      <bottom style="thin">
        <color indexed="64"/>
      </bottom>
      <diagonal/>
    </border>
    <border>
      <left style="thin">
        <color auto="1"/>
      </left>
      <right style="medium">
        <color auto="1"/>
      </right>
      <top style="medium">
        <color rgb="FF000000"/>
      </top>
      <bottom style="thin">
        <color auto="1"/>
      </bottom>
      <diagonal/>
    </border>
    <border>
      <left style="thin">
        <color rgb="FF000000"/>
      </left>
      <right style="medium">
        <color rgb="FF000000"/>
      </right>
      <top style="thin">
        <color rgb="FF000000"/>
      </top>
      <bottom style="medium">
        <color indexed="64"/>
      </bottom>
      <diagonal/>
    </border>
    <border>
      <left style="thin">
        <color indexed="64"/>
      </left>
      <right style="double">
        <color indexed="64"/>
      </right>
      <top style="medium">
        <color indexed="64"/>
      </top>
      <bottom style="thin">
        <color indexed="64"/>
      </bottom>
      <diagonal/>
    </border>
    <border>
      <left style="double">
        <color indexed="64"/>
      </left>
      <right/>
      <top style="medium">
        <color auto="1"/>
      </top>
      <bottom style="thin">
        <color auto="1"/>
      </bottom>
      <diagonal/>
    </border>
    <border>
      <left style="thin">
        <color indexed="64"/>
      </left>
      <right style="double">
        <color indexed="64"/>
      </right>
      <top style="thin">
        <color indexed="64"/>
      </top>
      <bottom style="medium">
        <color indexed="64"/>
      </bottom>
      <diagonal/>
    </border>
    <border>
      <left style="double">
        <color indexed="64"/>
      </left>
      <right/>
      <top style="thin">
        <color auto="1"/>
      </top>
      <bottom style="medium">
        <color indexed="64"/>
      </bottom>
      <diagonal/>
    </border>
    <border>
      <left style="thin">
        <color rgb="FF000000"/>
      </left>
      <right style="medium">
        <color indexed="64"/>
      </right>
      <top style="thin">
        <color rgb="FF000000"/>
      </top>
      <bottom style="medium">
        <color indexed="64"/>
      </bottom>
      <diagonal/>
    </border>
    <border>
      <left/>
      <right style="medium">
        <color indexed="64"/>
      </right>
      <top style="medium">
        <color rgb="FF000000"/>
      </top>
      <bottom/>
      <diagonal/>
    </border>
    <border>
      <left/>
      <right style="medium">
        <color indexed="64"/>
      </right>
      <top/>
      <bottom style="medium">
        <color rgb="FF000000"/>
      </bottom>
      <diagonal/>
    </border>
    <border>
      <left style="medium">
        <color indexed="64"/>
      </left>
      <right style="thin">
        <color indexed="64"/>
      </right>
      <top/>
      <bottom style="medium">
        <color rgb="FF000000"/>
      </bottom>
      <diagonal/>
    </border>
    <border>
      <left style="medium">
        <color indexed="64"/>
      </left>
      <right style="thin">
        <color indexed="64"/>
      </right>
      <top style="thin">
        <color rgb="FF000000"/>
      </top>
      <bottom style="medium">
        <color indexed="64"/>
      </bottom>
      <diagonal/>
    </border>
    <border>
      <left style="thin">
        <color indexed="64"/>
      </left>
      <right style="thin">
        <color indexed="64"/>
      </right>
      <top style="thin">
        <color rgb="FF000000"/>
      </top>
      <bottom style="medium">
        <color indexed="64"/>
      </bottom>
      <diagonal/>
    </border>
    <border>
      <left style="thin">
        <color indexed="64"/>
      </left>
      <right style="thin">
        <color rgb="FF000000"/>
      </right>
      <top style="thin">
        <color rgb="FF000000"/>
      </top>
      <bottom style="medium">
        <color indexed="64"/>
      </bottom>
      <diagonal/>
    </border>
    <border>
      <left style="medium">
        <color auto="1"/>
      </left>
      <right style="double">
        <color auto="1"/>
      </right>
      <top style="medium">
        <color auto="1"/>
      </top>
      <bottom style="thin">
        <color auto="1"/>
      </bottom>
      <diagonal/>
    </border>
    <border>
      <left style="double">
        <color auto="1"/>
      </left>
      <right style="double">
        <color auto="1"/>
      </right>
      <top style="medium">
        <color auto="1"/>
      </top>
      <bottom style="thin">
        <color auto="1"/>
      </bottom>
      <diagonal/>
    </border>
    <border>
      <left style="double">
        <color auto="1"/>
      </left>
      <right style="medium">
        <color indexed="64"/>
      </right>
      <top style="medium">
        <color auto="1"/>
      </top>
      <bottom style="thin">
        <color auto="1"/>
      </bottom>
      <diagonal/>
    </border>
    <border>
      <left style="medium">
        <color auto="1"/>
      </left>
      <right style="double">
        <color auto="1"/>
      </right>
      <top style="thin">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medium">
        <color indexed="64"/>
      </right>
      <top style="thin">
        <color auto="1"/>
      </top>
      <bottom style="thin">
        <color auto="1"/>
      </bottom>
      <diagonal/>
    </border>
    <border>
      <left style="medium">
        <color auto="1"/>
      </left>
      <right style="double">
        <color auto="1"/>
      </right>
      <top style="thin">
        <color auto="1"/>
      </top>
      <bottom style="medium">
        <color auto="1"/>
      </bottom>
      <diagonal/>
    </border>
    <border>
      <left style="double">
        <color auto="1"/>
      </left>
      <right style="double">
        <color auto="1"/>
      </right>
      <top style="thin">
        <color auto="1"/>
      </top>
      <bottom style="medium">
        <color auto="1"/>
      </bottom>
      <diagonal/>
    </border>
    <border>
      <left style="double">
        <color auto="1"/>
      </left>
      <right style="medium">
        <color indexed="64"/>
      </right>
      <top style="thin">
        <color auto="1"/>
      </top>
      <bottom style="medium">
        <color auto="1"/>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
      <left/>
      <right style="thin">
        <color rgb="FF000000"/>
      </right>
      <top style="double">
        <color indexed="64"/>
      </top>
      <bottom style="medium">
        <color indexed="64"/>
      </bottom>
      <diagonal/>
    </border>
    <border>
      <left style="thin">
        <color rgb="FF000000"/>
      </left>
      <right style="thin">
        <color rgb="FF000000"/>
      </right>
      <top style="double">
        <color indexed="64"/>
      </top>
      <bottom style="medium">
        <color indexed="64"/>
      </bottom>
      <diagonal/>
    </border>
    <border>
      <left style="thin">
        <color rgb="FF000000"/>
      </left>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right/>
      <top style="double">
        <color indexed="64"/>
      </top>
      <bottom style="medium">
        <color indexed="64"/>
      </bottom>
      <diagonal/>
    </border>
    <border>
      <left style="thin">
        <color rgb="FF000000"/>
      </left>
      <right style="medium">
        <color indexed="64"/>
      </right>
      <top style="double">
        <color indexed="64"/>
      </top>
      <bottom style="medium">
        <color indexed="64"/>
      </bottom>
      <diagonal/>
    </border>
    <border>
      <left style="medium">
        <color indexed="64"/>
      </left>
      <right style="thin">
        <color indexed="64"/>
      </right>
      <top style="double">
        <color indexed="64"/>
      </top>
      <bottom style="medium">
        <color indexed="64"/>
      </bottom>
      <diagonal/>
    </border>
    <border>
      <left style="medium">
        <color indexed="64"/>
      </left>
      <right/>
      <top style="double">
        <color indexed="64"/>
      </top>
      <bottom/>
      <diagonal/>
    </border>
    <border>
      <left/>
      <right style="medium">
        <color auto="1"/>
      </right>
      <top style="double">
        <color indexed="64"/>
      </top>
      <bottom/>
      <diagonal/>
    </border>
    <border>
      <left style="medium">
        <color auto="1"/>
      </left>
      <right style="thin">
        <color auto="1"/>
      </right>
      <top style="double">
        <color indexed="64"/>
      </top>
      <bottom style="thin">
        <color rgb="FF000000"/>
      </bottom>
      <diagonal/>
    </border>
    <border>
      <left style="thin">
        <color indexed="64"/>
      </left>
      <right style="thin">
        <color indexed="64"/>
      </right>
      <top style="double">
        <color indexed="64"/>
      </top>
      <bottom style="thin">
        <color rgb="FF000000"/>
      </bottom>
      <diagonal/>
    </border>
    <border>
      <left style="thin">
        <color indexed="64"/>
      </left>
      <right style="medium">
        <color indexed="64"/>
      </right>
      <top style="double">
        <color indexed="64"/>
      </top>
      <bottom style="thin">
        <color rgb="FF000000"/>
      </bottom>
      <diagonal/>
    </border>
    <border>
      <left style="thin">
        <color rgb="FF000000"/>
      </left>
      <right style="thin">
        <color rgb="FF000000"/>
      </right>
      <top style="double">
        <color indexed="64"/>
      </top>
      <bottom style="thin">
        <color rgb="FF000000"/>
      </bottom>
      <diagonal/>
    </border>
    <border>
      <left style="thin">
        <color rgb="FF000000"/>
      </left>
      <right style="medium">
        <color indexed="64"/>
      </right>
      <top style="double">
        <color indexed="64"/>
      </top>
      <bottom style="thin">
        <color rgb="FF000000"/>
      </bottom>
      <diagonal/>
    </border>
    <border>
      <left style="thin">
        <color indexed="64"/>
      </left>
      <right style="thin">
        <color rgb="FF000000"/>
      </right>
      <top style="double">
        <color indexed="64"/>
      </top>
      <bottom style="thin">
        <color rgb="FF000000"/>
      </bottom>
      <diagonal/>
    </border>
    <border>
      <left style="medium">
        <color auto="1"/>
      </left>
      <right style="thin">
        <color rgb="FF000000"/>
      </right>
      <top style="thin">
        <color auto="1"/>
      </top>
      <bottom/>
      <diagonal/>
    </border>
    <border>
      <left/>
      <right style="medium">
        <color rgb="FF000000"/>
      </right>
      <top style="double">
        <color indexed="64"/>
      </top>
      <bottom style="medium">
        <color indexed="64"/>
      </bottom>
      <diagonal/>
    </border>
    <border>
      <left style="medium">
        <color rgb="FF000000"/>
      </left>
      <right style="thin">
        <color rgb="FF000000"/>
      </right>
      <top style="double">
        <color indexed="64"/>
      </top>
      <bottom style="medium">
        <color indexed="64"/>
      </bottom>
      <diagonal/>
    </border>
    <border>
      <left style="thin">
        <color rgb="FF000000"/>
      </left>
      <right style="thin">
        <color rgb="FF000000"/>
      </right>
      <top style="thin">
        <color rgb="FF000000"/>
      </top>
      <bottom style="double">
        <color rgb="FF000000"/>
      </bottom>
      <diagonal/>
    </border>
    <border>
      <left style="thin">
        <color indexed="64"/>
      </left>
      <right style="thin">
        <color indexed="64"/>
      </right>
      <top style="thin">
        <color indexed="64"/>
      </top>
      <bottom style="double">
        <color rgb="FF000000"/>
      </bottom>
      <diagonal/>
    </border>
    <border>
      <left style="thin">
        <color indexed="64"/>
      </left>
      <right style="thin">
        <color rgb="FF000000"/>
      </right>
      <top style="thin">
        <color indexed="64"/>
      </top>
      <bottom style="double">
        <color rgb="FF000000"/>
      </bottom>
      <diagonal/>
    </border>
    <border>
      <left style="thin">
        <color rgb="FF000000"/>
      </left>
      <right style="thin">
        <color rgb="FF000000"/>
      </right>
      <top style="double">
        <color rgb="FF000000"/>
      </top>
      <bottom style="medium">
        <color rgb="FF000000"/>
      </bottom>
      <diagonal/>
    </border>
    <border>
      <left style="medium">
        <color rgb="FF000000"/>
      </left>
      <right style="thin">
        <color rgb="FF000000"/>
      </right>
      <top style="thin">
        <color rgb="FF000000"/>
      </top>
      <bottom style="thin">
        <color rgb="FF000000"/>
      </bottom>
      <diagonal/>
    </border>
    <border>
      <left style="medium">
        <color auto="1"/>
      </left>
      <right style="thin">
        <color rgb="FF000000"/>
      </right>
      <top/>
      <bottom style="thin">
        <color rgb="FF000000"/>
      </bottom>
      <diagonal/>
    </border>
    <border>
      <left style="medium">
        <color rgb="FF000000"/>
      </left>
      <right style="thin">
        <color rgb="FF000000"/>
      </right>
      <top style="medium">
        <color rgb="FF000000"/>
      </top>
      <bottom/>
      <diagonal/>
    </border>
    <border>
      <left style="medium">
        <color indexed="64"/>
      </left>
      <right style="thin">
        <color indexed="64"/>
      </right>
      <top style="thin">
        <color indexed="64"/>
      </top>
      <bottom style="medium">
        <color rgb="FF000000"/>
      </bottom>
      <diagonal/>
    </border>
    <border>
      <left style="thin">
        <color indexed="64"/>
      </left>
      <right style="thin">
        <color indexed="64"/>
      </right>
      <top style="thin">
        <color indexed="64"/>
      </top>
      <bottom style="medium">
        <color rgb="FF000000"/>
      </bottom>
      <diagonal/>
    </border>
    <border>
      <left style="thin">
        <color indexed="64"/>
      </left>
      <right style="medium">
        <color indexed="64"/>
      </right>
      <top style="thin">
        <color indexed="64"/>
      </top>
      <bottom style="medium">
        <color rgb="FF000000"/>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1269">
    <xf numFmtId="0" fontId="0" fillId="0" borderId="0"/>
    <xf numFmtId="0" fontId="25" fillId="0" borderId="0">
      <alignment vertical="center"/>
    </xf>
    <xf numFmtId="0" fontId="36" fillId="0" borderId="0" applyNumberFormat="0" applyFill="0" applyBorder="0" applyAlignment="0" applyProtection="0">
      <alignment vertical="center"/>
    </xf>
    <xf numFmtId="0" fontId="37" fillId="0" borderId="45" applyNumberFormat="0" applyFill="0" applyAlignment="0" applyProtection="0">
      <alignment vertical="center"/>
    </xf>
    <xf numFmtId="0" fontId="38" fillId="0" borderId="46" applyNumberFormat="0" applyFill="0" applyAlignment="0" applyProtection="0">
      <alignment vertical="center"/>
    </xf>
    <xf numFmtId="0" fontId="39" fillId="0" borderId="47" applyNumberFormat="0" applyFill="0" applyAlignment="0" applyProtection="0">
      <alignment vertical="center"/>
    </xf>
    <xf numFmtId="0" fontId="39" fillId="0" borderId="0" applyNumberFormat="0" applyFill="0" applyBorder="0" applyAlignment="0" applyProtection="0">
      <alignment vertical="center"/>
    </xf>
    <xf numFmtId="0" fontId="40" fillId="29" borderId="0" applyNumberFormat="0" applyBorder="0" applyAlignment="0" applyProtection="0">
      <alignment vertical="center"/>
    </xf>
    <xf numFmtId="0" fontId="41" fillId="30" borderId="0" applyNumberFormat="0" applyBorder="0" applyAlignment="0" applyProtection="0">
      <alignment vertical="center"/>
    </xf>
    <xf numFmtId="0" fontId="42" fillId="31" borderId="0" applyNumberFormat="0" applyBorder="0" applyAlignment="0" applyProtection="0">
      <alignment vertical="center"/>
    </xf>
    <xf numFmtId="0" fontId="43" fillId="32" borderId="48" applyNumberFormat="0" applyAlignment="0" applyProtection="0">
      <alignment vertical="center"/>
    </xf>
    <xf numFmtId="0" fontId="44" fillId="33" borderId="49" applyNumberFormat="0" applyAlignment="0" applyProtection="0">
      <alignment vertical="center"/>
    </xf>
    <xf numFmtId="0" fontId="45" fillId="33" borderId="48" applyNumberFormat="0" applyAlignment="0" applyProtection="0">
      <alignment vertical="center"/>
    </xf>
    <xf numFmtId="0" fontId="46" fillId="0" borderId="50" applyNumberFormat="0" applyFill="0" applyAlignment="0" applyProtection="0">
      <alignment vertical="center"/>
    </xf>
    <xf numFmtId="0" fontId="47" fillId="34" borderId="51" applyNumberFormat="0" applyAlignment="0" applyProtection="0">
      <alignment vertical="center"/>
    </xf>
    <xf numFmtId="0" fontId="48"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50" fillId="0" borderId="53" applyNumberFormat="0" applyFill="0" applyAlignment="0" applyProtection="0">
      <alignment vertical="center"/>
    </xf>
    <xf numFmtId="0" fontId="51" fillId="36" borderId="0" applyNumberFormat="0" applyBorder="0" applyAlignment="0" applyProtection="0">
      <alignment vertical="center"/>
    </xf>
    <xf numFmtId="0" fontId="24" fillId="37" borderId="0" applyNumberFormat="0" applyBorder="0" applyAlignment="0" applyProtection="0">
      <alignment vertical="center"/>
    </xf>
    <xf numFmtId="0" fontId="24" fillId="38" borderId="0" applyNumberFormat="0" applyBorder="0" applyAlignment="0" applyProtection="0">
      <alignment vertical="center"/>
    </xf>
    <xf numFmtId="0" fontId="51" fillId="39" borderId="0" applyNumberFormat="0" applyBorder="0" applyAlignment="0" applyProtection="0">
      <alignment vertical="center"/>
    </xf>
    <xf numFmtId="0" fontId="51" fillId="40" borderId="0" applyNumberFormat="0" applyBorder="0" applyAlignment="0" applyProtection="0">
      <alignment vertical="center"/>
    </xf>
    <xf numFmtId="0" fontId="24" fillId="41" borderId="0" applyNumberFormat="0" applyBorder="0" applyAlignment="0" applyProtection="0">
      <alignment vertical="center"/>
    </xf>
    <xf numFmtId="0" fontId="24" fillId="42" borderId="0" applyNumberFormat="0" applyBorder="0" applyAlignment="0" applyProtection="0">
      <alignment vertical="center"/>
    </xf>
    <xf numFmtId="0" fontId="51" fillId="43" borderId="0" applyNumberFormat="0" applyBorder="0" applyAlignment="0" applyProtection="0">
      <alignment vertical="center"/>
    </xf>
    <xf numFmtId="0" fontId="51" fillId="44" borderId="0" applyNumberFormat="0" applyBorder="0" applyAlignment="0" applyProtection="0">
      <alignment vertical="center"/>
    </xf>
    <xf numFmtId="0" fontId="24" fillId="45" borderId="0" applyNumberFormat="0" applyBorder="0" applyAlignment="0" applyProtection="0">
      <alignment vertical="center"/>
    </xf>
    <xf numFmtId="0" fontId="24" fillId="46" borderId="0" applyNumberFormat="0" applyBorder="0" applyAlignment="0" applyProtection="0">
      <alignment vertical="center"/>
    </xf>
    <xf numFmtId="0" fontId="51" fillId="47" borderId="0" applyNumberFormat="0" applyBorder="0" applyAlignment="0" applyProtection="0">
      <alignment vertical="center"/>
    </xf>
    <xf numFmtId="0" fontId="51" fillId="48" borderId="0" applyNumberFormat="0" applyBorder="0" applyAlignment="0" applyProtection="0">
      <alignment vertical="center"/>
    </xf>
    <xf numFmtId="0" fontId="24" fillId="49" borderId="0" applyNumberFormat="0" applyBorder="0" applyAlignment="0" applyProtection="0">
      <alignment vertical="center"/>
    </xf>
    <xf numFmtId="0" fontId="24" fillId="50" borderId="0" applyNumberFormat="0" applyBorder="0" applyAlignment="0" applyProtection="0">
      <alignment vertical="center"/>
    </xf>
    <xf numFmtId="0" fontId="51" fillId="51" borderId="0" applyNumberFormat="0" applyBorder="0" applyAlignment="0" applyProtection="0">
      <alignment vertical="center"/>
    </xf>
    <xf numFmtId="0" fontId="51" fillId="52" borderId="0" applyNumberFormat="0" applyBorder="0" applyAlignment="0" applyProtection="0">
      <alignment vertical="center"/>
    </xf>
    <xf numFmtId="0" fontId="24" fillId="53" borderId="0" applyNumberFormat="0" applyBorder="0" applyAlignment="0" applyProtection="0">
      <alignment vertical="center"/>
    </xf>
    <xf numFmtId="0" fontId="24" fillId="54" borderId="0" applyNumberFormat="0" applyBorder="0" applyAlignment="0" applyProtection="0">
      <alignment vertical="center"/>
    </xf>
    <xf numFmtId="0" fontId="51" fillId="55" borderId="0" applyNumberFormat="0" applyBorder="0" applyAlignment="0" applyProtection="0">
      <alignment vertical="center"/>
    </xf>
    <xf numFmtId="0" fontId="51" fillId="56" borderId="0" applyNumberFormat="0" applyBorder="0" applyAlignment="0" applyProtection="0">
      <alignment vertical="center"/>
    </xf>
    <xf numFmtId="0" fontId="24" fillId="57" borderId="0" applyNumberFormat="0" applyBorder="0" applyAlignment="0" applyProtection="0">
      <alignment vertical="center"/>
    </xf>
    <xf numFmtId="0" fontId="24" fillId="58" borderId="0" applyNumberFormat="0" applyBorder="0" applyAlignment="0" applyProtection="0">
      <alignment vertical="center"/>
    </xf>
    <xf numFmtId="0" fontId="51" fillId="59" borderId="0" applyNumberFormat="0" applyBorder="0" applyAlignment="0" applyProtection="0">
      <alignment vertical="center"/>
    </xf>
    <xf numFmtId="0" fontId="24" fillId="0" borderId="0">
      <alignment vertical="center"/>
    </xf>
    <xf numFmtId="0" fontId="24" fillId="35" borderId="52" applyNumberFormat="0" applyFont="0" applyAlignment="0" applyProtection="0">
      <alignment vertical="center"/>
    </xf>
    <xf numFmtId="0" fontId="52" fillId="0" borderId="0">
      <alignment vertical="center"/>
    </xf>
    <xf numFmtId="0" fontId="23" fillId="0" borderId="0">
      <alignment vertical="center"/>
    </xf>
    <xf numFmtId="0" fontId="22" fillId="0" borderId="0">
      <alignment vertical="center"/>
    </xf>
    <xf numFmtId="0" fontId="21" fillId="0" borderId="0">
      <alignment vertical="center"/>
    </xf>
    <xf numFmtId="0" fontId="21" fillId="0" borderId="0">
      <alignment vertical="center"/>
    </xf>
    <xf numFmtId="0" fontId="20" fillId="0" borderId="0">
      <alignment vertical="center"/>
    </xf>
    <xf numFmtId="0" fontId="54" fillId="65" borderId="0" applyNumberFormat="0" applyBorder="0" applyAlignment="0" applyProtection="0">
      <alignment vertical="center"/>
    </xf>
    <xf numFmtId="0" fontId="54" fillId="66" borderId="0" applyNumberFormat="0" applyBorder="0" applyAlignment="0" applyProtection="0">
      <alignment vertical="center"/>
    </xf>
    <xf numFmtId="0" fontId="54" fillId="67" borderId="0" applyNumberFormat="0" applyBorder="0" applyAlignment="0" applyProtection="0">
      <alignment vertical="center"/>
    </xf>
    <xf numFmtId="0" fontId="54" fillId="68" borderId="0" applyNumberFormat="0" applyBorder="0" applyAlignment="0" applyProtection="0">
      <alignment vertical="center"/>
    </xf>
    <xf numFmtId="0" fontId="54" fillId="69" borderId="0" applyNumberFormat="0" applyBorder="0" applyAlignment="0" applyProtection="0">
      <alignment vertical="center"/>
    </xf>
    <xf numFmtId="0" fontId="54" fillId="70" borderId="0" applyNumberFormat="0" applyBorder="0" applyAlignment="0" applyProtection="0">
      <alignment vertical="center"/>
    </xf>
    <xf numFmtId="0" fontId="54" fillId="71" borderId="0" applyNumberFormat="0" applyBorder="0" applyAlignment="0" applyProtection="0">
      <alignment vertical="center"/>
    </xf>
    <xf numFmtId="0" fontId="54" fillId="72" borderId="0" applyNumberFormat="0" applyBorder="0" applyAlignment="0" applyProtection="0">
      <alignment vertical="center"/>
    </xf>
    <xf numFmtId="0" fontId="54" fillId="73" borderId="0" applyNumberFormat="0" applyBorder="0" applyAlignment="0" applyProtection="0">
      <alignment vertical="center"/>
    </xf>
    <xf numFmtId="0" fontId="54" fillId="68" borderId="0" applyNumberFormat="0" applyBorder="0" applyAlignment="0" applyProtection="0">
      <alignment vertical="center"/>
    </xf>
    <xf numFmtId="0" fontId="54" fillId="71" borderId="0" applyNumberFormat="0" applyBorder="0" applyAlignment="0" applyProtection="0">
      <alignment vertical="center"/>
    </xf>
    <xf numFmtId="0" fontId="54" fillId="74" borderId="0" applyNumberFormat="0" applyBorder="0" applyAlignment="0" applyProtection="0">
      <alignment vertical="center"/>
    </xf>
    <xf numFmtId="0" fontId="55" fillId="75" borderId="0" applyNumberFormat="0" applyBorder="0" applyAlignment="0" applyProtection="0">
      <alignment vertical="center"/>
    </xf>
    <xf numFmtId="0" fontId="55" fillId="72" borderId="0" applyNumberFormat="0" applyBorder="0" applyAlignment="0" applyProtection="0">
      <alignment vertical="center"/>
    </xf>
    <xf numFmtId="0" fontId="55" fillId="73"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78" borderId="0" applyNumberFormat="0" applyBorder="0" applyAlignment="0" applyProtection="0">
      <alignment vertical="center"/>
    </xf>
    <xf numFmtId="0" fontId="55" fillId="79" borderId="0" applyNumberFormat="0" applyBorder="0" applyAlignment="0" applyProtection="0">
      <alignment vertical="center"/>
    </xf>
    <xf numFmtId="0" fontId="55" fillId="80" borderId="0" applyNumberFormat="0" applyBorder="0" applyAlignment="0" applyProtection="0">
      <alignment vertical="center"/>
    </xf>
    <xf numFmtId="0" fontId="55" fillId="81"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82" borderId="0" applyNumberFormat="0" applyBorder="0" applyAlignment="0" applyProtection="0">
      <alignment vertical="center"/>
    </xf>
    <xf numFmtId="0" fontId="56" fillId="0" borderId="0" applyNumberFormat="0" applyFill="0" applyBorder="0" applyAlignment="0" applyProtection="0">
      <alignment vertical="center"/>
    </xf>
    <xf numFmtId="0" fontId="57" fillId="83" borderId="64" applyNumberFormat="0" applyAlignment="0" applyProtection="0">
      <alignment vertical="center"/>
    </xf>
    <xf numFmtId="0" fontId="58" fillId="84" borderId="0" applyNumberFormat="0" applyBorder="0" applyAlignment="0" applyProtection="0">
      <alignment vertical="center"/>
    </xf>
    <xf numFmtId="9" fontId="52" fillId="0" borderId="0" applyFont="0" applyFill="0" applyBorder="0" applyAlignment="0" applyProtection="0">
      <alignment vertical="center"/>
    </xf>
    <xf numFmtId="0" fontId="20" fillId="35" borderId="52" applyNumberFormat="0" applyFont="0" applyAlignment="0" applyProtection="0">
      <alignment vertical="center"/>
    </xf>
    <xf numFmtId="0" fontId="20" fillId="35" borderId="52" applyNumberFormat="0" applyFont="0" applyAlignment="0" applyProtection="0">
      <alignment vertical="center"/>
    </xf>
    <xf numFmtId="0" fontId="59" fillId="0" borderId="65" applyNumberFormat="0" applyFill="0" applyAlignment="0" applyProtection="0">
      <alignment vertical="center"/>
    </xf>
    <xf numFmtId="0" fontId="60" fillId="66" borderId="0" applyNumberFormat="0" applyBorder="0" applyAlignment="0" applyProtection="0">
      <alignment vertical="center"/>
    </xf>
    <xf numFmtId="0" fontId="61" fillId="85" borderId="66" applyNumberFormat="0" applyAlignment="0" applyProtection="0">
      <alignment vertical="center"/>
    </xf>
    <xf numFmtId="0" fontId="62" fillId="0" borderId="0" applyNumberFormat="0" applyFill="0" applyBorder="0" applyAlignment="0" applyProtection="0">
      <alignment vertical="center"/>
    </xf>
    <xf numFmtId="38" fontId="52" fillId="0" borderId="0" applyFont="0" applyFill="0" applyBorder="0" applyAlignment="0" applyProtection="0">
      <alignment vertical="center"/>
    </xf>
    <xf numFmtId="0" fontId="63" fillId="0" borderId="67" applyNumberFormat="0" applyFill="0" applyAlignment="0" applyProtection="0">
      <alignment vertical="center"/>
    </xf>
    <xf numFmtId="0" fontId="64" fillId="0" borderId="68" applyNumberFormat="0" applyFill="0" applyAlignment="0" applyProtection="0">
      <alignment vertical="center"/>
    </xf>
    <xf numFmtId="0" fontId="65" fillId="0" borderId="69" applyNumberFormat="0" applyFill="0" applyAlignment="0" applyProtection="0">
      <alignment vertical="center"/>
    </xf>
    <xf numFmtId="0" fontId="65" fillId="0" borderId="0" applyNumberFormat="0" applyFill="0" applyBorder="0" applyAlignment="0" applyProtection="0">
      <alignment vertical="center"/>
    </xf>
    <xf numFmtId="0" fontId="66" fillId="0" borderId="70" applyNumberFormat="0" applyFill="0" applyAlignment="0" applyProtection="0">
      <alignment vertical="center"/>
    </xf>
    <xf numFmtId="0" fontId="67" fillId="85" borderId="71" applyNumberFormat="0" applyAlignment="0" applyProtection="0">
      <alignment vertical="center"/>
    </xf>
    <xf numFmtId="0" fontId="68" fillId="0" borderId="0" applyNumberFormat="0" applyFill="0" applyBorder="0" applyAlignment="0" applyProtection="0">
      <alignment vertical="center"/>
    </xf>
    <xf numFmtId="0" fontId="69" fillId="70" borderId="66" applyNumberFormat="0" applyAlignment="0" applyProtection="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70" fillId="67" borderId="0" applyNumberFormat="0" applyBorder="0" applyAlignment="0" applyProtection="0">
      <alignment vertical="center"/>
    </xf>
    <xf numFmtId="0" fontId="19" fillId="0" borderId="0">
      <alignment vertical="center"/>
    </xf>
    <xf numFmtId="176" fontId="19" fillId="0" borderId="0" applyFont="0" applyFill="0" applyBorder="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19" fillId="37" borderId="0" applyNumberFormat="0" applyBorder="0" applyAlignment="0" applyProtection="0">
      <alignment vertical="center"/>
    </xf>
    <xf numFmtId="0" fontId="19" fillId="38" borderId="0" applyNumberFormat="0" applyBorder="0" applyAlignment="0" applyProtection="0">
      <alignment vertical="center"/>
    </xf>
    <xf numFmtId="0" fontId="19" fillId="41" borderId="0" applyNumberFormat="0" applyBorder="0" applyAlignment="0" applyProtection="0">
      <alignment vertical="center"/>
    </xf>
    <xf numFmtId="0" fontId="19" fillId="42" borderId="0" applyNumberFormat="0" applyBorder="0" applyAlignment="0" applyProtection="0">
      <alignment vertical="center"/>
    </xf>
    <xf numFmtId="0" fontId="19" fillId="45" borderId="0" applyNumberFormat="0" applyBorder="0" applyAlignment="0" applyProtection="0">
      <alignment vertical="center"/>
    </xf>
    <xf numFmtId="0" fontId="19" fillId="46" borderId="0" applyNumberFormat="0" applyBorder="0" applyAlignment="0" applyProtection="0">
      <alignment vertical="center"/>
    </xf>
    <xf numFmtId="0" fontId="19" fillId="49" borderId="0" applyNumberFormat="0" applyBorder="0" applyAlignment="0" applyProtection="0">
      <alignment vertical="center"/>
    </xf>
    <xf numFmtId="0" fontId="19" fillId="50" borderId="0" applyNumberFormat="0" applyBorder="0" applyAlignment="0" applyProtection="0">
      <alignment vertical="center"/>
    </xf>
    <xf numFmtId="0" fontId="19" fillId="53" borderId="0" applyNumberFormat="0" applyBorder="0" applyAlignment="0" applyProtection="0">
      <alignment vertical="center"/>
    </xf>
    <xf numFmtId="0" fontId="19" fillId="54" borderId="0" applyNumberFormat="0" applyBorder="0" applyAlignment="0" applyProtection="0">
      <alignment vertical="center"/>
    </xf>
    <xf numFmtId="0" fontId="19" fillId="57" borderId="0" applyNumberFormat="0" applyBorder="0" applyAlignment="0" applyProtection="0">
      <alignment vertical="center"/>
    </xf>
    <xf numFmtId="0" fontId="19" fillId="58" borderId="0" applyNumberFormat="0" applyBorder="0" applyAlignment="0" applyProtection="0">
      <alignment vertical="center"/>
    </xf>
    <xf numFmtId="0" fontId="71" fillId="0" borderId="0"/>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19" fillId="0" borderId="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7" fillId="0" borderId="0">
      <alignment vertical="center"/>
    </xf>
    <xf numFmtId="0" fontId="17" fillId="0" borderId="0">
      <alignment vertical="center"/>
    </xf>
    <xf numFmtId="176" fontId="17" fillId="0" borderId="0" applyFont="0" applyFill="0" applyBorder="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86" borderId="78" applyNumberFormat="0" applyFont="0" applyAlignment="0" applyProtection="0">
      <alignment vertical="center"/>
    </xf>
    <xf numFmtId="0" fontId="61" fillId="85" borderId="79" applyNumberFormat="0" applyAlignment="0" applyProtection="0">
      <alignment vertical="center"/>
    </xf>
    <xf numFmtId="0" fontId="65" fillId="0" borderId="69" applyNumberFormat="0" applyFill="0" applyAlignment="0" applyProtection="0">
      <alignment vertical="center"/>
    </xf>
    <xf numFmtId="0" fontId="65" fillId="0" borderId="69" applyNumberFormat="0" applyFill="0" applyAlignment="0" applyProtection="0">
      <alignment vertical="center"/>
    </xf>
    <xf numFmtId="0" fontId="66" fillId="0" borderId="80" applyNumberFormat="0" applyFill="0" applyAlignment="0" applyProtection="0">
      <alignment vertical="center"/>
    </xf>
    <xf numFmtId="0" fontId="67" fillId="85" borderId="81" applyNumberFormat="0" applyAlignment="0" applyProtection="0">
      <alignment vertical="center"/>
    </xf>
    <xf numFmtId="0" fontId="69" fillId="70" borderId="79" applyNumberFormat="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35" borderId="52" applyNumberFormat="0" applyFont="0" applyAlignment="0" applyProtection="0">
      <alignment vertical="center"/>
    </xf>
    <xf numFmtId="0" fontId="52" fillId="0" borderId="0">
      <alignment vertical="center"/>
    </xf>
    <xf numFmtId="0" fontId="16" fillId="0" borderId="0">
      <alignment vertical="center"/>
    </xf>
    <xf numFmtId="0" fontId="16" fillId="35" borderId="52" applyNumberFormat="0" applyFont="0" applyAlignment="0" applyProtection="0">
      <alignment vertical="center"/>
    </xf>
    <xf numFmtId="0" fontId="16"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71" fillId="0" borderId="0"/>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2" fillId="0" borderId="0" applyNumberFormat="0" applyFill="0" applyBorder="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52" fillId="86" borderId="7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1" fillId="0" borderId="0" applyNumberFormat="0" applyFill="0" applyBorder="0" applyAlignment="0" applyProtection="0"/>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0" fillId="0" borderId="0">
      <alignment vertical="center"/>
    </xf>
    <xf numFmtId="0" fontId="10" fillId="0" borderId="0">
      <alignment vertical="center"/>
    </xf>
    <xf numFmtId="0" fontId="9" fillId="0" borderId="0">
      <alignment vertical="center"/>
    </xf>
    <xf numFmtId="0" fontId="9"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6"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4" fillId="0" borderId="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2" fillId="0" borderId="0">
      <alignment vertical="center"/>
    </xf>
    <xf numFmtId="9" fontId="71" fillId="0" borderId="0" applyFont="0" applyFill="0" applyBorder="0" applyAlignment="0" applyProtection="0">
      <alignment vertical="center"/>
    </xf>
  </cellStyleXfs>
  <cellXfs count="826">
    <xf numFmtId="0" fontId="0" fillId="0" borderId="0" xfId="0"/>
    <xf numFmtId="0" fontId="27" fillId="0" borderId="0" xfId="0" applyFont="1"/>
    <xf numFmtId="0" fontId="30" fillId="0" borderId="0" xfId="46" applyFont="1">
      <alignment vertical="center"/>
    </xf>
    <xf numFmtId="10" fontId="33" fillId="0" borderId="20" xfId="42" applyNumberFormat="1" applyFont="1" applyBorder="1" applyAlignment="1">
      <alignment horizontal="right" vertical="center" wrapText="1"/>
    </xf>
    <xf numFmtId="10" fontId="33" fillId="0" borderId="15" xfId="42" applyNumberFormat="1" applyFont="1" applyBorder="1" applyAlignment="1">
      <alignment horizontal="right" vertical="center" wrapText="1"/>
    </xf>
    <xf numFmtId="11" fontId="33" fillId="0" borderId="15" xfId="42" applyNumberFormat="1" applyFont="1" applyBorder="1" applyAlignment="1">
      <alignment horizontal="right" vertical="center" wrapText="1"/>
    </xf>
    <xf numFmtId="10" fontId="33" fillId="0" borderId="15" xfId="46" applyNumberFormat="1" applyFont="1" applyBorder="1" applyAlignment="1">
      <alignment horizontal="right" vertical="center" wrapText="1"/>
    </xf>
    <xf numFmtId="10" fontId="33" fillId="0" borderId="20" xfId="46" applyNumberFormat="1" applyFont="1" applyBorder="1" applyAlignment="1">
      <alignment horizontal="right" vertical="center" wrapText="1"/>
    </xf>
    <xf numFmtId="10" fontId="33" fillId="0" borderId="16" xfId="46" applyNumberFormat="1" applyFont="1" applyBorder="1" applyAlignment="1">
      <alignment horizontal="right" vertical="center" wrapText="1"/>
    </xf>
    <xf numFmtId="0" fontId="29" fillId="0" borderId="0" xfId="0" applyFont="1"/>
    <xf numFmtId="0" fontId="29" fillId="0" borderId="0" xfId="46" applyFont="1" applyAlignment="1">
      <alignment horizontal="left" vertical="center"/>
    </xf>
    <xf numFmtId="177" fontId="33" fillId="0" borderId="15" xfId="42" applyNumberFormat="1" applyFont="1" applyBorder="1" applyAlignment="1">
      <alignment horizontal="right" vertical="center" wrapText="1"/>
    </xf>
    <xf numFmtId="10" fontId="33" fillId="0" borderId="14" xfId="46" applyNumberFormat="1" applyFont="1" applyBorder="1" applyAlignment="1">
      <alignment horizontal="right" vertical="center" wrapText="1"/>
    </xf>
    <xf numFmtId="0" fontId="72" fillId="0" borderId="0" xfId="46" applyFont="1">
      <alignment vertical="center"/>
    </xf>
    <xf numFmtId="0" fontId="84" fillId="3" borderId="15" xfId="1" applyFont="1" applyFill="1" applyBorder="1" applyAlignment="1">
      <alignment horizontal="center" vertical="center" wrapText="1"/>
    </xf>
    <xf numFmtId="0" fontId="84" fillId="4" borderId="15" xfId="1" applyFont="1" applyFill="1" applyBorder="1" applyAlignment="1">
      <alignment horizontal="center" vertical="center" wrapText="1"/>
    </xf>
    <xf numFmtId="0" fontId="86" fillId="0" borderId="0" xfId="46" applyFont="1">
      <alignment vertical="center"/>
    </xf>
    <xf numFmtId="0" fontId="30" fillId="0" borderId="0" xfId="1087" applyFont="1">
      <alignment vertical="center"/>
    </xf>
    <xf numFmtId="0" fontId="87" fillId="0" borderId="0" xfId="1087" applyFont="1">
      <alignment vertical="center"/>
    </xf>
    <xf numFmtId="0" fontId="30" fillId="0" borderId="0" xfId="1087" applyFont="1" applyAlignment="1">
      <alignment vertical="center" wrapText="1"/>
    </xf>
    <xf numFmtId="181" fontId="30" fillId="0" borderId="0" xfId="46" applyNumberFormat="1" applyFont="1">
      <alignment vertical="center"/>
    </xf>
    <xf numFmtId="0" fontId="32" fillId="0" borderId="121" xfId="1" applyFont="1" applyBorder="1" applyAlignment="1">
      <alignment vertical="center" wrapText="1"/>
    </xf>
    <xf numFmtId="0" fontId="32" fillId="0" borderId="122" xfId="1" applyFont="1" applyBorder="1" applyAlignment="1">
      <alignment vertical="center" wrapText="1"/>
    </xf>
    <xf numFmtId="0" fontId="34" fillId="26" borderId="115" xfId="1" applyFont="1" applyFill="1" applyBorder="1" applyAlignment="1">
      <alignment horizontal="center" vertical="center" wrapText="1"/>
    </xf>
    <xf numFmtId="0" fontId="34" fillId="8" borderId="115" xfId="1" applyFont="1" applyFill="1" applyBorder="1" applyAlignment="1">
      <alignment horizontal="center" vertical="center" wrapText="1"/>
    </xf>
    <xf numFmtId="0" fontId="34" fillId="27" borderId="115" xfId="1" applyFont="1" applyFill="1" applyBorder="1" applyAlignment="1">
      <alignment horizontal="center" vertical="center" wrapText="1"/>
    </xf>
    <xf numFmtId="177" fontId="33" fillId="0" borderId="16" xfId="42" applyNumberFormat="1" applyFont="1" applyBorder="1" applyAlignment="1">
      <alignment horizontal="right" vertical="center" wrapText="1"/>
    </xf>
    <xf numFmtId="10" fontId="33" fillId="0" borderId="22" xfId="46" applyNumberFormat="1" applyFont="1" applyBorder="1" applyAlignment="1">
      <alignment horizontal="right" vertical="center" wrapText="1"/>
    </xf>
    <xf numFmtId="0" fontId="32" fillId="5" borderId="14" xfId="1" applyFont="1" applyFill="1" applyBorder="1" applyAlignment="1">
      <alignment horizontal="center" vertical="center" wrapText="1"/>
    </xf>
    <xf numFmtId="0" fontId="32" fillId="4" borderId="14" xfId="1" applyFont="1" applyFill="1" applyBorder="1" applyAlignment="1">
      <alignment horizontal="center" vertical="center" wrapText="1"/>
    </xf>
    <xf numFmtId="11" fontId="33" fillId="0" borderId="125" xfId="42" applyNumberFormat="1" applyFont="1" applyBorder="1" applyAlignment="1">
      <alignment horizontal="right" vertical="center" wrapText="1"/>
    </xf>
    <xf numFmtId="10" fontId="33" fillId="0" borderId="23" xfId="42" applyNumberFormat="1" applyFont="1" applyBorder="1" applyAlignment="1">
      <alignment horizontal="right" vertical="center" wrapText="1"/>
    </xf>
    <xf numFmtId="10" fontId="33" fillId="0" borderId="14" xfId="42" applyNumberFormat="1" applyFont="1" applyBorder="1" applyAlignment="1">
      <alignment horizontal="right" vertical="center" wrapText="1"/>
    </xf>
    <xf numFmtId="11" fontId="33" fillId="0" borderId="14" xfId="42" applyNumberFormat="1" applyFont="1" applyBorder="1" applyAlignment="1">
      <alignment horizontal="right" vertical="center" wrapText="1"/>
    </xf>
    <xf numFmtId="177" fontId="33" fillId="0" borderId="22" xfId="42" applyNumberFormat="1" applyFont="1" applyBorder="1" applyAlignment="1">
      <alignment horizontal="right" vertical="center" wrapText="1"/>
    </xf>
    <xf numFmtId="10" fontId="33" fillId="0" borderId="23" xfId="46" applyNumberFormat="1" applyFont="1" applyBorder="1" applyAlignment="1">
      <alignment horizontal="right" vertical="center" wrapText="1"/>
    </xf>
    <xf numFmtId="11" fontId="33" fillId="0" borderId="133" xfId="46" applyNumberFormat="1" applyFont="1" applyBorder="1" applyAlignment="1">
      <alignment horizontal="right" vertical="center" wrapText="1"/>
    </xf>
    <xf numFmtId="11" fontId="33" fillId="0" borderId="134" xfId="46" applyNumberFormat="1" applyFont="1" applyBorder="1" applyAlignment="1">
      <alignment horizontal="right" vertical="center" wrapText="1"/>
    </xf>
    <xf numFmtId="10" fontId="33" fillId="0" borderId="127" xfId="46" applyNumberFormat="1" applyFont="1" applyBorder="1" applyAlignment="1">
      <alignment horizontal="right" vertical="center" wrapText="1"/>
    </xf>
    <xf numFmtId="11" fontId="33" fillId="0" borderId="124" xfId="42" applyNumberFormat="1" applyFont="1" applyBorder="1" applyAlignment="1">
      <alignment horizontal="right" vertical="center" wrapText="1"/>
    </xf>
    <xf numFmtId="10" fontId="33" fillId="0" borderId="125" xfId="42" applyNumberFormat="1" applyFont="1" applyBorder="1" applyAlignment="1">
      <alignment horizontal="right" vertical="center" wrapText="1"/>
    </xf>
    <xf numFmtId="177" fontId="33" fillId="0" borderId="125" xfId="42" applyNumberFormat="1" applyFont="1" applyBorder="1" applyAlignment="1">
      <alignment horizontal="right" vertical="center" wrapText="1"/>
    </xf>
    <xf numFmtId="11" fontId="33" fillId="0" borderId="135" xfId="42" applyNumberFormat="1" applyFont="1" applyBorder="1" applyAlignment="1">
      <alignment horizontal="right" vertical="center" wrapText="1"/>
    </xf>
    <xf numFmtId="11" fontId="33" fillId="0" borderId="44" xfId="42" applyNumberFormat="1" applyFont="1" applyBorder="1" applyAlignment="1">
      <alignment horizontal="right" vertical="center" wrapText="1"/>
    </xf>
    <xf numFmtId="10" fontId="33" fillId="0" borderId="35" xfId="42" applyNumberFormat="1" applyFont="1" applyBorder="1" applyAlignment="1">
      <alignment horizontal="right" vertical="center" wrapText="1"/>
    </xf>
    <xf numFmtId="0" fontId="84" fillId="2" borderId="20" xfId="1" applyFont="1" applyFill="1" applyBorder="1" applyAlignment="1">
      <alignment horizontal="center" vertical="center" wrapText="1"/>
    </xf>
    <xf numFmtId="10" fontId="33" fillId="0" borderId="7" xfId="42" applyNumberFormat="1" applyFont="1" applyBorder="1" applyAlignment="1">
      <alignment horizontal="right" vertical="center" wrapText="1"/>
    </xf>
    <xf numFmtId="10" fontId="33" fillId="0" borderId="147" xfId="46" applyNumberFormat="1" applyFont="1" applyBorder="1" applyAlignment="1">
      <alignment horizontal="right" vertical="center" wrapText="1"/>
    </xf>
    <xf numFmtId="10" fontId="33" fillId="0" borderId="18" xfId="46" applyNumberFormat="1" applyFont="1" applyBorder="1" applyAlignment="1">
      <alignment horizontal="right" vertical="center" wrapText="1"/>
    </xf>
    <xf numFmtId="0" fontId="32" fillId="12" borderId="105" xfId="46" applyFont="1" applyFill="1" applyBorder="1" applyAlignment="1">
      <alignment horizontal="center" vertical="center" wrapText="1"/>
    </xf>
    <xf numFmtId="10" fontId="33" fillId="0" borderId="130" xfId="42" applyNumberFormat="1" applyFont="1" applyBorder="1" applyAlignment="1">
      <alignment horizontal="right" vertical="center" wrapText="1"/>
    </xf>
    <xf numFmtId="10" fontId="33" fillId="0" borderId="34" xfId="42" applyNumberFormat="1" applyFont="1" applyBorder="1" applyAlignment="1">
      <alignment horizontal="right" vertical="center" wrapText="1"/>
    </xf>
    <xf numFmtId="177" fontId="33" fillId="0" borderId="165" xfId="42" applyNumberFormat="1" applyFont="1" applyBorder="1" applyAlignment="1">
      <alignment horizontal="right" vertical="center" wrapText="1"/>
    </xf>
    <xf numFmtId="177" fontId="33" fillId="0" borderId="166" xfId="42" applyNumberFormat="1" applyFont="1" applyBorder="1" applyAlignment="1">
      <alignment horizontal="right" vertical="center" wrapText="1"/>
    </xf>
    <xf numFmtId="177" fontId="33" fillId="0" borderId="167" xfId="42" applyNumberFormat="1" applyFont="1" applyBorder="1" applyAlignment="1">
      <alignment horizontal="right" vertical="center" wrapText="1"/>
    </xf>
    <xf numFmtId="177" fontId="33" fillId="0" borderId="168" xfId="42" applyNumberFormat="1" applyFont="1" applyBorder="1" applyAlignment="1">
      <alignment horizontal="right" vertical="center" wrapText="1"/>
    </xf>
    <xf numFmtId="0" fontId="32" fillId="0" borderId="169" xfId="46" applyFont="1" applyBorder="1" applyAlignment="1">
      <alignment horizontal="center" vertical="center" wrapText="1"/>
    </xf>
    <xf numFmtId="0" fontId="95" fillId="0" borderId="147" xfId="1087" applyFont="1" applyBorder="1" applyAlignment="1">
      <alignment vertical="center" wrapText="1"/>
    </xf>
    <xf numFmtId="0" fontId="79" fillId="87" borderId="147" xfId="1087" applyFont="1" applyFill="1" applyBorder="1">
      <alignment vertical="center"/>
    </xf>
    <xf numFmtId="0" fontId="30" fillId="0" borderId="147" xfId="1087" applyFont="1" applyBorder="1">
      <alignment vertical="center"/>
    </xf>
    <xf numFmtId="0" fontId="80" fillId="0" borderId="147" xfId="1087" applyFont="1" applyBorder="1">
      <alignment vertical="center"/>
    </xf>
    <xf numFmtId="0" fontId="95" fillId="0" borderId="147" xfId="1087" applyFont="1" applyBorder="1">
      <alignment vertical="center"/>
    </xf>
    <xf numFmtId="0" fontId="80" fillId="0" borderId="147" xfId="1087" applyFont="1" applyBorder="1" applyAlignment="1">
      <alignment vertical="center" wrapText="1"/>
    </xf>
    <xf numFmtId="0" fontId="30" fillId="0" borderId="147" xfId="1088" applyFont="1" applyBorder="1">
      <alignment vertical="center"/>
    </xf>
    <xf numFmtId="0" fontId="80" fillId="0" borderId="147" xfId="1088" applyFont="1" applyBorder="1" applyAlignment="1">
      <alignment vertical="center" wrapText="1"/>
    </xf>
    <xf numFmtId="0" fontId="95" fillId="0" borderId="147" xfId="1088" applyFont="1" applyBorder="1" applyAlignment="1">
      <alignment vertical="center" wrapText="1"/>
    </xf>
    <xf numFmtId="0" fontId="30" fillId="0" borderId="147" xfId="1088" applyFont="1" applyBorder="1" applyAlignment="1">
      <alignment vertical="center" wrapText="1"/>
    </xf>
    <xf numFmtId="0" fontId="80" fillId="0" borderId="147" xfId="1088" applyFont="1" applyBorder="1">
      <alignment vertical="center"/>
    </xf>
    <xf numFmtId="0" fontId="30" fillId="0" borderId="147" xfId="1087" applyFont="1" applyBorder="1" applyAlignment="1">
      <alignment vertical="center" wrapText="1"/>
    </xf>
    <xf numFmtId="0" fontId="30" fillId="0" borderId="147" xfId="1" applyFont="1" applyBorder="1" applyAlignment="1">
      <alignment vertical="center" wrapText="1"/>
    </xf>
    <xf numFmtId="0" fontId="30" fillId="0" borderId="147" xfId="1090" applyFont="1" applyBorder="1">
      <alignment vertical="center"/>
    </xf>
    <xf numFmtId="0" fontId="95" fillId="0" borderId="147" xfId="1090" applyFont="1" applyBorder="1" applyAlignment="1">
      <alignment vertical="center" wrapText="1"/>
    </xf>
    <xf numFmtId="0" fontId="80" fillId="0" borderId="147" xfId="1090" applyFont="1" applyBorder="1" applyAlignment="1">
      <alignment vertical="center" wrapText="1"/>
    </xf>
    <xf numFmtId="0" fontId="30" fillId="63" borderId="147" xfId="1087" applyFont="1" applyFill="1" applyBorder="1" applyAlignment="1">
      <alignment vertical="center" wrapText="1"/>
    </xf>
    <xf numFmtId="0" fontId="80" fillId="63" borderId="147" xfId="1087" applyFont="1" applyFill="1" applyBorder="1">
      <alignment vertical="center"/>
    </xf>
    <xf numFmtId="0" fontId="30" fillId="63" borderId="147" xfId="1087" applyFont="1" applyFill="1" applyBorder="1">
      <alignment vertical="center"/>
    </xf>
    <xf numFmtId="0" fontId="30" fillId="0" borderId="147" xfId="1092" applyFont="1" applyBorder="1">
      <alignment vertical="center"/>
    </xf>
    <xf numFmtId="0" fontId="80" fillId="0" borderId="147" xfId="1092" applyFont="1" applyBorder="1">
      <alignment vertical="center"/>
    </xf>
    <xf numFmtId="0" fontId="80" fillId="0" borderId="147" xfId="1092" applyFont="1" applyBorder="1" applyAlignment="1">
      <alignment vertical="center" wrapText="1"/>
    </xf>
    <xf numFmtId="10" fontId="33" fillId="0" borderId="179" xfId="46" applyNumberFormat="1" applyFont="1" applyBorder="1" applyAlignment="1">
      <alignment horizontal="right" vertical="center" wrapText="1"/>
    </xf>
    <xf numFmtId="0" fontId="80" fillId="0" borderId="147" xfId="1087" quotePrefix="1" applyFont="1" applyBorder="1">
      <alignment vertical="center"/>
    </xf>
    <xf numFmtId="10" fontId="33" fillId="0" borderId="191" xfId="46" applyNumberFormat="1" applyFont="1" applyBorder="1" applyAlignment="1">
      <alignment horizontal="right" vertical="center" wrapText="1"/>
    </xf>
    <xf numFmtId="0" fontId="95" fillId="0" borderId="0" xfId="1087" applyFont="1">
      <alignment vertical="center"/>
    </xf>
    <xf numFmtId="0" fontId="30" fillId="92" borderId="147" xfId="1087" applyFont="1" applyFill="1" applyBorder="1">
      <alignment vertical="center"/>
    </xf>
    <xf numFmtId="0" fontId="80" fillId="92" borderId="147" xfId="1087" applyFont="1" applyFill="1" applyBorder="1">
      <alignment vertical="center"/>
    </xf>
    <xf numFmtId="0" fontId="80" fillId="92" borderId="147" xfId="1087" applyFont="1" applyFill="1" applyBorder="1" applyAlignment="1">
      <alignment vertical="center" wrapText="1"/>
    </xf>
    <xf numFmtId="0" fontId="95" fillId="92" borderId="147" xfId="1087" applyFont="1" applyFill="1" applyBorder="1" applyAlignment="1">
      <alignment vertical="center" wrapText="1"/>
    </xf>
    <xf numFmtId="0" fontId="30" fillId="92" borderId="147" xfId="1087" applyFont="1" applyFill="1" applyBorder="1" applyAlignment="1">
      <alignment vertical="center" wrapText="1"/>
    </xf>
    <xf numFmtId="0" fontId="95" fillId="92" borderId="147" xfId="1087" applyFont="1" applyFill="1" applyBorder="1">
      <alignment vertical="center"/>
    </xf>
    <xf numFmtId="0" fontId="30" fillId="92" borderId="0" xfId="1087" applyFont="1" applyFill="1">
      <alignment vertical="center"/>
    </xf>
    <xf numFmtId="0" fontId="30" fillId="92" borderId="170" xfId="1087" applyFont="1" applyFill="1" applyBorder="1">
      <alignment vertical="center"/>
    </xf>
    <xf numFmtId="0" fontId="30" fillId="92" borderId="148" xfId="1087" applyFont="1" applyFill="1" applyBorder="1">
      <alignment vertical="center"/>
    </xf>
    <xf numFmtId="0" fontId="30" fillId="92" borderId="149" xfId="1087" quotePrefix="1" applyFont="1" applyFill="1" applyBorder="1">
      <alignment vertical="center"/>
    </xf>
    <xf numFmtId="11" fontId="33" fillId="0" borderId="199" xfId="46" applyNumberFormat="1" applyFont="1" applyBorder="1" applyAlignment="1">
      <alignment horizontal="right" vertical="center" wrapText="1"/>
    </xf>
    <xf numFmtId="11" fontId="33" fillId="0" borderId="200" xfId="46" applyNumberFormat="1" applyFont="1" applyBorder="1" applyAlignment="1">
      <alignment horizontal="right" vertical="center" wrapText="1"/>
    </xf>
    <xf numFmtId="11" fontId="33" fillId="0" borderId="201" xfId="46" applyNumberFormat="1" applyFont="1" applyBorder="1" applyAlignment="1">
      <alignment horizontal="right" vertical="center" wrapText="1"/>
    </xf>
    <xf numFmtId="11" fontId="33" fillId="0" borderId="202" xfId="46" applyNumberFormat="1" applyFont="1" applyBorder="1" applyAlignment="1">
      <alignment horizontal="right" vertical="center" wrapText="1"/>
    </xf>
    <xf numFmtId="11" fontId="33" fillId="0" borderId="167" xfId="46" applyNumberFormat="1" applyFont="1" applyBorder="1" applyAlignment="1">
      <alignment horizontal="right" vertical="center" wrapText="1"/>
    </xf>
    <xf numFmtId="11" fontId="33" fillId="0" borderId="168" xfId="46" applyNumberFormat="1" applyFont="1" applyBorder="1" applyAlignment="1">
      <alignment horizontal="right" vertical="center" wrapText="1"/>
    </xf>
    <xf numFmtId="11" fontId="33" fillId="0" borderId="203" xfId="46" applyNumberFormat="1" applyFont="1" applyBorder="1" applyAlignment="1">
      <alignment horizontal="right" vertical="center" wrapText="1"/>
    </xf>
    <xf numFmtId="11" fontId="33" fillId="0" borderId="163" xfId="46" applyNumberFormat="1" applyFont="1" applyBorder="1" applyAlignment="1">
      <alignment horizontal="right" vertical="center" wrapText="1"/>
    </xf>
    <xf numFmtId="11" fontId="33" fillId="0" borderId="189" xfId="46" applyNumberFormat="1" applyFont="1" applyBorder="1" applyAlignment="1">
      <alignment horizontal="right" vertical="center" wrapText="1"/>
    </xf>
    <xf numFmtId="0" fontId="75" fillId="0" borderId="0" xfId="0" applyFont="1" applyAlignment="1">
      <alignment horizontal="center"/>
    </xf>
    <xf numFmtId="0" fontId="77" fillId="0" borderId="0" xfId="0" quotePrefix="1" applyFont="1" applyAlignment="1">
      <alignment horizontal="center"/>
    </xf>
    <xf numFmtId="0" fontId="30" fillId="0" borderId="0" xfId="0" applyFont="1" applyAlignment="1">
      <alignment horizontal="center"/>
    </xf>
    <xf numFmtId="0" fontId="33" fillId="0" borderId="60" xfId="42" applyFont="1" applyBorder="1" applyAlignment="1">
      <alignment horizontal="right" vertical="center"/>
    </xf>
    <xf numFmtId="0" fontId="33" fillId="0" borderId="21" xfId="42" applyFont="1" applyBorder="1" applyAlignment="1">
      <alignment horizontal="right" vertical="center"/>
    </xf>
    <xf numFmtId="0" fontId="33" fillId="0" borderId="158" xfId="42" applyFont="1" applyBorder="1" applyAlignment="1">
      <alignment horizontal="right" vertical="center"/>
    </xf>
    <xf numFmtId="0" fontId="33" fillId="0" borderId="159" xfId="42" applyFont="1" applyBorder="1" applyAlignment="1">
      <alignment horizontal="right" vertical="center"/>
    </xf>
    <xf numFmtId="0" fontId="33" fillId="0" borderId="106" xfId="42" applyFont="1" applyBorder="1" applyAlignment="1">
      <alignment horizontal="right" vertical="center"/>
    </xf>
    <xf numFmtId="0" fontId="33" fillId="0" borderId="103" xfId="42" applyFont="1" applyBorder="1" applyAlignment="1">
      <alignment horizontal="right" vertical="center"/>
    </xf>
    <xf numFmtId="0" fontId="33" fillId="0" borderId="61" xfId="42" applyFont="1" applyBorder="1" applyAlignment="1">
      <alignment horizontal="right" vertical="center"/>
    </xf>
    <xf numFmtId="0" fontId="33" fillId="0" borderId="62" xfId="42" applyFont="1" applyBorder="1" applyAlignment="1">
      <alignment horizontal="right" vertical="center"/>
    </xf>
    <xf numFmtId="10" fontId="33" fillId="0" borderId="149" xfId="42" applyNumberFormat="1" applyFont="1" applyBorder="1" applyAlignment="1">
      <alignment horizontal="right" vertical="center" wrapText="1"/>
    </xf>
    <xf numFmtId="0" fontId="33" fillId="0" borderId="205" xfId="42" applyFont="1" applyBorder="1" applyAlignment="1">
      <alignment horizontal="right" vertical="center"/>
    </xf>
    <xf numFmtId="11" fontId="33" fillId="0" borderId="178" xfId="42" applyNumberFormat="1" applyFont="1" applyBorder="1" applyAlignment="1">
      <alignment horizontal="right" vertical="center" wrapText="1"/>
    </xf>
    <xf numFmtId="177" fontId="33" fillId="0" borderId="14" xfId="42" applyNumberFormat="1" applyFont="1" applyBorder="1" applyAlignment="1">
      <alignment horizontal="right" vertical="center" wrapText="1"/>
    </xf>
    <xf numFmtId="10" fontId="33" fillId="0" borderId="105" xfId="42" applyNumberFormat="1" applyFont="1" applyBorder="1" applyAlignment="1">
      <alignment horizontal="right" vertical="center" wrapText="1"/>
    </xf>
    <xf numFmtId="10" fontId="33" fillId="0" borderId="152" xfId="42" applyNumberFormat="1" applyFont="1" applyBorder="1" applyAlignment="1">
      <alignment horizontal="right" vertical="center" wrapText="1"/>
    </xf>
    <xf numFmtId="177" fontId="33" fillId="0" borderId="163" xfId="42" applyNumberFormat="1" applyFont="1" applyBorder="1" applyAlignment="1">
      <alignment horizontal="right" vertical="center" wrapText="1"/>
    </xf>
    <xf numFmtId="177" fontId="33" fillId="0" borderId="189" xfId="42" applyNumberFormat="1" applyFont="1" applyBorder="1" applyAlignment="1">
      <alignment horizontal="right" vertical="center" wrapText="1"/>
    </xf>
    <xf numFmtId="0" fontId="32" fillId="0" borderId="169" xfId="1" applyFont="1" applyBorder="1" applyAlignment="1">
      <alignment vertical="center" wrapText="1"/>
    </xf>
    <xf numFmtId="0" fontId="32" fillId="0" borderId="31"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40" xfId="1" applyFont="1" applyBorder="1" applyAlignment="1">
      <alignment horizontal="center" vertical="center" wrapText="1"/>
    </xf>
    <xf numFmtId="10" fontId="33" fillId="0" borderId="35" xfId="46" applyNumberFormat="1" applyFont="1" applyBorder="1" applyAlignment="1">
      <alignment horizontal="right" vertical="center" wrapText="1"/>
    </xf>
    <xf numFmtId="10" fontId="33" fillId="0" borderId="33" xfId="46" applyNumberFormat="1" applyFont="1" applyBorder="1" applyAlignment="1">
      <alignment horizontal="right" vertical="center" wrapText="1"/>
    </xf>
    <xf numFmtId="0" fontId="32" fillId="0" borderId="126" xfId="46" applyFont="1" applyBorder="1" applyAlignment="1">
      <alignment horizontal="center" vertical="center" wrapText="1"/>
    </xf>
    <xf numFmtId="10" fontId="33" fillId="0" borderId="18" xfId="42" applyNumberFormat="1" applyFont="1" applyBorder="1" applyAlignment="1">
      <alignment horizontal="right" vertical="center" wrapText="1"/>
    </xf>
    <xf numFmtId="177" fontId="33" fillId="0" borderId="33" xfId="42" applyNumberFormat="1" applyFont="1" applyBorder="1" applyAlignment="1">
      <alignment horizontal="right" vertical="center" wrapText="1"/>
    </xf>
    <xf numFmtId="0" fontId="32" fillId="0" borderId="217" xfId="1" applyFont="1" applyBorder="1" applyAlignment="1">
      <alignment vertical="center" wrapText="1"/>
    </xf>
    <xf numFmtId="0" fontId="75" fillId="0" borderId="152" xfId="5890" applyFont="1" applyBorder="1" applyAlignment="1" applyProtection="1">
      <alignment horizontal="center" vertical="center"/>
      <protection hidden="1"/>
    </xf>
    <xf numFmtId="0" fontId="76" fillId="60" borderId="147" xfId="5890" quotePrefix="1" applyFont="1" applyFill="1" applyBorder="1" applyAlignment="1" applyProtection="1">
      <alignment horizontal="center" vertical="center"/>
      <protection hidden="1"/>
    </xf>
    <xf numFmtId="0" fontId="30" fillId="0" borderId="95" xfId="5890" applyFont="1" applyBorder="1" applyProtection="1">
      <alignment vertical="center"/>
      <protection hidden="1"/>
    </xf>
    <xf numFmtId="0" fontId="30" fillId="0" borderId="0" xfId="5890" applyFont="1" applyProtection="1">
      <alignment vertical="center"/>
      <protection hidden="1"/>
    </xf>
    <xf numFmtId="0" fontId="75" fillId="0" borderId="152" xfId="5890" applyFont="1" applyBorder="1" applyAlignment="1" applyProtection="1">
      <alignment horizontal="center" vertical="center" wrapText="1"/>
      <protection hidden="1"/>
    </xf>
    <xf numFmtId="0" fontId="30" fillId="0" borderId="19" xfId="5890" applyFont="1" applyBorder="1" applyProtection="1">
      <alignment vertical="center"/>
      <protection hidden="1"/>
    </xf>
    <xf numFmtId="0" fontId="75" fillId="0" borderId="152" xfId="5891" applyFont="1" applyBorder="1" applyAlignment="1" applyProtection="1">
      <alignment horizontal="center" vertical="center" wrapText="1"/>
      <protection hidden="1"/>
    </xf>
    <xf numFmtId="0" fontId="76" fillId="0" borderId="19" xfId="5890" quotePrefix="1" applyFont="1" applyBorder="1" applyAlignment="1" applyProtection="1">
      <alignment horizontal="center" vertical="center"/>
      <protection hidden="1"/>
    </xf>
    <xf numFmtId="0" fontId="75" fillId="0" borderId="111" xfId="5891" applyFont="1" applyBorder="1" applyAlignment="1" applyProtection="1">
      <alignment vertical="center" wrapText="1"/>
      <protection hidden="1"/>
    </xf>
    <xf numFmtId="0" fontId="75" fillId="0" borderId="14" xfId="5890" applyFont="1" applyBorder="1" applyAlignment="1" applyProtection="1">
      <alignment horizontal="center" vertical="center" wrapText="1"/>
      <protection hidden="1"/>
    </xf>
    <xf numFmtId="0" fontId="75" fillId="0" borderId="94" xfId="5890" applyFont="1" applyBorder="1" applyAlignment="1" applyProtection="1">
      <alignment vertical="center" wrapText="1"/>
      <protection hidden="1"/>
    </xf>
    <xf numFmtId="0" fontId="75" fillId="0" borderId="109" xfId="5890" applyFont="1" applyBorder="1" applyProtection="1">
      <alignment vertical="center"/>
      <protection hidden="1"/>
    </xf>
    <xf numFmtId="0" fontId="75" fillId="0" borderId="109" xfId="5890" applyFont="1" applyBorder="1" applyAlignment="1" applyProtection="1">
      <alignment vertical="center" wrapText="1"/>
      <protection hidden="1"/>
    </xf>
    <xf numFmtId="0" fontId="30" fillId="0" borderId="94" xfId="5890" applyFont="1" applyBorder="1" applyProtection="1">
      <alignment vertical="center"/>
      <protection hidden="1"/>
    </xf>
    <xf numFmtId="0" fontId="30" fillId="0" borderId="59" xfId="5890" applyFont="1" applyBorder="1" applyProtection="1">
      <alignment vertical="center"/>
      <protection hidden="1"/>
    </xf>
    <xf numFmtId="0" fontId="30" fillId="0" borderId="157" xfId="5890" applyFont="1" applyBorder="1" applyProtection="1">
      <alignment vertical="center"/>
      <protection hidden="1"/>
    </xf>
    <xf numFmtId="0" fontId="30" fillId="0" borderId="99" xfId="5890" applyFont="1" applyBorder="1" applyProtection="1">
      <alignment vertical="center"/>
      <protection hidden="1"/>
    </xf>
    <xf numFmtId="0" fontId="30" fillId="0" borderId="112" xfId="5890" applyFont="1" applyBorder="1" applyProtection="1">
      <alignment vertical="center"/>
      <protection hidden="1"/>
    </xf>
    <xf numFmtId="0" fontId="30" fillId="0" borderId="153" xfId="5890" applyFont="1" applyBorder="1" applyProtection="1">
      <alignment vertical="center"/>
      <protection hidden="1"/>
    </xf>
    <xf numFmtId="0" fontId="30" fillId="0" borderId="152" xfId="5890" applyFont="1" applyBorder="1" applyProtection="1">
      <alignment vertical="center"/>
      <protection hidden="1"/>
    </xf>
    <xf numFmtId="0" fontId="30" fillId="0" borderId="163" xfId="5890" applyFont="1" applyBorder="1" applyAlignment="1" applyProtection="1">
      <alignment vertical="center" wrapText="1"/>
      <protection hidden="1"/>
    </xf>
    <xf numFmtId="0" fontId="30" fillId="0" borderId="152" xfId="5891" applyFont="1" applyBorder="1" applyProtection="1">
      <alignment vertical="center"/>
      <protection hidden="1"/>
    </xf>
    <xf numFmtId="0" fontId="30" fillId="0" borderId="193" xfId="5891" applyFont="1" applyBorder="1" applyAlignment="1" applyProtection="1">
      <alignment horizontal="center" vertical="center" wrapText="1"/>
      <protection hidden="1"/>
    </xf>
    <xf numFmtId="0" fontId="30" fillId="0" borderId="153" xfId="5891" applyFont="1" applyBorder="1" applyAlignment="1" applyProtection="1">
      <alignment horizontal="center" vertical="center" wrapText="1"/>
      <protection hidden="1"/>
    </xf>
    <xf numFmtId="0" fontId="30" fillId="0" borderId="154" xfId="5891" applyFont="1" applyBorder="1" applyAlignment="1" applyProtection="1">
      <alignment horizontal="center" vertical="center" wrapText="1"/>
      <protection hidden="1"/>
    </xf>
    <xf numFmtId="0" fontId="30" fillId="0" borderId="195" xfId="5891" applyFont="1" applyBorder="1" applyProtection="1">
      <alignment vertical="center"/>
      <protection hidden="1"/>
    </xf>
    <xf numFmtId="0" fontId="30" fillId="0" borderId="112" xfId="5891" applyFont="1" applyBorder="1" applyAlignment="1" applyProtection="1">
      <alignment horizontal="center" vertical="center" wrapText="1"/>
      <protection hidden="1"/>
    </xf>
    <xf numFmtId="0" fontId="30" fillId="0" borderId="112" xfId="5891" applyFont="1" applyBorder="1" applyProtection="1">
      <alignment vertical="center"/>
      <protection hidden="1"/>
    </xf>
    <xf numFmtId="0" fontId="80" fillId="0" borderId="154" xfId="5891" applyFont="1" applyBorder="1" applyAlignment="1" applyProtection="1">
      <alignment horizontal="center" vertical="center" wrapText="1"/>
      <protection hidden="1"/>
    </xf>
    <xf numFmtId="0" fontId="30" fillId="0" borderId="155" xfId="5891" applyFont="1" applyBorder="1" applyAlignment="1" applyProtection="1">
      <alignment horizontal="center" vertical="center" wrapText="1"/>
      <protection hidden="1"/>
    </xf>
    <xf numFmtId="0" fontId="30" fillId="0" borderId="89" xfId="5890" applyFont="1" applyBorder="1" applyProtection="1">
      <alignment vertical="center"/>
      <protection hidden="1"/>
    </xf>
    <xf numFmtId="0" fontId="30" fillId="0" borderId="193" xfId="5890" applyFont="1" applyBorder="1" applyProtection="1">
      <alignment vertical="center"/>
      <protection hidden="1"/>
    </xf>
    <xf numFmtId="0" fontId="30" fillId="0" borderId="95" xfId="5892" applyFont="1" applyBorder="1" applyProtection="1">
      <alignment vertical="center"/>
      <protection hidden="1"/>
    </xf>
    <xf numFmtId="0" fontId="30" fillId="0" borderId="19" xfId="5892" applyFont="1" applyBorder="1" applyAlignment="1" applyProtection="1">
      <alignment horizontal="center" vertical="center" wrapText="1"/>
      <protection hidden="1"/>
    </xf>
    <xf numFmtId="0" fontId="30" fillId="0" borderId="93" xfId="5890" applyFont="1" applyBorder="1" applyProtection="1">
      <alignment vertical="center"/>
      <protection hidden="1"/>
    </xf>
    <xf numFmtId="0" fontId="30" fillId="0" borderId="76" xfId="5891" applyFont="1" applyBorder="1" applyAlignment="1" applyProtection="1">
      <alignment horizontal="center" vertical="center" wrapText="1"/>
      <protection hidden="1"/>
    </xf>
    <xf numFmtId="0" fontId="30" fillId="0" borderId="59" xfId="5892" applyFont="1" applyBorder="1" applyAlignment="1" applyProtection="1">
      <alignment horizontal="center" vertical="center" wrapText="1"/>
      <protection hidden="1"/>
    </xf>
    <xf numFmtId="0" fontId="30" fillId="0" borderId="31" xfId="5890" applyFont="1" applyBorder="1" applyAlignment="1" applyProtection="1">
      <alignment horizontal="center" vertical="center" wrapText="1"/>
      <protection hidden="1"/>
    </xf>
    <xf numFmtId="0" fontId="30" fillId="0" borderId="157" xfId="5891" applyFont="1" applyBorder="1" applyAlignment="1" applyProtection="1">
      <alignment vertical="center" wrapText="1"/>
      <protection hidden="1"/>
    </xf>
    <xf numFmtId="0" fontId="30" fillId="0" borderId="196" xfId="5891" applyFont="1" applyBorder="1" applyAlignment="1" applyProtection="1">
      <alignment vertical="center" wrapText="1"/>
      <protection hidden="1"/>
    </xf>
    <xf numFmtId="0" fontId="30" fillId="0" borderId="197" xfId="5891" applyFont="1" applyBorder="1" applyAlignment="1" applyProtection="1">
      <alignment vertical="center" wrapText="1"/>
      <protection hidden="1"/>
    </xf>
    <xf numFmtId="0" fontId="30" fillId="0" borderId="198" xfId="5891" applyFont="1" applyBorder="1" applyAlignment="1" applyProtection="1">
      <alignment vertical="center" wrapText="1"/>
      <protection hidden="1"/>
    </xf>
    <xf numFmtId="0" fontId="30" fillId="0" borderId="120" xfId="5891" applyFont="1" applyBorder="1" applyProtection="1">
      <alignment vertical="center"/>
      <protection hidden="1"/>
    </xf>
    <xf numFmtId="0" fontId="30" fillId="0" borderId="188" xfId="5891" applyFont="1" applyBorder="1" applyProtection="1">
      <alignment vertical="center"/>
      <protection hidden="1"/>
    </xf>
    <xf numFmtId="0" fontId="30" fillId="0" borderId="59" xfId="5891" applyFont="1" applyBorder="1" applyAlignment="1" applyProtection="1">
      <alignment horizontal="center" vertical="center" wrapText="1"/>
      <protection hidden="1"/>
    </xf>
    <xf numFmtId="0" fontId="30" fillId="0" borderId="118" xfId="5890" applyFont="1" applyBorder="1" applyAlignment="1" applyProtection="1">
      <alignment vertical="center" wrapText="1"/>
      <protection hidden="1"/>
    </xf>
    <xf numFmtId="0" fontId="30" fillId="0" borderId="119" xfId="5890" applyFont="1" applyBorder="1" applyAlignment="1" applyProtection="1">
      <alignment vertical="center" wrapText="1"/>
      <protection hidden="1"/>
    </xf>
    <xf numFmtId="0" fontId="30" fillId="0" borderId="94" xfId="5890" applyFont="1" applyBorder="1" applyAlignment="1" applyProtection="1">
      <alignment horizontal="center" vertical="center" wrapText="1"/>
      <protection hidden="1"/>
    </xf>
    <xf numFmtId="0" fontId="30" fillId="0" borderId="105" xfId="5890" applyFont="1" applyBorder="1" applyAlignment="1" applyProtection="1">
      <alignment vertical="center" wrapText="1"/>
      <protection hidden="1"/>
    </xf>
    <xf numFmtId="0" fontId="30" fillId="0" borderId="14" xfId="5890" applyFont="1" applyBorder="1" applyAlignment="1" applyProtection="1">
      <alignment horizontal="center" vertical="center" wrapText="1"/>
      <protection hidden="1"/>
    </xf>
    <xf numFmtId="0" fontId="30" fillId="0" borderId="76" xfId="5890" applyFont="1" applyBorder="1" applyAlignment="1" applyProtection="1">
      <alignment horizontal="center" vertical="center" wrapText="1"/>
      <protection hidden="1"/>
    </xf>
    <xf numFmtId="0" fontId="30" fillId="0" borderId="58" xfId="5890" applyFont="1" applyBorder="1" applyProtection="1">
      <alignment vertical="center"/>
      <protection hidden="1"/>
    </xf>
    <xf numFmtId="0" fontId="30" fillId="0" borderId="59" xfId="5890" applyFont="1" applyBorder="1" applyAlignment="1" applyProtection="1">
      <alignment vertical="center" wrapText="1"/>
      <protection hidden="1"/>
    </xf>
    <xf numFmtId="0" fontId="30" fillId="0" borderId="147" xfId="5890" applyFont="1" applyBorder="1" applyAlignment="1" applyProtection="1">
      <alignment vertical="center" wrapText="1"/>
      <protection hidden="1"/>
    </xf>
    <xf numFmtId="0" fontId="30" fillId="0" borderId="207" xfId="5891" applyFont="1" applyBorder="1" applyAlignment="1" applyProtection="1">
      <alignment horizontal="center" vertical="center" wrapText="1"/>
      <protection hidden="1"/>
    </xf>
    <xf numFmtId="0" fontId="30" fillId="0" borderId="186" xfId="5890" applyFont="1" applyBorder="1" applyAlignment="1" applyProtection="1">
      <alignment vertical="center" wrapText="1"/>
      <protection hidden="1"/>
    </xf>
    <xf numFmtId="0" fontId="30" fillId="0" borderId="185" xfId="5890" applyFont="1" applyBorder="1" applyAlignment="1" applyProtection="1">
      <alignment vertical="center" wrapText="1"/>
      <protection hidden="1"/>
    </xf>
    <xf numFmtId="0" fontId="30" fillId="0" borderId="117" xfId="5891" applyFont="1" applyBorder="1" applyAlignment="1" applyProtection="1">
      <alignment horizontal="center" vertical="center" wrapText="1"/>
      <protection hidden="1"/>
    </xf>
    <xf numFmtId="0" fontId="30" fillId="0" borderId="187" xfId="5890" applyFont="1" applyBorder="1" applyAlignment="1" applyProtection="1">
      <alignment vertical="center" wrapText="1"/>
      <protection hidden="1"/>
    </xf>
    <xf numFmtId="0" fontId="30" fillId="0" borderId="76" xfId="5890" applyFont="1" applyBorder="1" applyAlignment="1" applyProtection="1">
      <alignment vertical="center" wrapText="1"/>
      <protection hidden="1"/>
    </xf>
    <xf numFmtId="0" fontId="30" fillId="0" borderId="156" xfId="5891" applyFont="1" applyBorder="1" applyAlignment="1" applyProtection="1">
      <alignment horizontal="center" vertical="center" wrapText="1"/>
      <protection hidden="1"/>
    </xf>
    <xf numFmtId="0" fontId="30" fillId="0" borderId="14" xfId="5890" applyFont="1" applyBorder="1" applyAlignment="1" applyProtection="1">
      <alignment vertical="center" wrapText="1"/>
      <protection hidden="1"/>
    </xf>
    <xf numFmtId="0" fontId="30" fillId="0" borderId="15" xfId="5890" applyFont="1" applyBorder="1" applyAlignment="1" applyProtection="1">
      <alignment vertical="center" wrapText="1"/>
      <protection hidden="1"/>
    </xf>
    <xf numFmtId="0" fontId="30" fillId="0" borderId="76" xfId="5890" applyFont="1" applyBorder="1" applyProtection="1">
      <alignment vertical="center"/>
      <protection hidden="1"/>
    </xf>
    <xf numFmtId="0" fontId="30" fillId="0" borderId="147" xfId="5890" applyFont="1" applyBorder="1" applyProtection="1">
      <alignment vertical="center"/>
      <protection hidden="1"/>
    </xf>
    <xf numFmtId="0" fontId="30" fillId="0" borderId="156" xfId="5891" applyFont="1" applyBorder="1" applyAlignment="1" applyProtection="1">
      <alignment vertical="center" wrapText="1"/>
      <protection hidden="1"/>
    </xf>
    <xf numFmtId="0" fontId="29" fillId="0" borderId="109" xfId="5891" applyFont="1" applyBorder="1" applyAlignment="1" applyProtection="1">
      <alignment horizontal="center" vertical="center" wrapText="1"/>
      <protection hidden="1"/>
    </xf>
    <xf numFmtId="0" fontId="29" fillId="0" borderId="109" xfId="5890" applyFont="1" applyBorder="1" applyAlignment="1" applyProtection="1">
      <alignment horizontal="center" vertical="center" wrapText="1"/>
      <protection hidden="1"/>
    </xf>
    <xf numFmtId="0" fontId="29" fillId="0" borderId="108" xfId="5891" applyFont="1" applyBorder="1" applyAlignment="1" applyProtection="1">
      <alignment horizontal="center" vertical="center" wrapText="1"/>
      <protection hidden="1"/>
    </xf>
    <xf numFmtId="0" fontId="29" fillId="0" borderId="94" xfId="5891" applyFont="1" applyBorder="1" applyAlignment="1" applyProtection="1">
      <alignment horizontal="center" vertical="center" wrapText="1"/>
      <protection hidden="1"/>
    </xf>
    <xf numFmtId="0" fontId="29" fillId="0" borderId="59" xfId="5891" applyFont="1" applyBorder="1" applyAlignment="1" applyProtection="1">
      <alignment horizontal="center" vertical="center" wrapText="1"/>
      <protection hidden="1"/>
    </xf>
    <xf numFmtId="0" fontId="29" fillId="0" borderId="98" xfId="5890" applyFont="1" applyBorder="1" applyAlignment="1" applyProtection="1">
      <alignment horizontal="center" vertical="center" wrapText="1"/>
      <protection hidden="1"/>
    </xf>
    <xf numFmtId="0" fontId="29" fillId="0" borderId="108" xfId="5890" applyFont="1" applyBorder="1" applyAlignment="1" applyProtection="1">
      <alignment horizontal="center" vertical="center" wrapText="1"/>
      <protection hidden="1"/>
    </xf>
    <xf numFmtId="0" fontId="29" fillId="0" borderId="110" xfId="5890" applyFont="1" applyBorder="1" applyAlignment="1" applyProtection="1">
      <alignment horizontal="center" vertical="center" wrapText="1"/>
      <protection hidden="1"/>
    </xf>
    <xf numFmtId="0" fontId="29" fillId="0" borderId="90" xfId="5890" applyFont="1" applyBorder="1" applyAlignment="1" applyProtection="1">
      <alignment horizontal="center" vertical="center" wrapText="1"/>
      <protection hidden="1"/>
    </xf>
    <xf numFmtId="0" fontId="29" fillId="0" borderId="92" xfId="5890" applyFont="1" applyBorder="1" applyAlignment="1" applyProtection="1">
      <alignment horizontal="center" vertical="center" wrapText="1"/>
      <protection hidden="1"/>
    </xf>
    <xf numFmtId="0" fontId="30" fillId="0" borderId="93" xfId="5890" applyFont="1" applyBorder="1" applyAlignment="1" applyProtection="1">
      <protection hidden="1"/>
    </xf>
    <xf numFmtId="0" fontId="30" fillId="0" borderId="76" xfId="5890" applyFont="1" applyBorder="1" applyAlignment="1" applyProtection="1">
      <protection hidden="1"/>
    </xf>
    <xf numFmtId="10" fontId="30" fillId="0" borderId="76" xfId="5890" applyNumberFormat="1" applyFont="1" applyBorder="1" applyAlignment="1" applyProtection="1">
      <protection hidden="1"/>
    </xf>
    <xf numFmtId="10" fontId="30" fillId="63" borderId="109" xfId="5890" applyNumberFormat="1" applyFont="1" applyFill="1" applyBorder="1" applyAlignment="1" applyProtection="1">
      <protection hidden="1"/>
    </xf>
    <xf numFmtId="180" fontId="30" fillId="0" borderId="76" xfId="5890" applyNumberFormat="1" applyFont="1" applyBorder="1" applyAlignment="1" applyProtection="1">
      <protection hidden="1"/>
    </xf>
    <xf numFmtId="10" fontId="30" fillId="0" borderId="110" xfId="5890" applyNumberFormat="1" applyFont="1" applyBorder="1" applyAlignment="1" applyProtection="1">
      <protection hidden="1"/>
    </xf>
    <xf numFmtId="10" fontId="30" fillId="0" borderId="149" xfId="5890" applyNumberFormat="1" applyFont="1" applyBorder="1" applyAlignment="1" applyProtection="1">
      <protection hidden="1"/>
    </xf>
    <xf numFmtId="10" fontId="30" fillId="0" borderId="95" xfId="5890" applyNumberFormat="1" applyFont="1" applyBorder="1" applyAlignment="1" applyProtection="1">
      <protection hidden="1"/>
    </xf>
    <xf numFmtId="11" fontId="30" fillId="0" borderId="109" xfId="5890" applyNumberFormat="1" applyFont="1" applyBorder="1" applyAlignment="1" applyProtection="1">
      <protection hidden="1"/>
    </xf>
    <xf numFmtId="11" fontId="30" fillId="0" borderId="147" xfId="5890" applyNumberFormat="1" applyFont="1" applyBorder="1" applyAlignment="1" applyProtection="1">
      <protection hidden="1"/>
    </xf>
    <xf numFmtId="10" fontId="30" fillId="0" borderId="108" xfId="5890" applyNumberFormat="1" applyFont="1" applyBorder="1" applyAlignment="1" applyProtection="1">
      <protection hidden="1"/>
    </xf>
    <xf numFmtId="10" fontId="30" fillId="0" borderId="109" xfId="5890" applyNumberFormat="1" applyFont="1" applyBorder="1" applyAlignment="1" applyProtection="1">
      <protection hidden="1"/>
    </xf>
    <xf numFmtId="10" fontId="30" fillId="0" borderId="93" xfId="5890" applyNumberFormat="1" applyFont="1" applyBorder="1" applyAlignment="1" applyProtection="1">
      <protection hidden="1"/>
    </xf>
    <xf numFmtId="182" fontId="30" fillId="0" borderId="76" xfId="5890" applyNumberFormat="1" applyFont="1" applyBorder="1" applyAlignment="1" applyProtection="1">
      <protection hidden="1"/>
    </xf>
    <xf numFmtId="0" fontId="30" fillId="0" borderId="109" xfId="5890" applyFont="1" applyBorder="1" applyAlignment="1" applyProtection="1">
      <alignment wrapText="1"/>
      <protection hidden="1"/>
    </xf>
    <xf numFmtId="0" fontId="30" fillId="0" borderId="109" xfId="5890" applyFont="1" applyBorder="1" applyAlignment="1" applyProtection="1">
      <protection hidden="1"/>
    </xf>
    <xf numFmtId="0" fontId="75" fillId="0" borderId="109" xfId="5890" applyFont="1" applyBorder="1" applyAlignment="1" applyProtection="1">
      <protection hidden="1"/>
    </xf>
    <xf numFmtId="0" fontId="30" fillId="63" borderId="109" xfId="5890" applyFont="1" applyFill="1" applyBorder="1" applyAlignment="1" applyProtection="1">
      <protection hidden="1"/>
    </xf>
    <xf numFmtId="0" fontId="30" fillId="0" borderId="110" xfId="5890" applyFont="1" applyBorder="1" applyAlignment="1" applyProtection="1">
      <protection hidden="1"/>
    </xf>
    <xf numFmtId="0" fontId="30" fillId="0" borderId="91" xfId="5895" applyFont="1" applyBorder="1" applyAlignment="1" applyProtection="1">
      <alignment horizontal="right" vertical="center" wrapText="1"/>
      <protection hidden="1"/>
    </xf>
    <xf numFmtId="10" fontId="30" fillId="0" borderId="91" xfId="5895" applyNumberFormat="1" applyFont="1" applyBorder="1" applyAlignment="1" applyProtection="1">
      <alignment horizontal="right" vertical="center" wrapText="1"/>
      <protection hidden="1"/>
    </xf>
    <xf numFmtId="10" fontId="30" fillId="0" borderId="110" xfId="5895" applyNumberFormat="1" applyFont="1" applyBorder="1" applyAlignment="1" applyProtection="1">
      <alignment horizontal="right" vertical="center" wrapText="1"/>
      <protection hidden="1"/>
    </xf>
    <xf numFmtId="10" fontId="30" fillId="0" borderId="149" xfId="5895" applyNumberFormat="1" applyFont="1" applyBorder="1" applyAlignment="1" applyProtection="1">
      <alignment horizontal="right" vertical="center" wrapText="1"/>
      <protection hidden="1"/>
    </xf>
    <xf numFmtId="10" fontId="30" fillId="0" borderId="92" xfId="5895" applyNumberFormat="1" applyFont="1" applyBorder="1" applyAlignment="1" applyProtection="1">
      <alignment horizontal="right" vertical="center" wrapText="1"/>
      <protection hidden="1"/>
    </xf>
    <xf numFmtId="182" fontId="30" fillId="0" borderId="91" xfId="5895" applyNumberFormat="1" applyFont="1" applyBorder="1" applyAlignment="1" applyProtection="1">
      <alignment horizontal="right" vertical="center" wrapText="1"/>
      <protection hidden="1"/>
    </xf>
    <xf numFmtId="0" fontId="30" fillId="0" borderId="0" xfId="5890" applyFont="1" applyAlignment="1" applyProtection="1">
      <protection hidden="1"/>
    </xf>
    <xf numFmtId="0" fontId="80" fillId="0" borderId="0" xfId="5890" applyFont="1" applyAlignment="1" applyProtection="1">
      <protection hidden="1"/>
    </xf>
    <xf numFmtId="10" fontId="30" fillId="0" borderId="193" xfId="5895" applyNumberFormat="1" applyFont="1" applyBorder="1" applyAlignment="1" applyProtection="1">
      <alignment horizontal="right" vertical="center" wrapText="1"/>
      <protection hidden="1"/>
    </xf>
    <xf numFmtId="0" fontId="90" fillId="0" borderId="0" xfId="5890" applyFont="1" applyAlignment="1" applyProtection="1">
      <protection hidden="1"/>
    </xf>
    <xf numFmtId="0" fontId="30" fillId="60" borderId="94" xfId="5890" applyFont="1" applyFill="1" applyBorder="1" applyAlignment="1" applyProtection="1">
      <alignment horizontal="center"/>
      <protection locked="0"/>
    </xf>
    <xf numFmtId="0" fontId="30" fillId="60" borderId="77" xfId="5890" applyFont="1" applyFill="1" applyBorder="1" applyAlignment="1" applyProtection="1">
      <alignment horizontal="center"/>
      <protection locked="0"/>
    </xf>
    <xf numFmtId="0" fontId="30" fillId="60" borderId="109" xfId="5890" applyFont="1" applyFill="1" applyBorder="1" applyAlignment="1" applyProtection="1">
      <alignment horizontal="center"/>
      <protection locked="0"/>
    </xf>
    <xf numFmtId="0" fontId="30" fillId="0" borderId="109" xfId="5890" applyFont="1" applyBorder="1" applyAlignment="1" applyProtection="1">
      <protection locked="0"/>
    </xf>
    <xf numFmtId="0" fontId="30" fillId="64" borderId="109" xfId="5890" applyFont="1" applyFill="1" applyBorder="1" applyAlignment="1" applyProtection="1">
      <protection locked="0"/>
    </xf>
    <xf numFmtId="0" fontId="30" fillId="89" borderId="109" xfId="5890" applyFont="1" applyFill="1" applyBorder="1" applyAlignment="1" applyProtection="1">
      <alignment horizontal="right"/>
      <protection locked="0"/>
    </xf>
    <xf numFmtId="0" fontId="30" fillId="64" borderId="147" xfId="5890" applyFont="1" applyFill="1" applyBorder="1" applyAlignment="1" applyProtection="1">
      <protection locked="0"/>
    </xf>
    <xf numFmtId="0" fontId="30" fillId="0" borderId="147" xfId="5890" applyFont="1" applyBorder="1" applyAlignment="1" applyProtection="1">
      <protection locked="0"/>
    </xf>
    <xf numFmtId="0" fontId="30" fillId="0" borderId="76" xfId="5890" applyFont="1" applyBorder="1" applyAlignment="1" applyProtection="1">
      <protection locked="0"/>
    </xf>
    <xf numFmtId="0" fontId="30" fillId="0" borderId="94" xfId="5890" applyFont="1" applyBorder="1" applyAlignment="1" applyProtection="1">
      <protection locked="0"/>
    </xf>
    <xf numFmtId="0" fontId="30" fillId="0" borderId="59" xfId="5890" applyFont="1" applyBorder="1" applyAlignment="1" applyProtection="1">
      <protection locked="0"/>
    </xf>
    <xf numFmtId="0" fontId="30" fillId="16" borderId="147" xfId="5890" applyFont="1" applyFill="1" applyBorder="1" applyAlignment="1" applyProtection="1">
      <protection locked="0"/>
    </xf>
    <xf numFmtId="0" fontId="30" fillId="0" borderId="109" xfId="5890" applyFont="1" applyBorder="1" applyAlignment="1" applyProtection="1">
      <alignment horizontal="right" vertical="center"/>
      <protection locked="0"/>
    </xf>
    <xf numFmtId="0" fontId="30" fillId="0" borderId="99" xfId="5891" applyFont="1" applyBorder="1" applyAlignment="1" applyProtection="1">
      <alignment horizontal="center" vertical="center" wrapText="1"/>
      <protection hidden="1"/>
    </xf>
    <xf numFmtId="0" fontId="30" fillId="0" borderId="58" xfId="5891" applyFont="1" applyBorder="1" applyAlignment="1" applyProtection="1">
      <alignment horizontal="center" vertical="center" wrapText="1"/>
      <protection hidden="1"/>
    </xf>
    <xf numFmtId="0" fontId="89" fillId="0" borderId="0" xfId="5890" quotePrefix="1" applyFont="1" applyAlignment="1" applyProtection="1">
      <alignment horizontal="left" vertical="center"/>
      <protection locked="0"/>
    </xf>
    <xf numFmtId="0" fontId="30" fillId="0" borderId="0" xfId="5890" applyFont="1" applyProtection="1">
      <alignment vertical="center"/>
      <protection locked="0"/>
    </xf>
    <xf numFmtId="0" fontId="89" fillId="0" borderId="1" xfId="5890" quotePrefix="1" applyFont="1" applyBorder="1" applyAlignment="1" applyProtection="1">
      <alignment horizontal="left" vertical="center"/>
      <protection locked="0"/>
    </xf>
    <xf numFmtId="0" fontId="30" fillId="0" borderId="0" xfId="5890" applyFont="1" applyAlignment="1" applyProtection="1">
      <protection locked="0"/>
    </xf>
    <xf numFmtId="0" fontId="89" fillId="0" borderId="0" xfId="5890" quotePrefix="1" applyFont="1" applyAlignment="1" applyProtection="1">
      <protection locked="0"/>
    </xf>
    <xf numFmtId="0" fontId="89" fillId="0" borderId="0" xfId="5890" applyFont="1" applyProtection="1">
      <alignment vertical="center"/>
      <protection locked="0"/>
    </xf>
    <xf numFmtId="49" fontId="78" fillId="87" borderId="94" xfId="5890" applyNumberFormat="1" applyFont="1" applyFill="1" applyBorder="1" applyAlignment="1" applyProtection="1">
      <alignment horizontal="center"/>
      <protection locked="0"/>
    </xf>
    <xf numFmtId="0" fontId="78" fillId="87" borderId="109" xfId="5890" applyFont="1" applyFill="1" applyBorder="1" applyAlignment="1" applyProtection="1">
      <protection locked="0"/>
    </xf>
    <xf numFmtId="0" fontId="78" fillId="0" borderId="0" xfId="5890" applyFont="1" applyAlignment="1" applyProtection="1">
      <protection locked="0"/>
    </xf>
    <xf numFmtId="0" fontId="78" fillId="87" borderId="94" xfId="5890" applyFont="1" applyFill="1" applyBorder="1" applyAlignment="1" applyProtection="1">
      <protection locked="0"/>
    </xf>
    <xf numFmtId="0" fontId="29" fillId="0" borderId="110" xfId="5890" applyFont="1" applyBorder="1" applyAlignment="1" applyProtection="1">
      <protection locked="0"/>
    </xf>
    <xf numFmtId="0" fontId="77" fillId="23" borderId="109" xfId="5890" quotePrefix="1" applyFont="1" applyFill="1" applyBorder="1" applyAlignment="1" applyProtection="1">
      <alignment horizontal="center"/>
      <protection locked="0"/>
    </xf>
    <xf numFmtId="0" fontId="79" fillId="23" borderId="109" xfId="5890" quotePrefix="1" applyFont="1" applyFill="1" applyBorder="1" applyAlignment="1" applyProtection="1">
      <alignment horizontal="center"/>
      <protection locked="0"/>
    </xf>
    <xf numFmtId="0" fontId="29" fillId="0" borderId="109" xfId="5890" quotePrefix="1" applyFont="1" applyBorder="1" applyProtection="1">
      <alignment vertical="center"/>
      <protection locked="0"/>
    </xf>
    <xf numFmtId="0" fontId="30" fillId="0" borderId="109" xfId="5890" applyFont="1" applyBorder="1" applyProtection="1">
      <alignment vertical="center"/>
      <protection locked="0"/>
    </xf>
    <xf numFmtId="0" fontId="29" fillId="0" borderId="147" xfId="5890" applyFont="1" applyBorder="1" applyProtection="1">
      <alignment vertical="center"/>
      <protection locked="0"/>
    </xf>
    <xf numFmtId="0" fontId="30" fillId="0" borderId="147" xfId="5890" applyFont="1" applyBorder="1" applyProtection="1">
      <alignment vertical="center"/>
      <protection locked="0"/>
    </xf>
    <xf numFmtId="0" fontId="29" fillId="64" borderId="110" xfId="5890" applyFont="1" applyFill="1" applyBorder="1" applyAlignment="1" applyProtection="1">
      <protection locked="0"/>
    </xf>
    <xf numFmtId="0" fontId="30" fillId="64" borderId="108" xfId="5890" applyFont="1" applyFill="1" applyBorder="1" applyAlignment="1" applyProtection="1">
      <protection locked="0"/>
    </xf>
    <xf numFmtId="0" fontId="29" fillId="0" borderId="109" xfId="5890" applyFont="1" applyBorder="1" applyAlignment="1" applyProtection="1">
      <protection locked="0"/>
    </xf>
    <xf numFmtId="0" fontId="30" fillId="0" borderId="0" xfId="5890" applyFont="1" applyAlignment="1" applyProtection="1">
      <alignment horizontal="right"/>
      <protection locked="0"/>
    </xf>
    <xf numFmtId="0" fontId="30" fillId="0" borderId="108" xfId="5890" applyFont="1" applyBorder="1" applyAlignment="1" applyProtection="1">
      <protection locked="0"/>
    </xf>
    <xf numFmtId="0" fontId="29" fillId="64" borderId="109" xfId="5890" applyFont="1" applyFill="1" applyBorder="1" applyAlignment="1" applyProtection="1">
      <protection locked="0"/>
    </xf>
    <xf numFmtId="0" fontId="29" fillId="0" borderId="94" xfId="5890" applyFont="1" applyBorder="1" applyAlignment="1" applyProtection="1">
      <protection locked="0"/>
    </xf>
    <xf numFmtId="0" fontId="30" fillId="0" borderId="94" xfId="5890" applyFont="1" applyBorder="1" applyAlignment="1" applyProtection="1">
      <alignment vertical="center" wrapText="1"/>
      <protection locked="0"/>
    </xf>
    <xf numFmtId="0" fontId="76" fillId="25" borderId="109" xfId="5890" quotePrefix="1" applyFont="1" applyFill="1" applyBorder="1" applyAlignment="1" applyProtection="1">
      <alignment horizontal="center"/>
      <protection locked="0"/>
    </xf>
    <xf numFmtId="0" fontId="75" fillId="25" borderId="109" xfId="5890" quotePrefix="1" applyFont="1" applyFill="1" applyBorder="1" applyAlignment="1" applyProtection="1">
      <alignment horizontal="center"/>
      <protection locked="0"/>
    </xf>
    <xf numFmtId="0" fontId="29" fillId="0" borderId="149" xfId="5890" applyFont="1" applyBorder="1" applyAlignment="1" applyProtection="1">
      <protection locked="0"/>
    </xf>
    <xf numFmtId="0" fontId="30" fillId="0" borderId="148" xfId="5890" applyFont="1" applyBorder="1" applyAlignment="1" applyProtection="1">
      <protection locked="0"/>
    </xf>
    <xf numFmtId="0" fontId="30" fillId="62" borderId="60" xfId="46" applyFont="1" applyFill="1" applyBorder="1" applyProtection="1">
      <alignment vertical="center"/>
      <protection locked="0"/>
    </xf>
    <xf numFmtId="0" fontId="30" fillId="62" borderId="21" xfId="46" applyFont="1" applyFill="1" applyBorder="1" applyProtection="1">
      <alignment vertical="center"/>
      <protection locked="0"/>
    </xf>
    <xf numFmtId="0" fontId="30" fillId="62" borderId="158" xfId="46" applyFont="1" applyFill="1" applyBorder="1" applyProtection="1">
      <alignment vertical="center"/>
      <protection locked="0"/>
    </xf>
    <xf numFmtId="0" fontId="30" fillId="62" borderId="103" xfId="46" applyFont="1" applyFill="1" applyBorder="1" applyProtection="1">
      <alignment vertical="center"/>
      <protection locked="0"/>
    </xf>
    <xf numFmtId="0" fontId="29" fillId="0" borderId="152" xfId="5890" applyFont="1" applyBorder="1" applyAlignment="1" applyProtection="1">
      <protection locked="0"/>
    </xf>
    <xf numFmtId="0" fontId="30" fillId="62" borderId="114" xfId="46" applyFont="1" applyFill="1" applyBorder="1" applyProtection="1">
      <alignment vertical="center"/>
      <protection locked="0"/>
    </xf>
    <xf numFmtId="0" fontId="30" fillId="62" borderId="107" xfId="46" applyFont="1" applyFill="1" applyBorder="1" applyProtection="1">
      <alignment vertical="center"/>
      <protection locked="0"/>
    </xf>
    <xf numFmtId="0" fontId="30" fillId="0" borderId="55" xfId="46" applyFont="1" applyBorder="1" applyProtection="1">
      <alignment vertical="center"/>
      <protection locked="0"/>
    </xf>
    <xf numFmtId="0" fontId="30" fillId="0" borderId="57" xfId="46" applyFont="1" applyBorder="1" applyProtection="1">
      <alignment vertical="center"/>
      <protection locked="0"/>
    </xf>
    <xf numFmtId="0" fontId="76" fillId="88" borderId="109" xfId="5890" quotePrefix="1" applyFont="1" applyFill="1" applyBorder="1" applyAlignment="1" applyProtection="1">
      <alignment horizontal="center"/>
      <protection locked="0"/>
    </xf>
    <xf numFmtId="0" fontId="75" fillId="88" borderId="109" xfId="5890" quotePrefix="1" applyFont="1" applyFill="1" applyBorder="1" applyAlignment="1" applyProtection="1">
      <alignment horizontal="center"/>
      <protection locked="0"/>
    </xf>
    <xf numFmtId="0" fontId="30" fillId="0" borderId="0" xfId="5890" quotePrefix="1" applyFont="1" applyProtection="1">
      <alignment vertical="center"/>
      <protection locked="0"/>
    </xf>
    <xf numFmtId="0" fontId="29" fillId="0" borderId="109" xfId="5890" applyFont="1" applyBorder="1" applyProtection="1">
      <alignment vertical="center"/>
      <protection locked="0"/>
    </xf>
    <xf numFmtId="0" fontId="30" fillId="28" borderId="147" xfId="5890" applyFont="1" applyFill="1" applyBorder="1" applyProtection="1">
      <alignment vertical="center"/>
      <protection locked="0"/>
    </xf>
    <xf numFmtId="0" fontId="30" fillId="0" borderId="0" xfId="5890" applyFont="1" applyAlignment="1" applyProtection="1">
      <alignment vertical="center" wrapText="1"/>
      <protection locked="0"/>
    </xf>
    <xf numFmtId="0" fontId="30" fillId="16" borderId="147" xfId="5890" applyFont="1" applyFill="1" applyBorder="1" applyProtection="1">
      <alignment vertical="center"/>
      <protection locked="0"/>
    </xf>
    <xf numFmtId="0" fontId="30" fillId="89" borderId="147" xfId="5890" applyFont="1" applyFill="1" applyBorder="1" applyProtection="1">
      <alignment vertical="center"/>
      <protection locked="0"/>
    </xf>
    <xf numFmtId="0" fontId="29" fillId="0" borderId="0" xfId="5890" applyFont="1" applyProtection="1">
      <alignment vertical="center"/>
      <protection locked="0"/>
    </xf>
    <xf numFmtId="0" fontId="30" fillId="0" borderId="95" xfId="5890" applyFont="1" applyBorder="1" applyProtection="1">
      <alignment vertical="center"/>
      <protection locked="0"/>
    </xf>
    <xf numFmtId="49" fontId="91" fillId="87" borderId="109" xfId="5890" applyNumberFormat="1" applyFont="1" applyFill="1" applyBorder="1" applyAlignment="1" applyProtection="1">
      <alignment horizontal="center"/>
      <protection locked="0"/>
    </xf>
    <xf numFmtId="0" fontId="30" fillId="0" borderId="109" xfId="5890" applyFont="1" applyBorder="1" applyAlignment="1" applyProtection="1">
      <alignment horizontal="center"/>
      <protection locked="0"/>
    </xf>
    <xf numFmtId="49" fontId="91" fillId="87" borderId="109" xfId="5890" quotePrefix="1" applyNumberFormat="1" applyFont="1" applyFill="1" applyBorder="1" applyAlignment="1" applyProtection="1">
      <alignment horizontal="center"/>
      <protection locked="0"/>
    </xf>
    <xf numFmtId="49" fontId="30" fillId="0" borderId="147" xfId="5890" applyNumberFormat="1" applyFont="1" applyBorder="1" applyAlignment="1" applyProtection="1">
      <alignment horizontal="center"/>
      <protection locked="0"/>
    </xf>
    <xf numFmtId="49" fontId="30" fillId="0" borderId="0" xfId="5890" applyNumberFormat="1" applyFont="1" applyAlignment="1" applyProtection="1">
      <alignment horizontal="center"/>
      <protection locked="0"/>
    </xf>
    <xf numFmtId="0" fontId="30" fillId="0" borderId="152" xfId="5890" applyFont="1" applyBorder="1" applyProtection="1">
      <alignment vertical="center"/>
      <protection locked="0"/>
    </xf>
    <xf numFmtId="0" fontId="30" fillId="0" borderId="77" xfId="5890" applyFont="1" applyBorder="1" applyAlignment="1" applyProtection="1">
      <alignment vertical="center" wrapText="1"/>
      <protection locked="0"/>
    </xf>
    <xf numFmtId="0" fontId="30" fillId="0" borderId="109" xfId="1116" applyFont="1" applyBorder="1" applyAlignment="1" applyProtection="1">
      <alignment horizontal="center" wrapText="1"/>
      <protection locked="0"/>
    </xf>
    <xf numFmtId="0" fontId="80" fillId="0" borderId="109" xfId="5890" applyFont="1" applyBorder="1" applyAlignment="1" applyProtection="1">
      <alignment horizontal="center"/>
      <protection locked="0"/>
    </xf>
    <xf numFmtId="0" fontId="80" fillId="0" borderId="109" xfId="5890" applyFont="1" applyBorder="1" applyAlignment="1" applyProtection="1">
      <protection locked="0"/>
    </xf>
    <xf numFmtId="0" fontId="30" fillId="0" borderId="77" xfId="5890" applyFont="1" applyBorder="1" applyAlignment="1" applyProtection="1">
      <protection locked="0"/>
    </xf>
    <xf numFmtId="0" fontId="30" fillId="0" borderId="77" xfId="5892" applyFont="1" applyBorder="1" applyAlignment="1" applyProtection="1">
      <alignment vertical="center" wrapText="1"/>
      <protection locked="0"/>
    </xf>
    <xf numFmtId="0" fontId="30" fillId="0" borderId="109" xfId="5892" applyFont="1" applyBorder="1" applyAlignment="1" applyProtection="1">
      <alignment vertical="center" wrapText="1"/>
      <protection locked="0"/>
    </xf>
    <xf numFmtId="0" fontId="88" fillId="0" borderId="77" xfId="5894" applyFont="1" applyBorder="1" applyAlignment="1" applyProtection="1">
      <alignment vertical="center" wrapText="1"/>
      <protection locked="0"/>
    </xf>
    <xf numFmtId="0" fontId="30" fillId="0" borderId="147" xfId="5894" applyFont="1" applyBorder="1" applyAlignment="1" applyProtection="1">
      <alignment vertical="center" wrapText="1"/>
      <protection locked="0"/>
    </xf>
    <xf numFmtId="0" fontId="32" fillId="0" borderId="0" xfId="5894" applyFont="1" applyAlignment="1" applyProtection="1">
      <alignment vertical="center" wrapText="1"/>
      <protection locked="0"/>
    </xf>
    <xf numFmtId="0" fontId="30" fillId="0" borderId="109" xfId="1116" applyFont="1" applyBorder="1" applyAlignment="1" applyProtection="1">
      <alignment horizontal="center"/>
      <protection locked="0"/>
    </xf>
    <xf numFmtId="0" fontId="80" fillId="0" borderId="109" xfId="1116" applyFont="1" applyBorder="1" applyAlignment="1" applyProtection="1">
      <alignment horizontal="center"/>
      <protection locked="0"/>
    </xf>
    <xf numFmtId="0" fontId="30" fillId="0" borderId="99" xfId="5895" applyFont="1" applyBorder="1" applyAlignment="1" applyProtection="1">
      <alignment horizontal="center" vertical="center" wrapText="1"/>
      <protection locked="0"/>
    </xf>
    <xf numFmtId="0" fontId="92" fillId="5" borderId="147" xfId="5894" applyFont="1" applyFill="1" applyBorder="1" applyAlignment="1" applyProtection="1">
      <alignment horizontal="center" vertical="center" wrapText="1"/>
      <protection locked="0"/>
    </xf>
    <xf numFmtId="0" fontId="92" fillId="4" borderId="147" xfId="5894" applyFont="1" applyFill="1" applyBorder="1" applyAlignment="1" applyProtection="1">
      <alignment horizontal="center" vertical="center" wrapText="1"/>
      <protection locked="0"/>
    </xf>
    <xf numFmtId="0" fontId="33" fillId="12" borderId="147" xfId="5890" applyFont="1" applyFill="1" applyBorder="1" applyAlignment="1" applyProtection="1">
      <alignment horizontal="center" vertical="center" wrapText="1"/>
      <protection locked="0"/>
    </xf>
    <xf numFmtId="0" fontId="30" fillId="0" borderId="59" xfId="5895" applyFont="1" applyBorder="1" applyAlignment="1" applyProtection="1">
      <alignment horizontal="center" vertical="center" wrapText="1"/>
      <protection locked="0"/>
    </xf>
    <xf numFmtId="0" fontId="30" fillId="2" borderId="109" xfId="5892" applyFont="1" applyFill="1" applyBorder="1" applyAlignment="1" applyProtection="1">
      <alignment horizontal="center" vertical="center" wrapText="1"/>
      <protection locked="0"/>
    </xf>
    <xf numFmtId="0" fontId="30" fillId="3" borderId="109" xfId="5892" applyFont="1" applyFill="1" applyBorder="1" applyAlignment="1" applyProtection="1">
      <alignment horizontal="center" vertical="center" wrapText="1"/>
      <protection locked="0"/>
    </xf>
    <xf numFmtId="0" fontId="91" fillId="4" borderId="109" xfId="5892" applyFont="1" applyFill="1" applyBorder="1" applyAlignment="1" applyProtection="1">
      <alignment horizontal="center" vertical="center" wrapText="1"/>
      <protection locked="0"/>
    </xf>
    <xf numFmtId="0" fontId="91" fillId="5" borderId="109" xfId="5892" applyFont="1" applyFill="1" applyBorder="1" applyAlignment="1" applyProtection="1">
      <alignment horizontal="center" vertical="center" wrapText="1"/>
      <protection locked="0"/>
    </xf>
    <xf numFmtId="0" fontId="30" fillId="6" borderId="109" xfId="5892" applyFont="1" applyFill="1" applyBorder="1" applyAlignment="1" applyProtection="1">
      <alignment horizontal="center" vertical="center" wrapText="1"/>
      <protection locked="0"/>
    </xf>
    <xf numFmtId="0" fontId="93" fillId="0" borderId="59" xfId="5894" applyFont="1" applyBorder="1" applyAlignment="1" applyProtection="1">
      <alignment vertical="center" wrapText="1"/>
      <protection locked="0"/>
    </xf>
    <xf numFmtId="0" fontId="30" fillId="2" borderId="147" xfId="5892" applyFont="1" applyFill="1" applyBorder="1" applyAlignment="1" applyProtection="1">
      <alignment horizontal="center" vertical="center" wrapText="1"/>
      <protection locked="0"/>
    </xf>
    <xf numFmtId="0" fontId="30" fillId="3" borderId="147" xfId="5892" applyFont="1" applyFill="1" applyBorder="1" applyAlignment="1" applyProtection="1">
      <alignment horizontal="center" vertical="center" wrapText="1"/>
      <protection locked="0"/>
    </xf>
    <xf numFmtId="0" fontId="91" fillId="4" borderId="147" xfId="5892" applyFont="1" applyFill="1" applyBorder="1" applyAlignment="1" applyProtection="1">
      <alignment horizontal="center" vertical="center" wrapText="1"/>
      <protection locked="0"/>
    </xf>
    <xf numFmtId="0" fontId="91" fillId="5" borderId="147" xfId="5892" applyFont="1" applyFill="1" applyBorder="1" applyAlignment="1" applyProtection="1">
      <alignment horizontal="center" vertical="center" wrapText="1"/>
      <protection locked="0"/>
    </xf>
    <xf numFmtId="0" fontId="30" fillId="6" borderId="147" xfId="5892" applyFont="1" applyFill="1" applyBorder="1" applyAlignment="1" applyProtection="1">
      <alignment horizontal="center" vertical="center" wrapText="1"/>
      <protection locked="0"/>
    </xf>
    <xf numFmtId="0" fontId="31" fillId="0" borderId="59" xfId="5894" applyFont="1" applyBorder="1" applyAlignment="1" applyProtection="1">
      <alignment vertical="center" wrapText="1"/>
      <protection locked="0"/>
    </xf>
    <xf numFmtId="0" fontId="73" fillId="0" borderId="0" xfId="5892" applyFont="1" applyAlignment="1" applyProtection="1">
      <alignment horizontal="center" vertical="center" wrapText="1"/>
      <protection locked="0"/>
    </xf>
    <xf numFmtId="0" fontId="91" fillId="26" borderId="109" xfId="5894" applyFont="1" applyFill="1" applyBorder="1" applyAlignment="1" applyProtection="1">
      <alignment horizontal="center" vertical="center" wrapText="1"/>
      <protection locked="0"/>
    </xf>
    <xf numFmtId="0" fontId="30" fillId="8" borderId="109" xfId="5894" applyFont="1" applyFill="1" applyBorder="1" applyAlignment="1" applyProtection="1">
      <alignment horizontal="center" vertical="center" wrapText="1"/>
      <protection locked="0"/>
    </xf>
    <xf numFmtId="0" fontId="91" fillId="27" borderId="109" xfId="5894" applyFont="1" applyFill="1" applyBorder="1" applyAlignment="1" applyProtection="1">
      <alignment horizontal="center" vertical="center" wrapText="1"/>
      <protection locked="0"/>
    </xf>
    <xf numFmtId="0" fontId="30" fillId="0" borderId="59" xfId="5890" applyFont="1" applyBorder="1" applyAlignment="1" applyProtection="1">
      <alignment horizontal="center" vertical="center"/>
      <protection locked="0"/>
    </xf>
    <xf numFmtId="0" fontId="29" fillId="0" borderId="0" xfId="5890" applyFont="1" applyAlignment="1" applyProtection="1">
      <alignment horizontal="center"/>
      <protection locked="0"/>
    </xf>
    <xf numFmtId="0" fontId="29" fillId="0" borderId="55" xfId="5890" quotePrefix="1" applyFont="1" applyBorder="1" applyAlignment="1" applyProtection="1">
      <protection locked="0"/>
    </xf>
    <xf numFmtId="0" fontId="29" fillId="0" borderId="56" xfId="5890" quotePrefix="1" applyFont="1" applyBorder="1" applyAlignment="1" applyProtection="1">
      <protection locked="0"/>
    </xf>
    <xf numFmtId="0" fontId="29" fillId="0" borderId="57" xfId="5890" quotePrefix="1" applyFont="1" applyBorder="1" applyAlignment="1" applyProtection="1">
      <protection locked="0"/>
    </xf>
    <xf numFmtId="0" fontId="30" fillId="0" borderId="0" xfId="5890" quotePrefix="1" applyFont="1" applyAlignment="1" applyProtection="1">
      <protection locked="0"/>
    </xf>
    <xf numFmtId="0" fontId="29" fillId="0" borderId="109" xfId="5890" applyFont="1" applyBorder="1" applyAlignment="1" applyProtection="1">
      <alignment horizontal="center" vertical="center" wrapText="1"/>
      <protection locked="0"/>
    </xf>
    <xf numFmtId="10" fontId="29" fillId="0" borderId="109" xfId="5890" applyNumberFormat="1" applyFont="1" applyBorder="1" applyAlignment="1" applyProtection="1">
      <protection locked="0"/>
    </xf>
    <xf numFmtId="0" fontId="53" fillId="0" borderId="76" xfId="5894" applyFont="1" applyBorder="1" applyAlignment="1" applyProtection="1">
      <alignment vertical="center" wrapText="1"/>
      <protection locked="0"/>
    </xf>
    <xf numFmtId="0" fontId="29" fillId="0" borderId="147" xfId="5894" applyFont="1" applyBorder="1" applyAlignment="1" applyProtection="1">
      <alignment horizontal="center" vertical="center" wrapText="1"/>
      <protection locked="0"/>
    </xf>
    <xf numFmtId="0" fontId="31" fillId="0" borderId="76" xfId="5894" applyFont="1" applyBorder="1" applyAlignment="1" applyProtection="1">
      <alignment vertical="center" wrapText="1"/>
      <protection locked="0"/>
    </xf>
    <xf numFmtId="0" fontId="32" fillId="0" borderId="0" xfId="5894" applyFont="1" applyAlignment="1" applyProtection="1">
      <alignment horizontal="center" vertical="center" wrapText="1"/>
      <protection locked="0"/>
    </xf>
    <xf numFmtId="0" fontId="29" fillId="0" borderId="76" xfId="5890" applyFont="1" applyBorder="1" applyAlignment="1" applyProtection="1">
      <alignment vertical="center" wrapText="1"/>
      <protection locked="0"/>
    </xf>
    <xf numFmtId="0" fontId="29" fillId="0" borderId="148" xfId="5890" applyFont="1" applyBorder="1" applyAlignment="1" applyProtection="1">
      <alignment horizontal="center" vertical="center" wrapText="1"/>
      <protection locked="0"/>
    </xf>
    <xf numFmtId="0" fontId="29" fillId="0" borderId="149" xfId="5890" applyFont="1" applyBorder="1" applyAlignment="1" applyProtection="1">
      <alignment horizontal="center" vertical="center" wrapText="1"/>
      <protection locked="0"/>
    </xf>
    <xf numFmtId="0" fontId="29" fillId="0" borderId="147" xfId="5890" applyFont="1" applyBorder="1" applyAlignment="1" applyProtection="1">
      <alignment horizontal="center" vertical="center" wrapText="1"/>
      <protection locked="0"/>
    </xf>
    <xf numFmtId="0" fontId="30" fillId="16" borderId="60" xfId="5890" applyFont="1" applyFill="1" applyBorder="1" applyProtection="1">
      <alignment vertical="center"/>
      <protection locked="0"/>
    </xf>
    <xf numFmtId="0" fontId="30" fillId="90" borderId="43" xfId="5890" applyFont="1" applyFill="1" applyBorder="1" applyAlignment="1" applyProtection="1">
      <protection locked="0"/>
    </xf>
    <xf numFmtId="0" fontId="30" fillId="90" borderId="43" xfId="5890" applyFont="1" applyFill="1" applyBorder="1" applyProtection="1">
      <alignment vertical="center"/>
      <protection locked="0"/>
    </xf>
    <xf numFmtId="0" fontId="30" fillId="90" borderId="21" xfId="5890" applyFont="1" applyFill="1" applyBorder="1" applyAlignment="1" applyProtection="1">
      <protection locked="0"/>
    </xf>
    <xf numFmtId="0" fontId="30" fillId="0" borderId="109" xfId="5890" applyFont="1" applyBorder="1" applyAlignment="1" applyProtection="1">
      <alignment wrapText="1"/>
      <protection locked="0"/>
    </xf>
    <xf numFmtId="10" fontId="30" fillId="0" borderId="109" xfId="5890" applyNumberFormat="1" applyFont="1" applyBorder="1" applyAlignment="1" applyProtection="1">
      <protection locked="0"/>
    </xf>
    <xf numFmtId="0" fontId="30" fillId="63" borderId="109" xfId="5890" applyFont="1" applyFill="1" applyBorder="1" applyAlignment="1" applyProtection="1">
      <protection locked="0"/>
    </xf>
    <xf numFmtId="0" fontId="30" fillId="0" borderId="76" xfId="5890" applyFont="1" applyBorder="1" applyAlignment="1" applyProtection="1">
      <alignment horizontal="right" vertical="center" wrapText="1"/>
      <protection locked="0"/>
    </xf>
    <xf numFmtId="11" fontId="30" fillId="0" borderId="109" xfId="5892" applyNumberFormat="1" applyFont="1" applyBorder="1" applyProtection="1">
      <alignment vertical="center"/>
      <protection locked="0"/>
    </xf>
    <xf numFmtId="11" fontId="30" fillId="0" borderId="109" xfId="5890" applyNumberFormat="1" applyFont="1" applyBorder="1" applyProtection="1">
      <alignment vertical="center"/>
      <protection locked="0"/>
    </xf>
    <xf numFmtId="0" fontId="30" fillId="0" borderId="76" xfId="5895" applyFont="1" applyBorder="1" applyAlignment="1" applyProtection="1">
      <alignment horizontal="right" vertical="center" wrapText="1"/>
      <protection locked="0"/>
    </xf>
    <xf numFmtId="179" fontId="30" fillId="0" borderId="147" xfId="5895" applyNumberFormat="1" applyFont="1" applyBorder="1" applyAlignment="1" applyProtection="1">
      <alignment horizontal="right" vertical="center" wrapText="1"/>
      <protection locked="0"/>
    </xf>
    <xf numFmtId="0" fontId="30" fillId="0" borderId="76" xfId="5895" applyFont="1" applyBorder="1" applyAlignment="1" applyProtection="1">
      <alignment vertical="center" wrapText="1"/>
      <protection locked="0"/>
    </xf>
    <xf numFmtId="10" fontId="30" fillId="0" borderId="147" xfId="5895" applyNumberFormat="1" applyFont="1" applyBorder="1" applyAlignment="1" applyProtection="1">
      <alignment horizontal="right" vertical="center" wrapText="1"/>
      <protection locked="0"/>
    </xf>
    <xf numFmtId="10" fontId="33" fillId="0" borderId="0" xfId="5895" applyNumberFormat="1" applyFont="1" applyAlignment="1" applyProtection="1">
      <alignment horizontal="right" vertical="center" wrapText="1"/>
      <protection locked="0"/>
    </xf>
    <xf numFmtId="0" fontId="30" fillId="0" borderId="109" xfId="5890" applyFont="1" applyBorder="1" applyAlignment="1" applyProtection="1">
      <alignment horizontal="right" vertical="center" wrapText="1"/>
      <protection locked="0"/>
    </xf>
    <xf numFmtId="10" fontId="30" fillId="0" borderId="109" xfId="5890" applyNumberFormat="1" applyFont="1" applyBorder="1" applyAlignment="1" applyProtection="1">
      <alignment horizontal="right" vertical="center" wrapText="1"/>
      <protection locked="0"/>
    </xf>
    <xf numFmtId="0" fontId="30" fillId="16" borderId="158" xfId="5890" applyFont="1" applyFill="1" applyBorder="1" applyProtection="1">
      <alignment vertical="center"/>
      <protection locked="0"/>
    </xf>
    <xf numFmtId="0" fontId="30" fillId="90" borderId="109" xfId="5890" applyFont="1" applyFill="1" applyBorder="1" applyProtection="1">
      <alignment vertical="center"/>
      <protection locked="0"/>
    </xf>
    <xf numFmtId="0" fontId="30" fillId="90" borderId="103" xfId="5890" applyFont="1" applyFill="1" applyBorder="1" applyProtection="1">
      <alignment vertical="center"/>
      <protection locked="0"/>
    </xf>
    <xf numFmtId="0" fontId="30" fillId="63" borderId="109" xfId="5890" applyFont="1" applyFill="1" applyBorder="1" applyProtection="1">
      <alignment vertical="center"/>
      <protection locked="0"/>
    </xf>
    <xf numFmtId="178" fontId="30" fillId="63" borderId="109" xfId="5890" applyNumberFormat="1" applyFont="1" applyFill="1" applyBorder="1" applyProtection="1">
      <alignment vertical="center"/>
      <protection locked="0"/>
    </xf>
    <xf numFmtId="0" fontId="30" fillId="63" borderId="109" xfId="5892" applyFont="1" applyFill="1" applyBorder="1" applyProtection="1">
      <alignment vertical="center"/>
      <protection locked="0"/>
    </xf>
    <xf numFmtId="0" fontId="30" fillId="63" borderId="109" xfId="5892" applyFont="1" applyFill="1" applyBorder="1" applyAlignment="1" applyProtection="1">
      <alignment horizontal="right" vertical="center" wrapText="1"/>
      <protection locked="0"/>
    </xf>
    <xf numFmtId="0" fontId="30" fillId="0" borderId="153" xfId="5890" applyFont="1" applyBorder="1" applyAlignment="1" applyProtection="1">
      <protection locked="0"/>
    </xf>
    <xf numFmtId="0" fontId="30" fillId="0" borderId="152" xfId="5890" applyFont="1" applyBorder="1" applyAlignment="1" applyProtection="1">
      <protection locked="0"/>
    </xf>
    <xf numFmtId="0" fontId="30" fillId="0" borderId="99" xfId="5890" applyFont="1" applyBorder="1" applyProtection="1">
      <alignment vertical="center"/>
      <protection locked="0"/>
    </xf>
    <xf numFmtId="0" fontId="30" fillId="0" borderId="58" xfId="5890" applyFont="1" applyBorder="1" applyProtection="1">
      <alignment vertical="center"/>
      <protection locked="0"/>
    </xf>
    <xf numFmtId="0" fontId="30" fillId="0" borderId="99" xfId="5890" applyFont="1" applyBorder="1" applyAlignment="1" applyProtection="1">
      <protection locked="0"/>
    </xf>
    <xf numFmtId="0" fontId="30" fillId="0" borderId="58" xfId="5890" applyFont="1" applyBorder="1" applyAlignment="1" applyProtection="1">
      <protection locked="0"/>
    </xf>
    <xf numFmtId="0" fontId="80" fillId="13" borderId="111" xfId="5894" applyFont="1" applyFill="1" applyBorder="1" applyAlignment="1" applyProtection="1">
      <alignment horizontal="center" vertical="center" wrapText="1"/>
      <protection locked="0"/>
    </xf>
    <xf numFmtId="0" fontId="30" fillId="7" borderId="123" xfId="5894" applyFont="1" applyFill="1" applyBorder="1" applyAlignment="1" applyProtection="1">
      <alignment horizontal="center" vertical="center" wrapText="1"/>
      <protection locked="0"/>
    </xf>
    <xf numFmtId="0" fontId="30" fillId="8" borderId="105" xfId="5894" applyFont="1" applyFill="1" applyBorder="1" applyAlignment="1" applyProtection="1">
      <alignment horizontal="center" vertical="center" wrapText="1"/>
      <protection locked="0"/>
    </xf>
    <xf numFmtId="0" fontId="30" fillId="11" borderId="105" xfId="5894" applyFont="1" applyFill="1" applyBorder="1" applyAlignment="1" applyProtection="1">
      <alignment horizontal="center" vertical="center" wrapText="1"/>
      <protection locked="0"/>
    </xf>
    <xf numFmtId="0" fontId="91" fillId="15" borderId="94" xfId="5894" applyFont="1" applyFill="1" applyBorder="1" applyAlignment="1" applyProtection="1">
      <alignment horizontal="center" vertical="center" wrapText="1"/>
      <protection locked="0"/>
    </xf>
    <xf numFmtId="0" fontId="30" fillId="9" borderId="14" xfId="5894" applyFont="1" applyFill="1" applyBorder="1" applyAlignment="1" applyProtection="1">
      <alignment horizontal="center" vertical="center" wrapText="1"/>
      <protection locked="0"/>
    </xf>
    <xf numFmtId="0" fontId="30" fillId="10" borderId="14" xfId="5894" applyFont="1" applyFill="1" applyBorder="1" applyAlignment="1" applyProtection="1">
      <alignment horizontal="center" vertical="center" wrapText="1"/>
      <protection locked="0"/>
    </xf>
    <xf numFmtId="0" fontId="91" fillId="21" borderId="94" xfId="5894" applyFont="1" applyFill="1" applyBorder="1" applyAlignment="1" applyProtection="1">
      <alignment horizontal="center" vertical="center" wrapText="1"/>
      <protection locked="0"/>
    </xf>
    <xf numFmtId="0" fontId="30" fillId="13" borderId="94" xfId="5894" applyFont="1" applyFill="1" applyBorder="1" applyAlignment="1" applyProtection="1">
      <alignment horizontal="center" vertical="center" wrapText="1"/>
      <protection locked="0"/>
    </xf>
    <xf numFmtId="0" fontId="91" fillId="14" borderId="94" xfId="5894" applyFont="1" applyFill="1" applyBorder="1" applyAlignment="1" applyProtection="1">
      <alignment horizontal="center" vertical="center" wrapText="1"/>
      <protection locked="0"/>
    </xf>
    <xf numFmtId="0" fontId="30" fillId="16" borderId="94" xfId="5894" applyFont="1" applyFill="1" applyBorder="1" applyAlignment="1" applyProtection="1">
      <alignment horizontal="center" vertical="center" wrapText="1"/>
      <protection locked="0"/>
    </xf>
    <xf numFmtId="0" fontId="30" fillId="17" borderId="94" xfId="5894" applyFont="1" applyFill="1" applyBorder="1" applyAlignment="1" applyProtection="1">
      <alignment horizontal="center" vertical="center" wrapText="1"/>
      <protection locked="0"/>
    </xf>
    <xf numFmtId="0" fontId="30" fillId="7" borderId="94" xfId="5894" applyFont="1" applyFill="1" applyBorder="1" applyAlignment="1" applyProtection="1">
      <alignment horizontal="center" vertical="center" wrapText="1"/>
      <protection locked="0"/>
    </xf>
    <xf numFmtId="0" fontId="30" fillId="18" borderId="94" xfId="5894" applyFont="1" applyFill="1" applyBorder="1" applyAlignment="1" applyProtection="1">
      <alignment horizontal="center" vertical="center" wrapText="1"/>
      <protection locked="0"/>
    </xf>
    <xf numFmtId="0" fontId="91" fillId="19" borderId="94" xfId="5894" applyFont="1" applyFill="1" applyBorder="1" applyAlignment="1" applyProtection="1">
      <alignment horizontal="center" vertical="center" wrapText="1"/>
      <protection locked="0"/>
    </xf>
    <xf numFmtId="0" fontId="30" fillId="8" borderId="94" xfId="5894" applyFont="1" applyFill="1" applyBorder="1" applyAlignment="1" applyProtection="1">
      <alignment horizontal="center" vertical="center" wrapText="1"/>
      <protection locked="0"/>
    </xf>
    <xf numFmtId="0" fontId="91" fillId="20" borderId="94" xfId="5894" applyFont="1" applyFill="1" applyBorder="1" applyAlignment="1" applyProtection="1">
      <alignment horizontal="center" vertical="center" wrapText="1"/>
      <protection locked="0"/>
    </xf>
    <xf numFmtId="0" fontId="30" fillId="11" borderId="94" xfId="5894" applyFont="1" applyFill="1" applyBorder="1" applyAlignment="1" applyProtection="1">
      <alignment horizontal="center" vertical="center" wrapText="1"/>
      <protection locked="0"/>
    </xf>
    <xf numFmtId="0" fontId="30" fillId="10" borderId="94" xfId="5894" applyFont="1" applyFill="1" applyBorder="1" applyAlignment="1" applyProtection="1">
      <alignment horizontal="center" vertical="center" wrapText="1"/>
      <protection locked="0"/>
    </xf>
    <xf numFmtId="0" fontId="91" fillId="22" borderId="94" xfId="5894" applyFont="1" applyFill="1" applyBorder="1" applyAlignment="1" applyProtection="1">
      <alignment horizontal="center" vertical="center" wrapText="1"/>
      <protection locked="0"/>
    </xf>
    <xf numFmtId="0" fontId="30" fillId="23" borderId="94" xfId="5894" applyFont="1" applyFill="1" applyBorder="1" applyAlignment="1" applyProtection="1">
      <alignment horizontal="center" vertical="center" wrapText="1"/>
      <protection locked="0"/>
    </xf>
    <xf numFmtId="0" fontId="30" fillId="12" borderId="94" xfId="5894" applyFont="1" applyFill="1" applyBorder="1" applyAlignment="1" applyProtection="1">
      <alignment horizontal="center" vertical="center" wrapText="1"/>
      <protection locked="0"/>
    </xf>
    <xf numFmtId="0" fontId="30" fillId="0" borderId="147" xfId="5895" applyFont="1" applyBorder="1" applyProtection="1">
      <alignment vertical="center"/>
      <protection locked="0"/>
    </xf>
    <xf numFmtId="0" fontId="29" fillId="0" borderId="109" xfId="5895" applyFont="1" applyBorder="1" applyProtection="1">
      <alignment vertical="center"/>
      <protection locked="0"/>
    </xf>
    <xf numFmtId="0" fontId="29" fillId="0" borderId="147" xfId="5895" applyFont="1" applyBorder="1" applyAlignment="1" applyProtection="1">
      <alignment horizontal="right" vertical="center" wrapText="1"/>
      <protection locked="0"/>
    </xf>
    <xf numFmtId="0" fontId="30" fillId="63" borderId="109" xfId="5895" applyFont="1" applyFill="1" applyBorder="1" applyAlignment="1" applyProtection="1">
      <alignment horizontal="right" vertical="center" wrapText="1"/>
      <protection locked="0"/>
    </xf>
    <xf numFmtId="11" fontId="30" fillId="63" borderId="109" xfId="5890" applyNumberFormat="1" applyFont="1" applyFill="1" applyBorder="1" applyAlignment="1" applyProtection="1">
      <alignment horizontal="right" vertical="center" wrapText="1"/>
      <protection locked="0"/>
    </xf>
    <xf numFmtId="0" fontId="30" fillId="63" borderId="109" xfId="5895" applyFont="1" applyFill="1" applyBorder="1" applyAlignment="1" applyProtection="1">
      <alignment vertical="center" wrapText="1"/>
      <protection locked="0"/>
    </xf>
    <xf numFmtId="11" fontId="30" fillId="63" borderId="147" xfId="5890" applyNumberFormat="1" applyFont="1" applyFill="1" applyBorder="1" applyAlignment="1" applyProtection="1">
      <alignment horizontal="right" vertical="center" wrapText="1"/>
      <protection locked="0"/>
    </xf>
    <xf numFmtId="0" fontId="30" fillId="0" borderId="109" xfId="5895" applyFont="1" applyBorder="1" applyAlignment="1" applyProtection="1">
      <alignment horizontal="right" vertical="center" wrapText="1"/>
      <protection locked="0"/>
    </xf>
    <xf numFmtId="11" fontId="30" fillId="0" borderId="109" xfId="5890" applyNumberFormat="1" applyFont="1" applyBorder="1" applyAlignment="1" applyProtection="1">
      <alignment horizontal="right" vertical="center" wrapText="1"/>
      <protection locked="0"/>
    </xf>
    <xf numFmtId="183" fontId="30" fillId="0" borderId="0" xfId="5890" applyNumberFormat="1" applyFont="1" applyProtection="1">
      <alignment vertical="center"/>
      <protection locked="0"/>
    </xf>
    <xf numFmtId="11" fontId="30" fillId="0" borderId="0" xfId="5890" applyNumberFormat="1" applyFont="1" applyProtection="1">
      <alignment vertical="center"/>
      <protection locked="0"/>
    </xf>
    <xf numFmtId="0" fontId="30" fillId="16" borderId="160" xfId="5890" applyFont="1" applyFill="1" applyBorder="1" applyProtection="1">
      <alignment vertical="center"/>
      <protection locked="0"/>
    </xf>
    <xf numFmtId="0" fontId="30" fillId="90" borderId="162" xfId="5890" applyFont="1" applyFill="1" applyBorder="1" applyProtection="1">
      <alignment vertical="center"/>
      <protection locked="0"/>
    </xf>
    <xf numFmtId="0" fontId="30" fillId="90" borderId="161" xfId="5890" applyFont="1" applyFill="1" applyBorder="1" applyProtection="1">
      <alignment vertical="center"/>
      <protection locked="0"/>
    </xf>
    <xf numFmtId="0" fontId="83" fillId="0" borderId="0" xfId="5894" applyFont="1" applyAlignment="1" applyProtection="1">
      <alignment horizontal="center" vertical="center" wrapText="1"/>
      <protection locked="0"/>
    </xf>
    <xf numFmtId="10" fontId="30" fillId="0" borderId="0" xfId="5890" applyNumberFormat="1" applyFont="1" applyAlignment="1" applyProtection="1">
      <protection locked="0"/>
    </xf>
    <xf numFmtId="0" fontId="80" fillId="0" borderId="0" xfId="5890" applyFont="1" applyAlignment="1" applyProtection="1">
      <protection locked="0"/>
    </xf>
    <xf numFmtId="0" fontId="29" fillId="0" borderId="110" xfId="5895" applyFont="1" applyBorder="1" applyAlignment="1" applyProtection="1">
      <alignment horizontal="center" vertical="center" wrapText="1"/>
      <protection hidden="1"/>
    </xf>
    <xf numFmtId="0" fontId="33" fillId="0" borderId="109" xfId="5895" applyFont="1" applyBorder="1" applyAlignment="1" applyProtection="1">
      <alignment horizontal="right" vertical="center" wrapText="1"/>
      <protection hidden="1"/>
    </xf>
    <xf numFmtId="0" fontId="30" fillId="0" borderId="109" xfId="5890" applyFont="1" applyBorder="1" applyAlignment="1" applyProtection="1">
      <alignment horizontal="right" vertical="center"/>
      <protection hidden="1"/>
    </xf>
    <xf numFmtId="0" fontId="29" fillId="0" borderId="221" xfId="5890" applyFont="1" applyBorder="1" applyAlignment="1" applyProtection="1">
      <alignment horizontal="center" vertical="center" wrapText="1"/>
      <protection hidden="1"/>
    </xf>
    <xf numFmtId="0" fontId="75" fillId="0" borderId="19" xfId="5891" applyFont="1" applyBorder="1" applyAlignment="1" applyProtection="1">
      <alignment horizontal="center" vertical="center" wrapText="1"/>
      <protection hidden="1"/>
    </xf>
    <xf numFmtId="0" fontId="80" fillId="0" borderId="0" xfId="1087" applyFont="1" applyAlignment="1">
      <alignment vertical="center" wrapText="1"/>
    </xf>
    <xf numFmtId="0" fontId="80" fillId="0" borderId="0" xfId="1087" applyFont="1">
      <alignment vertical="center"/>
    </xf>
    <xf numFmtId="0" fontId="30" fillId="28" borderId="147" xfId="0" applyFont="1" applyFill="1" applyBorder="1" applyProtection="1">
      <protection locked="0"/>
    </xf>
    <xf numFmtId="0" fontId="30" fillId="0" borderId="109" xfId="5890" applyFont="1" applyBorder="1" applyAlignment="1">
      <alignment horizontal="right"/>
    </xf>
    <xf numFmtId="0" fontId="33" fillId="0" borderId="0" xfId="42" applyFont="1" applyAlignment="1">
      <alignment horizontal="right" vertical="center"/>
    </xf>
    <xf numFmtId="0" fontId="34" fillId="0" borderId="0" xfId="46" applyFont="1" applyAlignment="1">
      <alignment horizontal="center" vertical="center" wrapText="1"/>
    </xf>
    <xf numFmtId="0" fontId="88" fillId="0" borderId="0" xfId="46" applyFont="1" applyAlignment="1">
      <alignment vertical="center" wrapText="1"/>
    </xf>
    <xf numFmtId="0" fontId="32" fillId="0" borderId="0" xfId="46" applyFont="1" applyAlignment="1">
      <alignment vertical="center" wrapText="1"/>
    </xf>
    <xf numFmtId="0" fontId="31" fillId="0" borderId="27" xfId="46" applyFont="1" applyBorder="1" applyAlignment="1" applyProtection="1">
      <alignment horizontal="center" vertical="center" wrapText="1"/>
      <protection locked="0"/>
    </xf>
    <xf numFmtId="0" fontId="80" fillId="0" borderId="147" xfId="5890" applyFont="1" applyBorder="1" applyProtection="1">
      <alignment vertical="center"/>
      <protection locked="0"/>
    </xf>
    <xf numFmtId="0" fontId="80" fillId="0" borderId="109" xfId="5890" applyFont="1" applyBorder="1" applyProtection="1">
      <alignment vertical="center"/>
      <protection locked="0"/>
    </xf>
    <xf numFmtId="0" fontId="80" fillId="0" borderId="0" xfId="5890" applyFont="1" applyProtection="1">
      <alignment vertical="center"/>
      <protection locked="0"/>
    </xf>
    <xf numFmtId="0" fontId="96" fillId="0" borderId="160" xfId="1" applyFont="1" applyBorder="1" applyAlignment="1">
      <alignment horizontal="center" vertical="center" wrapText="1"/>
    </xf>
    <xf numFmtId="0" fontId="96" fillId="0" borderId="161" xfId="1" applyFont="1" applyBorder="1" applyAlignment="1">
      <alignment horizontal="center" vertical="center" wrapText="1"/>
    </xf>
    <xf numFmtId="11" fontId="33" fillId="0" borderId="190" xfId="42" applyNumberFormat="1" applyFont="1" applyBorder="1" applyAlignment="1">
      <alignment horizontal="right" vertical="center" wrapText="1"/>
    </xf>
    <xf numFmtId="11" fontId="33" fillId="0" borderId="191" xfId="42" applyNumberFormat="1" applyFont="1" applyBorder="1" applyAlignment="1">
      <alignment horizontal="right" vertical="center" wrapText="1"/>
    </xf>
    <xf numFmtId="11" fontId="33" fillId="0" borderId="228" xfId="42" applyNumberFormat="1" applyFont="1" applyBorder="1" applyAlignment="1">
      <alignment horizontal="right" vertical="center" wrapText="1"/>
    </xf>
    <xf numFmtId="11" fontId="33" fillId="0" borderId="223" xfId="42" applyNumberFormat="1" applyFont="1" applyBorder="1" applyAlignment="1">
      <alignment horizontal="right" vertical="center" wrapText="1"/>
    </xf>
    <xf numFmtId="11" fontId="33" fillId="0" borderId="221" xfId="42" applyNumberFormat="1" applyFont="1" applyBorder="1" applyAlignment="1">
      <alignment horizontal="right" vertical="center" wrapText="1"/>
    </xf>
    <xf numFmtId="11" fontId="33" fillId="0" borderId="222" xfId="42" applyNumberFormat="1" applyFont="1" applyBorder="1" applyAlignment="1">
      <alignment horizontal="right" vertical="center" wrapText="1"/>
    </xf>
    <xf numFmtId="11" fontId="33" fillId="0" borderId="205" xfId="42" applyNumberFormat="1" applyFont="1" applyBorder="1" applyAlignment="1">
      <alignment horizontal="right" vertical="center" wrapText="1"/>
    </xf>
    <xf numFmtId="11" fontId="33" fillId="0" borderId="157" xfId="42" applyNumberFormat="1" applyFont="1" applyBorder="1" applyAlignment="1">
      <alignment horizontal="right" vertical="center" wrapText="1"/>
    </xf>
    <xf numFmtId="11" fontId="33" fillId="0" borderId="224" xfId="42" applyNumberFormat="1" applyFont="1" applyBorder="1" applyAlignment="1">
      <alignment horizontal="right" vertical="center" wrapText="1"/>
    </xf>
    <xf numFmtId="11" fontId="33" fillId="0" borderId="229" xfId="42" applyNumberFormat="1" applyFont="1" applyBorder="1" applyAlignment="1">
      <alignment horizontal="right" vertical="center" wrapText="1"/>
    </xf>
    <xf numFmtId="10" fontId="33" fillId="0" borderId="15" xfId="11268" applyNumberFormat="1" applyFont="1" applyFill="1" applyBorder="1" applyAlignment="1">
      <alignment horizontal="right" vertical="center" wrapText="1"/>
    </xf>
    <xf numFmtId="10" fontId="33" fillId="0" borderId="14" xfId="11268" applyNumberFormat="1" applyFont="1" applyFill="1" applyBorder="1" applyAlignment="1">
      <alignment horizontal="right" vertical="center" wrapText="1"/>
    </xf>
    <xf numFmtId="179" fontId="30" fillId="0" borderId="0" xfId="5890" applyNumberFormat="1" applyFont="1" applyProtection="1">
      <alignment vertical="center"/>
      <protection locked="0"/>
    </xf>
    <xf numFmtId="0" fontId="97" fillId="0" borderId="0" xfId="46" applyFont="1">
      <alignment vertical="center"/>
    </xf>
    <xf numFmtId="10" fontId="33" fillId="0" borderId="228" xfId="46" applyNumberFormat="1" applyFont="1" applyBorder="1" applyAlignment="1">
      <alignment horizontal="right" vertical="center" wrapText="1"/>
    </xf>
    <xf numFmtId="10" fontId="33" fillId="0" borderId="222" xfId="46" applyNumberFormat="1" applyFont="1" applyBorder="1" applyAlignment="1">
      <alignment horizontal="right" vertical="center" wrapText="1"/>
    </xf>
    <xf numFmtId="10" fontId="33" fillId="0" borderId="234" xfId="46" applyNumberFormat="1" applyFont="1" applyBorder="1" applyAlignment="1">
      <alignment horizontal="right" vertical="center" wrapText="1"/>
    </xf>
    <xf numFmtId="10" fontId="33" fillId="0" borderId="221" xfId="46" applyNumberFormat="1" applyFont="1" applyBorder="1" applyAlignment="1">
      <alignment horizontal="right" vertical="center" wrapText="1"/>
    </xf>
    <xf numFmtId="11" fontId="33" fillId="0" borderId="238" xfId="46" applyNumberFormat="1" applyFont="1" applyBorder="1" applyAlignment="1">
      <alignment vertical="center" wrapText="1"/>
    </xf>
    <xf numFmtId="11" fontId="33" fillId="0" borderId="239" xfId="46" applyNumberFormat="1" applyFont="1" applyBorder="1" applyAlignment="1">
      <alignment vertical="center" wrapText="1"/>
    </xf>
    <xf numFmtId="10" fontId="33" fillId="0" borderId="240" xfId="46" applyNumberFormat="1" applyFont="1" applyBorder="1" applyAlignment="1">
      <alignment vertical="center" wrapText="1"/>
    </xf>
    <xf numFmtId="0" fontId="33" fillId="0" borderId="224" xfId="42" applyFont="1" applyBorder="1" applyAlignment="1">
      <alignment horizontal="right" vertical="center"/>
    </xf>
    <xf numFmtId="11" fontId="33" fillId="0" borderId="252" xfId="42" applyNumberFormat="1" applyFont="1" applyBorder="1" applyAlignment="1">
      <alignment horizontal="right" vertical="center" wrapText="1"/>
    </xf>
    <xf numFmtId="177" fontId="33" fillId="0" borderId="253" xfId="42" applyNumberFormat="1" applyFont="1" applyBorder="1" applyAlignment="1">
      <alignment horizontal="right" vertical="center" wrapText="1"/>
    </xf>
    <xf numFmtId="10" fontId="33" fillId="0" borderId="253" xfId="42" applyNumberFormat="1" applyFont="1" applyBorder="1" applyAlignment="1">
      <alignment horizontal="right" vertical="center" wrapText="1"/>
    </xf>
    <xf numFmtId="11" fontId="33" fillId="0" borderId="253" xfId="42" applyNumberFormat="1" applyFont="1" applyBorder="1" applyAlignment="1">
      <alignment horizontal="right" vertical="center" wrapText="1"/>
    </xf>
    <xf numFmtId="10" fontId="33" fillId="0" borderId="254" xfId="42" applyNumberFormat="1" applyFont="1" applyBorder="1" applyAlignment="1">
      <alignment horizontal="right" vertical="center" wrapText="1"/>
    </xf>
    <xf numFmtId="177" fontId="33" fillId="0" borderId="255" xfId="42" applyNumberFormat="1" applyFont="1" applyBorder="1" applyAlignment="1">
      <alignment horizontal="right" vertical="center" wrapText="1"/>
    </xf>
    <xf numFmtId="177" fontId="33" fillId="0" borderId="256" xfId="42" applyNumberFormat="1" applyFont="1" applyBorder="1" applyAlignment="1">
      <alignment horizontal="right" vertical="center" wrapText="1"/>
    </xf>
    <xf numFmtId="10" fontId="33" fillId="0" borderId="252" xfId="42" applyNumberFormat="1" applyFont="1" applyBorder="1" applyAlignment="1">
      <alignment horizontal="right" vertical="center" wrapText="1"/>
    </xf>
    <xf numFmtId="10" fontId="33" fillId="0" borderId="257" xfId="42" applyNumberFormat="1" applyFont="1" applyBorder="1" applyAlignment="1">
      <alignment horizontal="right" vertical="center" wrapText="1"/>
    </xf>
    <xf numFmtId="11" fontId="33" fillId="0" borderId="259" xfId="46" applyNumberFormat="1" applyFont="1" applyBorder="1" applyAlignment="1">
      <alignment horizontal="right" vertical="center" wrapText="1"/>
    </xf>
    <xf numFmtId="11" fontId="33" fillId="0" borderId="255" xfId="46" applyNumberFormat="1" applyFont="1" applyBorder="1" applyAlignment="1">
      <alignment horizontal="right" vertical="center" wrapText="1"/>
    </xf>
    <xf numFmtId="11" fontId="33" fillId="0" borderId="256" xfId="46" applyNumberFormat="1" applyFont="1" applyBorder="1" applyAlignment="1">
      <alignment horizontal="right" vertical="center" wrapText="1"/>
    </xf>
    <xf numFmtId="10" fontId="33" fillId="0" borderId="253" xfId="11268" applyNumberFormat="1" applyFont="1" applyFill="1" applyBorder="1" applyAlignment="1">
      <alignment horizontal="right" vertical="center" wrapText="1"/>
    </xf>
    <xf numFmtId="10" fontId="33" fillId="0" borderId="157" xfId="46" applyNumberFormat="1" applyFont="1" applyBorder="1" applyAlignment="1">
      <alignment horizontal="right" vertical="center" wrapText="1"/>
    </xf>
    <xf numFmtId="10" fontId="33" fillId="0" borderId="224" xfId="46" applyNumberFormat="1" applyFont="1" applyBorder="1" applyAlignment="1">
      <alignment horizontal="right" vertical="center" wrapText="1"/>
    </xf>
    <xf numFmtId="11" fontId="33" fillId="0" borderId="262" xfId="42" applyNumberFormat="1" applyFont="1" applyBorder="1" applyAlignment="1">
      <alignment horizontal="right" vertical="center" wrapText="1"/>
    </xf>
    <xf numFmtId="11" fontId="33" fillId="0" borderId="263" xfId="42" applyNumberFormat="1" applyFont="1" applyBorder="1" applyAlignment="1">
      <alignment horizontal="right" vertical="center" wrapText="1"/>
    </xf>
    <xf numFmtId="11" fontId="33" fillId="0" borderId="264" xfId="42" applyNumberFormat="1" applyFont="1" applyBorder="1" applyAlignment="1">
      <alignment horizontal="right" vertical="center" wrapText="1"/>
    </xf>
    <xf numFmtId="10" fontId="33" fillId="0" borderId="265" xfId="46" applyNumberFormat="1" applyFont="1" applyBorder="1" applyAlignment="1">
      <alignment horizontal="right" vertical="center" wrapText="1"/>
    </xf>
    <xf numFmtId="10" fontId="33" fillId="0" borderId="266" xfId="46" applyNumberFormat="1" applyFont="1" applyBorder="1" applyAlignment="1">
      <alignment horizontal="right" vertical="center" wrapText="1"/>
    </xf>
    <xf numFmtId="11" fontId="33" fillId="0" borderId="262" xfId="46" applyNumberFormat="1" applyFont="1" applyBorder="1" applyAlignment="1">
      <alignment horizontal="right" vertical="center" wrapText="1"/>
    </xf>
    <xf numFmtId="11" fontId="33" fillId="0" borderId="263" xfId="46" applyNumberFormat="1" applyFont="1" applyBorder="1" applyAlignment="1">
      <alignment horizontal="right" vertical="center" wrapText="1"/>
    </xf>
    <xf numFmtId="10" fontId="33" fillId="0" borderId="267" xfId="46" applyNumberFormat="1" applyFont="1" applyBorder="1" applyAlignment="1">
      <alignment horizontal="right" vertical="center" wrapText="1"/>
    </xf>
    <xf numFmtId="177" fontId="33" fillId="0" borderId="258" xfId="42" applyNumberFormat="1" applyFont="1" applyBorder="1" applyAlignment="1">
      <alignment horizontal="right" vertical="center" wrapText="1"/>
    </xf>
    <xf numFmtId="10" fontId="33" fillId="0" borderId="252" xfId="46" applyNumberFormat="1" applyFont="1" applyBorder="1" applyAlignment="1">
      <alignment horizontal="right" vertical="center" wrapText="1"/>
    </xf>
    <xf numFmtId="10" fontId="33" fillId="0" borderId="253" xfId="46" applyNumberFormat="1" applyFont="1" applyBorder="1" applyAlignment="1">
      <alignment horizontal="right" vertical="center" wrapText="1"/>
    </xf>
    <xf numFmtId="10" fontId="33" fillId="0" borderId="258" xfId="46" applyNumberFormat="1" applyFont="1" applyBorder="1" applyAlignment="1">
      <alignment horizontal="right" vertical="center" wrapText="1"/>
    </xf>
    <xf numFmtId="11" fontId="33" fillId="0" borderId="268" xfId="46" applyNumberFormat="1" applyFont="1" applyBorder="1" applyAlignment="1">
      <alignment horizontal="right" vertical="center" wrapText="1"/>
    </xf>
    <xf numFmtId="11" fontId="33" fillId="0" borderId="270" xfId="46" applyNumberFormat="1" applyFont="1" applyBorder="1" applyAlignment="1">
      <alignment horizontal="right" vertical="center" wrapText="1"/>
    </xf>
    <xf numFmtId="11" fontId="33" fillId="0" borderId="253" xfId="46" applyNumberFormat="1" applyFont="1" applyBorder="1" applyAlignment="1">
      <alignment horizontal="right" vertical="center" wrapText="1"/>
    </xf>
    <xf numFmtId="11" fontId="33" fillId="0" borderId="258" xfId="46" applyNumberFormat="1" applyFont="1" applyBorder="1" applyAlignment="1">
      <alignment horizontal="right" vertical="center" wrapText="1"/>
    </xf>
    <xf numFmtId="10" fontId="33" fillId="0" borderId="271" xfId="42" applyNumberFormat="1" applyFont="1" applyBorder="1" applyAlignment="1">
      <alignment horizontal="right" vertical="center" wrapText="1"/>
    </xf>
    <xf numFmtId="10" fontId="33" fillId="0" borderId="272" xfId="46" applyNumberFormat="1" applyFont="1" applyBorder="1" applyAlignment="1">
      <alignment horizontal="right" vertical="center" wrapText="1"/>
    </xf>
    <xf numFmtId="10" fontId="33" fillId="0" borderId="273" xfId="46" applyNumberFormat="1" applyFont="1" applyBorder="1" applyAlignment="1">
      <alignment horizontal="right" vertical="center" wrapText="1"/>
    </xf>
    <xf numFmtId="10" fontId="33" fillId="0" borderId="274" xfId="42" applyNumberFormat="1" applyFont="1" applyBorder="1" applyAlignment="1">
      <alignment horizontal="right" vertical="center" wrapText="1"/>
    </xf>
    <xf numFmtId="10" fontId="33" fillId="0" borderId="274" xfId="46" applyNumberFormat="1" applyFont="1" applyBorder="1" applyAlignment="1">
      <alignment horizontal="right" vertical="center" wrapText="1"/>
    </xf>
    <xf numFmtId="0" fontId="29" fillId="0" borderId="0" xfId="46" applyFont="1" applyAlignment="1" applyProtection="1">
      <alignment horizontal="left" vertical="center"/>
      <protection locked="0"/>
    </xf>
    <xf numFmtId="0" fontId="95" fillId="0" borderId="221" xfId="1087" applyFont="1" applyBorder="1" applyAlignment="1">
      <alignment vertical="center" wrapText="1"/>
    </xf>
    <xf numFmtId="0" fontId="80" fillId="0" borderId="221" xfId="1087" applyFont="1" applyBorder="1">
      <alignment vertical="center"/>
    </xf>
    <xf numFmtId="0" fontId="80" fillId="0" borderId="221" xfId="1087" applyFont="1" applyBorder="1" applyAlignment="1">
      <alignment vertical="center" wrapText="1"/>
    </xf>
    <xf numFmtId="0" fontId="30" fillId="0" borderId="0" xfId="1090" applyFont="1">
      <alignment vertical="center"/>
    </xf>
    <xf numFmtId="0" fontId="95" fillId="0" borderId="0" xfId="1090" applyFont="1" applyAlignment="1">
      <alignment vertical="center" wrapText="1"/>
    </xf>
    <xf numFmtId="0" fontId="30" fillId="0" borderId="0" xfId="1091" applyFont="1">
      <alignment vertical="center"/>
    </xf>
    <xf numFmtId="0" fontId="80" fillId="0" borderId="0" xfId="1090" applyFont="1" applyAlignment="1">
      <alignment vertical="center" wrapText="1"/>
    </xf>
    <xf numFmtId="0" fontId="30" fillId="0" borderId="149" xfId="5890" applyFont="1" applyBorder="1" applyProtection="1">
      <alignment vertical="center"/>
      <protection hidden="1"/>
    </xf>
    <xf numFmtId="0" fontId="95" fillId="63" borderId="147" xfId="1087" applyFont="1" applyFill="1" applyBorder="1" applyAlignment="1">
      <alignment vertical="center" wrapText="1"/>
    </xf>
    <xf numFmtId="0" fontId="80" fillId="63" borderId="147" xfId="1087" applyFont="1" applyFill="1" applyBorder="1" applyAlignment="1">
      <alignment vertical="center" wrapText="1"/>
    </xf>
    <xf numFmtId="0" fontId="30" fillId="0" borderId="101" xfId="5890" applyFont="1" applyBorder="1" applyProtection="1">
      <alignment vertical="center"/>
      <protection hidden="1"/>
    </xf>
    <xf numFmtId="0" fontId="30" fillId="0" borderId="170" xfId="5890" applyFont="1" applyBorder="1" applyProtection="1">
      <alignment vertical="center"/>
      <protection hidden="1"/>
    </xf>
    <xf numFmtId="0" fontId="30" fillId="0" borderId="148" xfId="5890" applyFont="1" applyBorder="1" applyProtection="1">
      <alignment vertical="center"/>
      <protection hidden="1"/>
    </xf>
    <xf numFmtId="0" fontId="32" fillId="0" borderId="15" xfId="46" applyFont="1" applyBorder="1">
      <alignment vertical="center"/>
    </xf>
    <xf numFmtId="0" fontId="30" fillId="0" borderId="18" xfId="5890" applyFont="1" applyBorder="1" applyAlignment="1" applyProtection="1">
      <alignment vertical="center" wrapText="1"/>
      <protection hidden="1"/>
    </xf>
    <xf numFmtId="0" fontId="30" fillId="0" borderId="147" xfId="5890" applyFont="1" applyBorder="1" applyAlignment="1" applyProtection="1">
      <alignment vertical="center" wrapText="1"/>
      <protection locked="0"/>
    </xf>
    <xf numFmtId="0" fontId="30" fillId="0" borderId="149" xfId="5890" applyFont="1" applyBorder="1" applyAlignment="1" applyProtection="1">
      <alignment vertical="center" wrapText="1"/>
      <protection locked="0"/>
    </xf>
    <xf numFmtId="0" fontId="30" fillId="0" borderId="0" xfId="5890" applyFont="1" applyAlignment="1" applyProtection="1">
      <alignment wrapText="1"/>
      <protection locked="0"/>
    </xf>
    <xf numFmtId="0" fontId="84" fillId="5" borderId="238" xfId="1" applyFont="1" applyFill="1" applyBorder="1" applyAlignment="1" applyProtection="1">
      <alignment horizontal="center" vertical="center" wrapText="1"/>
      <protection locked="0"/>
    </xf>
    <xf numFmtId="0" fontId="84" fillId="5" borderId="239" xfId="1" applyFont="1" applyFill="1" applyBorder="1" applyAlignment="1" applyProtection="1">
      <alignment horizontal="center" vertical="center" wrapText="1"/>
      <protection locked="0"/>
    </xf>
    <xf numFmtId="0" fontId="84" fillId="6" borderId="239" xfId="1" applyFont="1" applyFill="1" applyBorder="1" applyAlignment="1" applyProtection="1">
      <alignment horizontal="center" vertical="center" wrapText="1"/>
      <protection locked="0"/>
    </xf>
    <xf numFmtId="0" fontId="32" fillId="0" borderId="184" xfId="1" applyFont="1" applyBorder="1" applyAlignment="1">
      <alignment vertical="center" wrapText="1"/>
    </xf>
    <xf numFmtId="22" fontId="30" fillId="28" borderId="109" xfId="5890" applyNumberFormat="1" applyFont="1" applyFill="1" applyBorder="1" applyAlignment="1" applyProtection="1">
      <alignment horizontal="right"/>
      <protection locked="0"/>
    </xf>
    <xf numFmtId="0" fontId="30" fillId="28" borderId="109" xfId="5890" applyFont="1" applyFill="1" applyBorder="1" applyAlignment="1" applyProtection="1">
      <alignment horizontal="right"/>
      <protection locked="0"/>
    </xf>
    <xf numFmtId="0" fontId="30" fillId="0" borderId="147" xfId="1091" applyFont="1" applyBorder="1" applyAlignment="1">
      <alignment vertical="center" wrapText="1"/>
    </xf>
    <xf numFmtId="0" fontId="29" fillId="64" borderId="221" xfId="5890" applyFont="1" applyFill="1" applyBorder="1" applyAlignment="1" applyProtection="1">
      <protection locked="0"/>
    </xf>
    <xf numFmtId="0" fontId="30" fillId="64" borderId="221" xfId="5890" applyFont="1" applyFill="1" applyBorder="1" applyAlignment="1" applyProtection="1">
      <alignment horizontal="right"/>
      <protection locked="0"/>
    </xf>
    <xf numFmtId="0" fontId="30" fillId="93" borderId="221" xfId="5894" applyFont="1" applyFill="1" applyBorder="1" applyAlignment="1" applyProtection="1">
      <alignment horizontal="center" vertical="center" wrapText="1"/>
      <protection locked="0"/>
    </xf>
    <xf numFmtId="0" fontId="30" fillId="0" borderId="221" xfId="5890" applyFont="1" applyBorder="1" applyAlignment="1" applyProtection="1">
      <alignment wrapText="1"/>
      <protection hidden="1"/>
    </xf>
    <xf numFmtId="0" fontId="30" fillId="0" borderId="110" xfId="5891" applyFont="1" applyBorder="1" applyProtection="1">
      <alignment vertical="center"/>
      <protection hidden="1"/>
    </xf>
    <xf numFmtId="0" fontId="30" fillId="0" borderId="19" xfId="5891" applyFont="1" applyBorder="1" applyProtection="1">
      <alignment vertical="center"/>
      <protection hidden="1"/>
    </xf>
    <xf numFmtId="0" fontId="30" fillId="0" borderId="148" xfId="5891" applyFont="1" applyBorder="1" applyProtection="1">
      <alignment vertical="center"/>
      <protection hidden="1"/>
    </xf>
    <xf numFmtId="0" fontId="30" fillId="0" borderId="89" xfId="5891" applyFont="1" applyBorder="1" applyProtection="1">
      <alignment vertical="center"/>
      <protection hidden="1"/>
    </xf>
    <xf numFmtId="0" fontId="30" fillId="0" borderId="170" xfId="5891" applyFont="1" applyBorder="1" applyProtection="1">
      <alignment vertical="center"/>
      <protection hidden="1"/>
    </xf>
    <xf numFmtId="0" fontId="30" fillId="0" borderId="96" xfId="5891" applyFont="1" applyBorder="1" applyProtection="1">
      <alignment vertical="center"/>
      <protection hidden="1"/>
    </xf>
    <xf numFmtId="0" fontId="30" fillId="0" borderId="97" xfId="5891" applyFont="1" applyBorder="1" applyProtection="1">
      <alignment vertical="center"/>
      <protection hidden="1"/>
    </xf>
    <xf numFmtId="0" fontId="30" fillId="0" borderId="102" xfId="5891" applyFont="1" applyBorder="1" applyProtection="1">
      <alignment vertical="center"/>
      <protection hidden="1"/>
    </xf>
    <xf numFmtId="0" fontId="30" fillId="0" borderId="207" xfId="5891" applyFont="1" applyBorder="1" applyProtection="1">
      <alignment vertical="center"/>
      <protection hidden="1"/>
    </xf>
    <xf numFmtId="0" fontId="30" fillId="0" borderId="221" xfId="5891" applyFont="1" applyBorder="1" applyProtection="1">
      <alignment vertical="center"/>
      <protection hidden="1"/>
    </xf>
    <xf numFmtId="0" fontId="30" fillId="0" borderId="221" xfId="5890" applyFont="1" applyBorder="1" applyAlignment="1" applyProtection="1">
      <alignment horizontal="center" vertical="center"/>
      <protection locked="0"/>
    </xf>
    <xf numFmtId="0" fontId="30" fillId="0" borderId="109" xfId="5890" applyFont="1" applyBorder="1" applyAlignment="1" applyProtection="1">
      <alignment vertical="center" wrapText="1"/>
      <protection locked="0"/>
    </xf>
    <xf numFmtId="0" fontId="30" fillId="0" borderId="221" xfId="5890" applyFont="1" applyBorder="1" applyAlignment="1" applyProtection="1">
      <alignment vertical="center" wrapText="1"/>
      <protection locked="0"/>
    </xf>
    <xf numFmtId="0" fontId="30" fillId="3" borderId="149" xfId="5890" applyFont="1" applyFill="1" applyBorder="1" applyAlignment="1" applyProtection="1">
      <alignment horizontal="center" vertical="center" wrapText="1"/>
      <protection locked="0"/>
    </xf>
    <xf numFmtId="0" fontId="91" fillId="22" borderId="148" xfId="5890" applyFont="1" applyFill="1" applyBorder="1" applyAlignment="1" applyProtection="1">
      <alignment horizontal="center" vertical="center" wrapText="1"/>
      <protection locked="0"/>
    </xf>
    <xf numFmtId="0" fontId="30" fillId="94" borderId="94" xfId="5894" applyFont="1" applyFill="1" applyBorder="1" applyAlignment="1" applyProtection="1">
      <alignment horizontal="center" vertical="center" wrapText="1"/>
      <protection locked="0"/>
    </xf>
    <xf numFmtId="0" fontId="30" fillId="0" borderId="99" xfId="5891" applyFont="1" applyBorder="1" applyProtection="1">
      <alignment vertical="center"/>
      <protection hidden="1"/>
    </xf>
    <xf numFmtId="0" fontId="30" fillId="0" borderId="58" xfId="5891" applyFont="1" applyBorder="1" applyProtection="1">
      <alignment vertical="center"/>
      <protection hidden="1"/>
    </xf>
    <xf numFmtId="0" fontId="91" fillId="4" borderId="147" xfId="5890" applyFont="1" applyFill="1" applyBorder="1" applyAlignment="1" applyProtection="1">
      <alignment horizontal="center" vertical="center" wrapText="1"/>
      <protection locked="0"/>
    </xf>
    <xf numFmtId="11" fontId="30" fillId="0" borderId="221" xfId="5890" applyNumberFormat="1" applyFont="1" applyBorder="1" applyProtection="1">
      <alignment vertical="center"/>
      <protection locked="0"/>
    </xf>
    <xf numFmtId="177" fontId="33" fillId="0" borderId="20" xfId="11268" applyNumberFormat="1" applyFont="1" applyFill="1" applyBorder="1" applyAlignment="1">
      <alignment horizontal="right" vertical="center" wrapText="1"/>
    </xf>
    <xf numFmtId="177" fontId="33" fillId="0" borderId="23" xfId="11268" applyNumberFormat="1" applyFont="1" applyFill="1" applyBorder="1" applyAlignment="1">
      <alignment horizontal="right" vertical="center" wrapText="1"/>
    </xf>
    <xf numFmtId="177" fontId="33" fillId="0" borderId="252" xfId="11268" applyNumberFormat="1" applyFont="1" applyFill="1" applyBorder="1" applyAlignment="1">
      <alignment horizontal="right" vertical="center" wrapText="1"/>
    </xf>
    <xf numFmtId="178" fontId="33" fillId="0" borderId="15" xfId="42" applyNumberFormat="1" applyFont="1" applyBorder="1" applyAlignment="1">
      <alignment horizontal="right" vertical="center" wrapText="1"/>
    </xf>
    <xf numFmtId="178" fontId="33" fillId="0" borderId="16" xfId="42" applyNumberFormat="1" applyFont="1" applyBorder="1" applyAlignment="1">
      <alignment horizontal="right" vertical="center" wrapText="1"/>
    </xf>
    <xf numFmtId="178" fontId="33" fillId="0" borderId="14" xfId="42" applyNumberFormat="1" applyFont="1" applyBorder="1" applyAlignment="1">
      <alignment horizontal="right" vertical="center" wrapText="1"/>
    </xf>
    <xf numFmtId="178" fontId="33" fillId="0" borderId="22" xfId="42" applyNumberFormat="1" applyFont="1" applyBorder="1" applyAlignment="1">
      <alignment horizontal="right" vertical="center" wrapText="1"/>
    </xf>
    <xf numFmtId="178" fontId="33" fillId="0" borderId="253" xfId="42" applyNumberFormat="1" applyFont="1" applyBorder="1" applyAlignment="1">
      <alignment horizontal="right" vertical="center" wrapText="1"/>
    </xf>
    <xf numFmtId="178" fontId="33" fillId="0" borderId="258" xfId="42" applyNumberFormat="1" applyFont="1" applyBorder="1" applyAlignment="1">
      <alignment horizontal="right" vertical="center" wrapText="1"/>
    </xf>
    <xf numFmtId="177" fontId="33" fillId="0" borderId="206" xfId="42" applyNumberFormat="1" applyFont="1" applyBorder="1" applyAlignment="1">
      <alignment horizontal="right" vertical="center" wrapText="1"/>
    </xf>
    <xf numFmtId="177" fontId="33" fillId="0" borderId="127" xfId="42" applyNumberFormat="1" applyFont="1" applyBorder="1" applyAlignment="1">
      <alignment horizontal="right" vertical="center" wrapText="1"/>
    </xf>
    <xf numFmtId="177" fontId="33" fillId="0" borderId="179" xfId="42" applyNumberFormat="1" applyFont="1" applyBorder="1" applyAlignment="1">
      <alignment horizontal="right" vertical="center" wrapText="1"/>
    </xf>
    <xf numFmtId="0" fontId="78" fillId="87" borderId="157" xfId="5890" applyFont="1" applyFill="1" applyBorder="1" applyAlignment="1" applyProtection="1">
      <protection locked="0"/>
    </xf>
    <xf numFmtId="49" fontId="78" fillId="87" borderId="157" xfId="5890" applyNumberFormat="1" applyFont="1" applyFill="1" applyBorder="1" applyAlignment="1" applyProtection="1">
      <alignment horizontal="center"/>
      <protection locked="0"/>
    </xf>
    <xf numFmtId="0" fontId="30" fillId="0" borderId="56" xfId="46" applyFont="1" applyBorder="1" applyProtection="1">
      <alignment vertical="center"/>
      <protection locked="0"/>
    </xf>
    <xf numFmtId="11" fontId="30" fillId="0" borderId="0" xfId="0" applyNumberFormat="1" applyFont="1"/>
    <xf numFmtId="0" fontId="94" fillId="0" borderId="26" xfId="1" applyFont="1" applyBorder="1" applyAlignment="1" applyProtection="1">
      <alignment vertical="center" wrapText="1"/>
      <protection locked="0"/>
    </xf>
    <xf numFmtId="0" fontId="94" fillId="0" borderId="204" xfId="1" applyFont="1" applyBorder="1" applyAlignment="1" applyProtection="1">
      <alignment vertical="center" wrapText="1"/>
      <protection locked="0"/>
    </xf>
    <xf numFmtId="0" fontId="94" fillId="0" borderId="28" xfId="1" applyFont="1" applyBorder="1" applyAlignment="1" applyProtection="1">
      <alignment vertical="center" wrapText="1"/>
      <protection locked="0"/>
    </xf>
    <xf numFmtId="0" fontId="32" fillId="22" borderId="278" xfId="46" applyFont="1" applyFill="1" applyBorder="1" applyAlignment="1">
      <alignment vertical="center" wrapText="1"/>
    </xf>
    <xf numFmtId="0" fontId="32" fillId="3" borderId="279" xfId="46" applyFont="1" applyFill="1" applyBorder="1" applyAlignment="1">
      <alignment vertical="center" wrapText="1"/>
    </xf>
    <xf numFmtId="0" fontId="32" fillId="4" borderId="280" xfId="46" applyFont="1" applyFill="1" applyBorder="1" applyAlignment="1">
      <alignment vertical="center" wrapText="1"/>
    </xf>
    <xf numFmtId="186" fontId="33" fillId="0" borderId="18" xfId="42" applyNumberFormat="1" applyFont="1" applyBorder="1" applyAlignment="1">
      <alignment horizontal="right" vertical="center" wrapText="1"/>
    </xf>
    <xf numFmtId="186" fontId="33" fillId="0" borderId="15" xfId="42" applyNumberFormat="1" applyFont="1" applyBorder="1" applyAlignment="1">
      <alignment horizontal="right" vertical="center" wrapText="1"/>
    </xf>
    <xf numFmtId="186" fontId="33" fillId="0" borderId="14" xfId="42" applyNumberFormat="1" applyFont="1" applyBorder="1" applyAlignment="1">
      <alignment horizontal="right" vertical="center" wrapText="1"/>
    </xf>
    <xf numFmtId="186" fontId="33" fillId="0" borderId="253" xfId="42" applyNumberFormat="1" applyFont="1" applyBorder="1" applyAlignment="1">
      <alignment horizontal="right" vertical="center" wrapText="1"/>
    </xf>
    <xf numFmtId="0" fontId="34" fillId="0" borderId="0" xfId="46" applyFont="1">
      <alignment vertical="center"/>
    </xf>
    <xf numFmtId="0" fontId="30" fillId="0" borderId="221" xfId="5890" applyFont="1" applyBorder="1" applyProtection="1">
      <alignment vertical="center"/>
      <protection locked="0"/>
    </xf>
    <xf numFmtId="0" fontId="80" fillId="0" borderId="221" xfId="5890" applyFont="1" applyBorder="1" applyProtection="1">
      <alignment vertical="center"/>
      <protection hidden="1"/>
    </xf>
    <xf numFmtId="0" fontId="80" fillId="0" borderId="76" xfId="5890" applyFont="1" applyBorder="1" applyAlignment="1" applyProtection="1">
      <alignment vertical="center" wrapText="1"/>
      <protection hidden="1"/>
    </xf>
    <xf numFmtId="0" fontId="80" fillId="63" borderId="76" xfId="5890" applyFont="1" applyFill="1" applyBorder="1" applyAlignment="1" applyProtection="1">
      <alignment vertical="center" wrapText="1"/>
      <protection hidden="1"/>
    </xf>
    <xf numFmtId="0" fontId="29" fillId="63" borderId="109" xfId="5890" applyFont="1" applyFill="1" applyBorder="1" applyAlignment="1" applyProtection="1">
      <alignment horizontal="center" vertical="center" wrapText="1"/>
      <protection hidden="1"/>
    </xf>
    <xf numFmtId="0" fontId="80" fillId="0" borderId="0" xfId="5890" applyFont="1" applyProtection="1">
      <alignment vertical="center"/>
      <protection hidden="1"/>
    </xf>
    <xf numFmtId="11" fontId="33" fillId="0" borderId="61" xfId="0" applyNumberFormat="1" applyFont="1" applyBorder="1"/>
    <xf numFmtId="11" fontId="33" fillId="0" borderId="76" xfId="0" applyNumberFormat="1" applyFont="1" applyBorder="1"/>
    <xf numFmtId="11" fontId="33" fillId="0" borderId="62" xfId="0" applyNumberFormat="1" applyFont="1" applyBorder="1"/>
    <xf numFmtId="11" fontId="33" fillId="0" borderId="160" xfId="0" applyNumberFormat="1" applyFont="1" applyBorder="1"/>
    <xf numFmtId="11" fontId="33" fillId="0" borderId="162" xfId="0" applyNumberFormat="1" applyFont="1" applyBorder="1"/>
    <xf numFmtId="11" fontId="33" fillId="0" borderId="161" xfId="0" applyNumberFormat="1" applyFont="1" applyBorder="1"/>
    <xf numFmtId="0" fontId="99" fillId="0" borderId="62" xfId="0" applyFont="1" applyBorder="1" applyAlignment="1">
      <alignment horizontal="center"/>
    </xf>
    <xf numFmtId="0" fontId="99" fillId="0" borderId="54" xfId="0" applyFont="1" applyBorder="1" applyAlignment="1">
      <alignment horizontal="center"/>
    </xf>
    <xf numFmtId="0" fontId="30" fillId="0" borderId="59" xfId="5895" quotePrefix="1" applyFont="1" applyBorder="1" applyAlignment="1" applyProtection="1">
      <alignment horizontal="center" vertical="center" wrapText="1"/>
      <protection locked="0"/>
    </xf>
    <xf numFmtId="0" fontId="30" fillId="0" borderId="59" xfId="5890" quotePrefix="1" applyFont="1" applyBorder="1" applyProtection="1">
      <alignment vertical="center"/>
      <protection locked="0"/>
    </xf>
    <xf numFmtId="0" fontId="30" fillId="89" borderId="147" xfId="0" applyFont="1" applyFill="1" applyBorder="1" applyProtection="1">
      <protection locked="0"/>
    </xf>
    <xf numFmtId="180" fontId="30" fillId="28" borderId="147" xfId="0" applyNumberFormat="1" applyFont="1" applyFill="1" applyBorder="1" applyProtection="1">
      <protection locked="0"/>
    </xf>
    <xf numFmtId="0" fontId="0" fillId="28" borderId="147" xfId="0" applyFill="1" applyBorder="1" applyProtection="1">
      <protection locked="0"/>
    </xf>
    <xf numFmtId="0" fontId="32" fillId="0" borderId="277" xfId="46" applyFont="1" applyBorder="1" applyAlignment="1">
      <alignment horizontal="center" vertical="center" wrapText="1"/>
    </xf>
    <xf numFmtId="0" fontId="32" fillId="0" borderId="30" xfId="46" applyFont="1" applyBorder="1" applyAlignment="1">
      <alignment horizontal="center" vertical="center" wrapText="1"/>
    </xf>
    <xf numFmtId="0" fontId="32" fillId="0" borderId="9" xfId="46" applyFont="1" applyBorder="1" applyAlignment="1">
      <alignment horizontal="center" vertical="center" wrapText="1"/>
    </xf>
    <xf numFmtId="0" fontId="32" fillId="0" borderId="31" xfId="46" applyFont="1" applyBorder="1" applyAlignment="1">
      <alignment horizontal="center" vertical="center" wrapText="1"/>
    </xf>
    <xf numFmtId="0" fontId="32" fillId="0" borderId="29" xfId="46" applyFont="1" applyBorder="1" applyAlignment="1">
      <alignment horizontal="center" vertical="center" wrapText="1"/>
    </xf>
    <xf numFmtId="0" fontId="32" fillId="0" borderId="32" xfId="46" applyFont="1" applyBorder="1" applyAlignment="1">
      <alignment horizontal="center" vertical="center" wrapText="1"/>
    </xf>
    <xf numFmtId="0" fontId="32" fillId="0" borderId="215" xfId="1" applyFont="1" applyBorder="1" applyAlignment="1">
      <alignment horizontal="center" vertical="center" wrapText="1"/>
    </xf>
    <xf numFmtId="0" fontId="32" fillId="0" borderId="180" xfId="1" applyFont="1" applyBorder="1" applyAlignment="1">
      <alignment horizontal="center" vertical="center" wrapText="1"/>
    </xf>
    <xf numFmtId="0" fontId="32" fillId="0" borderId="164" xfId="1" applyFont="1" applyBorder="1" applyAlignment="1">
      <alignment horizontal="center" vertical="center" wrapText="1"/>
    </xf>
    <xf numFmtId="0" fontId="32" fillId="0" borderId="31" xfId="1" applyFont="1" applyBorder="1" applyAlignment="1">
      <alignment horizontal="center" vertical="center" wrapText="1"/>
    </xf>
    <xf numFmtId="0" fontId="32" fillId="0" borderId="18" xfId="1" applyFont="1" applyBorder="1" applyAlignment="1">
      <alignment horizontal="center" vertical="center" wrapText="1"/>
    </xf>
    <xf numFmtId="10" fontId="33" fillId="0" borderId="164" xfId="42" applyNumberFormat="1" applyFont="1" applyBorder="1" applyAlignment="1">
      <alignment horizontal="right" vertical="center" wrapText="1"/>
    </xf>
    <xf numFmtId="10" fontId="33" fillId="0" borderId="31" xfId="42" applyNumberFormat="1" applyFont="1" applyBorder="1" applyAlignment="1">
      <alignment horizontal="right" vertical="center" wrapText="1"/>
    </xf>
    <xf numFmtId="0" fontId="85" fillId="91" borderId="171" xfId="1" applyFont="1" applyFill="1" applyBorder="1" applyAlignment="1">
      <alignment horizontal="center" vertical="center" wrapText="1"/>
    </xf>
    <xf numFmtId="0" fontId="85" fillId="91" borderId="172" xfId="1" applyFont="1" applyFill="1" applyBorder="1" applyAlignment="1">
      <alignment horizontal="center" vertical="center" wrapText="1"/>
    </xf>
    <xf numFmtId="0" fontId="85" fillId="91" borderId="216" xfId="1" applyFont="1" applyFill="1" applyBorder="1" applyAlignment="1">
      <alignment horizontal="center" vertical="center" wrapText="1"/>
    </xf>
    <xf numFmtId="0" fontId="32" fillId="0" borderId="83"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169" xfId="1" applyFont="1" applyBorder="1" applyAlignment="1">
      <alignment horizontal="center" vertical="center" wrapText="1"/>
    </xf>
    <xf numFmtId="0" fontId="32" fillId="0" borderId="171" xfId="1" applyFont="1" applyBorder="1" applyAlignment="1">
      <alignment horizontal="center" vertical="center" wrapText="1"/>
    </xf>
    <xf numFmtId="0" fontId="32" fillId="0" borderId="172" xfId="1" applyFont="1" applyBorder="1" applyAlignment="1">
      <alignment horizontal="center" vertical="center" wrapText="1"/>
    </xf>
    <xf numFmtId="0" fontId="32" fillId="0" borderId="173" xfId="1" applyFont="1" applyBorder="1" applyAlignment="1">
      <alignment horizontal="center" vertical="center" wrapText="1"/>
    </xf>
    <xf numFmtId="0" fontId="32" fillId="0" borderId="276" xfId="1" applyFont="1" applyBorder="1" applyAlignment="1">
      <alignment horizontal="center" vertical="center" wrapText="1"/>
    </xf>
    <xf numFmtId="0" fontId="85" fillId="91" borderId="164" xfId="1" applyFont="1" applyFill="1" applyBorder="1" applyAlignment="1">
      <alignment horizontal="center" vertical="center" wrapText="1"/>
    </xf>
    <xf numFmtId="0" fontId="85" fillId="91" borderId="31" xfId="1" applyFont="1" applyFill="1" applyBorder="1" applyAlignment="1">
      <alignment horizontal="center" vertical="center" wrapText="1"/>
    </xf>
    <xf numFmtId="0" fontId="85" fillId="91" borderId="18" xfId="1" applyFont="1" applyFill="1" applyBorder="1" applyAlignment="1">
      <alignment horizontal="center" vertical="center" wrapText="1"/>
    </xf>
    <xf numFmtId="0" fontId="85" fillId="91" borderId="173" xfId="1" applyFont="1" applyFill="1" applyBorder="1" applyAlignment="1">
      <alignment horizontal="center" vertical="center" wrapText="1"/>
    </xf>
    <xf numFmtId="0" fontId="32" fillId="0" borderId="194" xfId="1" applyFont="1" applyBorder="1" applyAlignment="1">
      <alignment horizontal="center" vertical="center" wrapText="1"/>
    </xf>
    <xf numFmtId="0" fontId="32" fillId="0" borderId="208" xfId="1" applyFont="1" applyBorder="1" applyAlignment="1">
      <alignment horizontal="center" vertical="center" wrapText="1"/>
    </xf>
    <xf numFmtId="0" fontId="32" fillId="0" borderId="196" xfId="1" applyFont="1" applyBorder="1" applyAlignment="1">
      <alignment horizontal="center" vertical="center" wrapText="1"/>
    </xf>
    <xf numFmtId="0" fontId="32" fillId="0" borderId="117" xfId="1" applyFont="1" applyBorder="1" applyAlignment="1">
      <alignment horizontal="center" vertical="center" wrapText="1"/>
    </xf>
    <xf numFmtId="0" fontId="88" fillId="0" borderId="36" xfId="1" applyFont="1" applyBorder="1" applyAlignment="1">
      <alignment horizontal="center" vertical="center" wrapText="1"/>
    </xf>
    <xf numFmtId="0" fontId="88" fillId="0" borderId="63" xfId="1" applyFont="1" applyBorder="1" applyAlignment="1">
      <alignment horizontal="center" vertical="center" wrapText="1"/>
    </xf>
    <xf numFmtId="0" fontId="88" fillId="0" borderId="38" xfId="1" applyFont="1" applyBorder="1" applyAlignment="1">
      <alignment horizontal="center" vertical="center" wrapText="1"/>
    </xf>
    <xf numFmtId="0" fontId="88" fillId="0" borderId="104" xfId="1" applyFont="1" applyBorder="1" applyAlignment="1">
      <alignment horizontal="center" vertical="center" wrapText="1"/>
    </xf>
    <xf numFmtId="0" fontId="33" fillId="0" borderId="250" xfId="42" applyFont="1" applyBorder="1" applyAlignment="1">
      <alignment horizontal="right" vertical="center" wrapText="1"/>
    </xf>
    <xf numFmtId="0" fontId="33" fillId="0" borderId="251" xfId="42" applyFont="1" applyBorder="1" applyAlignment="1">
      <alignment horizontal="right" vertical="center" wrapText="1"/>
    </xf>
    <xf numFmtId="0" fontId="85" fillId="91" borderId="24" xfId="1" applyFont="1" applyFill="1" applyBorder="1" applyAlignment="1">
      <alignment horizontal="center" vertical="center" wrapText="1"/>
    </xf>
    <xf numFmtId="0" fontId="32" fillId="0" borderId="14" xfId="46" applyFont="1" applyBorder="1" applyAlignment="1">
      <alignment horizontal="center" vertical="center" wrapText="1"/>
    </xf>
    <xf numFmtId="0" fontId="32" fillId="0" borderId="174" xfId="46" applyFont="1" applyBorder="1" applyAlignment="1">
      <alignment horizontal="center" vertical="center" wrapText="1"/>
    </xf>
    <xf numFmtId="0" fontId="74" fillId="0" borderId="14" xfId="1" applyFont="1" applyBorder="1" applyAlignment="1">
      <alignment horizontal="center" vertical="center" wrapText="1"/>
    </xf>
    <xf numFmtId="0" fontId="74" fillId="0" borderId="31" xfId="1" applyFont="1" applyBorder="1" applyAlignment="1">
      <alignment horizontal="center" vertical="center" wrapText="1"/>
    </xf>
    <xf numFmtId="0" fontId="74" fillId="0" borderId="18" xfId="1" applyFont="1" applyBorder="1" applyAlignment="1">
      <alignment horizontal="center" vertical="center" wrapText="1"/>
    </xf>
    <xf numFmtId="0" fontId="88" fillId="0" borderId="82" xfId="1" applyFont="1" applyBorder="1" applyAlignment="1">
      <alignment horizontal="center" vertical="center" wrapText="1"/>
    </xf>
    <xf numFmtId="0" fontId="88" fillId="0" borderId="12" xfId="1" applyFont="1" applyBorder="1" applyAlignment="1">
      <alignment horizontal="center" vertical="center" wrapText="1"/>
    </xf>
    <xf numFmtId="0" fontId="88" fillId="0" borderId="225" xfId="1" applyFont="1" applyBorder="1" applyAlignment="1">
      <alignment horizontal="center" vertical="center" wrapText="1"/>
    </xf>
    <xf numFmtId="0" fontId="88" fillId="0" borderId="226" xfId="1" applyFont="1" applyBorder="1" applyAlignment="1">
      <alignment horizontal="center" vertical="center" wrapText="1"/>
    </xf>
    <xf numFmtId="0" fontId="88" fillId="0" borderId="227" xfId="1" applyFont="1" applyBorder="1" applyAlignment="1">
      <alignment horizontal="center" vertical="center" wrapText="1"/>
    </xf>
    <xf numFmtId="10" fontId="33" fillId="0" borderId="113" xfId="42" applyNumberFormat="1" applyFont="1" applyBorder="1" applyAlignment="1">
      <alignment horizontal="right" vertical="center" wrapText="1"/>
    </xf>
    <xf numFmtId="10" fontId="33" fillId="0" borderId="9" xfId="42" applyNumberFormat="1" applyFont="1" applyBorder="1" applyAlignment="1">
      <alignment horizontal="right" vertical="center" wrapText="1"/>
    </xf>
    <xf numFmtId="0" fontId="32" fillId="0" borderId="213" xfId="1" applyFont="1" applyBorder="1" applyAlignment="1">
      <alignment horizontal="center" vertical="center" wrapText="1"/>
    </xf>
    <xf numFmtId="0" fontId="32" fillId="0" borderId="214" xfId="1" applyFont="1" applyBorder="1" applyAlignment="1">
      <alignment horizontal="center" vertical="center" wrapText="1"/>
    </xf>
    <xf numFmtId="0" fontId="88" fillId="0" borderId="36" xfId="46" applyFont="1" applyBorder="1" applyAlignment="1">
      <alignment horizontal="center" vertical="center" wrapText="1"/>
    </xf>
    <xf numFmtId="0" fontId="88" fillId="0" borderId="63" xfId="46" applyFont="1" applyBorder="1" applyAlignment="1">
      <alignment horizontal="center" vertical="center" wrapText="1"/>
    </xf>
    <xf numFmtId="0" fontId="88" fillId="0" borderId="38" xfId="46" applyFont="1" applyBorder="1" applyAlignment="1">
      <alignment horizontal="center" vertical="center" wrapText="1"/>
    </xf>
    <xf numFmtId="0" fontId="88" fillId="0" borderId="104" xfId="46" applyFont="1" applyBorder="1" applyAlignment="1">
      <alignment horizontal="center" vertical="center" wrapText="1"/>
    </xf>
    <xf numFmtId="0" fontId="88" fillId="0" borderId="225" xfId="46" applyFont="1" applyBorder="1" applyAlignment="1">
      <alignment horizontal="center" vertical="center" wrapText="1"/>
    </xf>
    <xf numFmtId="0" fontId="88" fillId="0" borderId="227" xfId="46" applyFont="1" applyBorder="1" applyAlignment="1">
      <alignment horizontal="center" vertical="center" wrapText="1"/>
    </xf>
    <xf numFmtId="0" fontId="33" fillId="0" borderId="39" xfId="42" applyFont="1" applyBorder="1" applyAlignment="1">
      <alignment horizontal="center" vertical="center" wrapText="1"/>
    </xf>
    <xf numFmtId="0" fontId="33" fillId="0" borderId="41" xfId="42" applyFont="1" applyBorder="1" applyAlignment="1">
      <alignment horizontal="center" vertical="center" wrapText="1"/>
    </xf>
    <xf numFmtId="0" fontId="32" fillId="0" borderId="179" xfId="46" applyFont="1" applyBorder="1" applyAlignment="1">
      <alignment horizontal="center" vertical="center" wrapText="1"/>
    </xf>
    <xf numFmtId="0" fontId="32" fillId="0" borderId="137" xfId="46" applyFont="1" applyBorder="1" applyAlignment="1">
      <alignment horizontal="center" vertical="center" wrapText="1"/>
    </xf>
    <xf numFmtId="0" fontId="32" fillId="0" borderId="212" xfId="46" applyFont="1" applyBorder="1" applyAlignment="1">
      <alignment horizontal="center" vertical="center" wrapText="1"/>
    </xf>
    <xf numFmtId="0" fontId="32" fillId="0" borderId="130" xfId="46" applyFont="1" applyBorder="1" applyAlignment="1">
      <alignment horizontal="center" vertical="center" wrapText="1"/>
    </xf>
    <xf numFmtId="0" fontId="32" fillId="0" borderId="176" xfId="46" applyFont="1" applyBorder="1" applyAlignment="1">
      <alignment horizontal="center" vertical="center" wrapText="1"/>
    </xf>
    <xf numFmtId="0" fontId="32" fillId="0" borderId="211" xfId="46" applyFont="1" applyBorder="1" applyAlignment="1">
      <alignment horizontal="center" vertical="center" wrapText="1"/>
    </xf>
    <xf numFmtId="0" fontId="32" fillId="0" borderId="23" xfId="46" applyFont="1" applyBorder="1" applyAlignment="1">
      <alignment horizontal="center" vertical="center" wrapText="1"/>
    </xf>
    <xf numFmtId="0" fontId="32" fillId="0" borderId="218" xfId="46" applyFont="1" applyBorder="1" applyAlignment="1">
      <alignment horizontal="center" vertical="center" wrapText="1"/>
    </xf>
    <xf numFmtId="0" fontId="32" fillId="0" borderId="219" xfId="46" applyFont="1" applyBorder="1" applyAlignment="1">
      <alignment horizontal="center" vertical="center" wrapText="1"/>
    </xf>
    <xf numFmtId="0" fontId="74" fillId="0" borderId="24" xfId="1" applyFont="1" applyBorder="1" applyAlignment="1">
      <alignment horizontal="center" vertical="center" wrapText="1"/>
    </xf>
    <xf numFmtId="0" fontId="33" fillId="0" borderId="260" xfId="42" applyFont="1" applyBorder="1" applyAlignment="1">
      <alignment horizontal="right" vertical="center" wrapText="1"/>
    </xf>
    <xf numFmtId="0" fontId="33" fillId="0" borderId="261" xfId="42" applyFont="1" applyBorder="1" applyAlignment="1">
      <alignment horizontal="right" vertical="center" wrapText="1"/>
    </xf>
    <xf numFmtId="0" fontId="33" fillId="0" borderId="150" xfId="42" applyFont="1" applyBorder="1" applyAlignment="1">
      <alignment horizontal="right" vertical="center" wrapText="1"/>
    </xf>
    <xf numFmtId="0" fontId="33" fillId="0" borderId="151" xfId="42" applyFont="1" applyBorder="1" applyAlignment="1">
      <alignment horizontal="right" vertical="center" wrapText="1"/>
    </xf>
    <xf numFmtId="0" fontId="32" fillId="0" borderId="129" xfId="1" applyFont="1" applyBorder="1" applyAlignment="1">
      <alignment horizontal="center" vertical="center" wrapText="1"/>
    </xf>
    <xf numFmtId="0" fontId="32" fillId="0" borderId="39" xfId="1" applyFont="1" applyBorder="1" applyAlignment="1">
      <alignment horizontal="center" vertical="center" wrapText="1"/>
    </xf>
    <xf numFmtId="0" fontId="32" fillId="0" borderId="220" xfId="1" applyFont="1" applyBorder="1" applyAlignment="1">
      <alignment horizontal="center" vertical="center" wrapText="1"/>
    </xf>
    <xf numFmtId="0" fontId="74" fillId="0" borderId="13" xfId="1" applyFont="1" applyBorder="1" applyAlignment="1">
      <alignment horizontal="center" vertical="center" wrapText="1"/>
    </xf>
    <xf numFmtId="0" fontId="74" fillId="0" borderId="30" xfId="1" applyFont="1" applyBorder="1" applyAlignment="1">
      <alignment horizontal="center" vertical="center" wrapText="1"/>
    </xf>
    <xf numFmtId="0" fontId="74" fillId="0" borderId="17" xfId="1" applyFont="1" applyBorder="1" applyAlignment="1">
      <alignment horizontal="center" vertical="center" wrapText="1"/>
    </xf>
    <xf numFmtId="0" fontId="74" fillId="0" borderId="2" xfId="0" applyFont="1" applyBorder="1" applyAlignment="1">
      <alignment horizontal="center"/>
    </xf>
    <xf numFmtId="0" fontId="74" fillId="0" borderId="3" xfId="0" applyFont="1" applyBorder="1" applyAlignment="1">
      <alignment horizontal="center"/>
    </xf>
    <xf numFmtId="0" fontId="74" fillId="0" borderId="4" xfId="0" applyFont="1" applyBorder="1" applyAlignment="1">
      <alignment horizontal="center"/>
    </xf>
    <xf numFmtId="0" fontId="88" fillId="0" borderId="36" xfId="0" applyFont="1" applyBorder="1" applyAlignment="1">
      <alignment horizontal="center" vertical="center" wrapText="1"/>
    </xf>
    <xf numFmtId="0" fontId="88" fillId="0" borderId="63" xfId="0" applyFont="1" applyBorder="1" applyAlignment="1">
      <alignment horizontal="center" vertical="center" wrapText="1"/>
    </xf>
    <xf numFmtId="0" fontId="88" fillId="0" borderId="38" xfId="0" applyFont="1" applyBorder="1" applyAlignment="1">
      <alignment horizontal="center" vertical="center" wrapText="1"/>
    </xf>
    <xf numFmtId="0" fontId="88" fillId="0" borderId="104" xfId="0" applyFont="1" applyBorder="1" applyAlignment="1">
      <alignment horizontal="center" vertical="center" wrapText="1"/>
    </xf>
    <xf numFmtId="0" fontId="88" fillId="0" borderId="281" xfId="0" applyFont="1" applyBorder="1" applyAlignment="1">
      <alignment horizontal="center" vertical="center" wrapText="1"/>
    </xf>
    <xf numFmtId="0" fontId="88" fillId="0" borderId="282" xfId="0" applyFont="1" applyBorder="1" applyAlignment="1">
      <alignment horizontal="center" vertical="center" wrapText="1"/>
    </xf>
    <xf numFmtId="0" fontId="74" fillId="0" borderId="205" xfId="0" applyFont="1" applyBorder="1" applyAlignment="1">
      <alignment horizontal="center" vertical="center" wrapText="1"/>
    </xf>
    <xf numFmtId="0" fontId="74" fillId="0" borderId="220" xfId="0" applyFont="1" applyBorder="1" applyAlignment="1">
      <alignment horizontal="center" vertical="center" wrapText="1"/>
    </xf>
    <xf numFmtId="0" fontId="74" fillId="0" borderId="157" xfId="0" applyFont="1" applyBorder="1" applyAlignment="1">
      <alignment horizontal="center" vertical="center" wrapText="1"/>
    </xf>
    <xf numFmtId="0" fontId="74" fillId="0" borderId="283" xfId="0" applyFont="1" applyBorder="1" applyAlignment="1">
      <alignment horizontal="center" vertical="center" wrapText="1"/>
    </xf>
    <xf numFmtId="0" fontId="74" fillId="0" borderId="157" xfId="0" applyFont="1" applyBorder="1" applyAlignment="1">
      <alignment horizontal="center" vertical="center"/>
    </xf>
    <xf numFmtId="0" fontId="74" fillId="0" borderId="283" xfId="0" applyFont="1" applyBorder="1" applyAlignment="1">
      <alignment horizontal="center" vertical="center"/>
    </xf>
    <xf numFmtId="0" fontId="74" fillId="0" borderId="29" xfId="46" applyFont="1" applyBorder="1" applyAlignment="1">
      <alignment horizontal="center" vertical="center" wrapText="1"/>
    </xf>
    <xf numFmtId="0" fontId="74" fillId="0" borderId="32" xfId="46" applyFont="1" applyBorder="1" applyAlignment="1">
      <alignment horizontal="center" vertical="center" wrapText="1"/>
    </xf>
    <xf numFmtId="0" fontId="74" fillId="0" borderId="33" xfId="46" applyFont="1" applyBorder="1" applyAlignment="1">
      <alignment horizontal="center" vertical="center" wrapText="1"/>
    </xf>
    <xf numFmtId="0" fontId="74" fillId="13" borderId="17" xfId="1" applyFont="1" applyFill="1" applyBorder="1" applyAlignment="1">
      <alignment horizontal="center" vertical="center" wrapText="1"/>
    </xf>
    <xf numFmtId="0" fontId="74" fillId="61" borderId="18" xfId="1" applyFont="1" applyFill="1" applyBorder="1" applyAlignment="1">
      <alignment horizontal="center" vertical="center" wrapText="1"/>
    </xf>
    <xf numFmtId="0" fontId="74" fillId="14" borderId="18" xfId="1" applyFont="1" applyFill="1" applyBorder="1" applyAlignment="1">
      <alignment horizontal="center" vertical="center" wrapText="1"/>
    </xf>
    <xf numFmtId="0" fontId="74" fillId="4" borderId="18" xfId="1" applyFont="1" applyFill="1" applyBorder="1" applyAlignment="1">
      <alignment horizontal="center" vertical="center" wrapText="1"/>
    </xf>
    <xf numFmtId="0" fontId="74" fillId="16" borderId="18" xfId="1" applyFont="1" applyFill="1" applyBorder="1" applyAlignment="1">
      <alignment horizontal="center" vertical="center" wrapText="1"/>
    </xf>
    <xf numFmtId="0" fontId="74" fillId="7" borderId="18" xfId="1" applyFont="1" applyFill="1" applyBorder="1" applyAlignment="1">
      <alignment horizontal="center" vertical="center" wrapText="1"/>
    </xf>
    <xf numFmtId="0" fontId="74" fillId="0" borderId="8" xfId="46" applyFont="1" applyBorder="1" applyAlignment="1">
      <alignment horizontal="center" vertical="center" wrapText="1"/>
    </xf>
    <xf numFmtId="0" fontId="74" fillId="0" borderId="6" xfId="46" applyFont="1" applyBorder="1" applyAlignment="1">
      <alignment horizontal="center" vertical="center" wrapText="1"/>
    </xf>
    <xf numFmtId="0" fontId="74" fillId="0" borderId="7" xfId="46" applyFont="1" applyBorder="1" applyAlignment="1">
      <alignment horizontal="center" vertical="center" wrapText="1"/>
    </xf>
    <xf numFmtId="0" fontId="74" fillId="19" borderId="18" xfId="1" applyFont="1" applyFill="1" applyBorder="1" applyAlignment="1">
      <alignment horizontal="center" vertical="center" wrapText="1"/>
    </xf>
    <xf numFmtId="0" fontId="74" fillId="8" borderId="18" xfId="1" applyFont="1" applyFill="1" applyBorder="1" applyAlignment="1">
      <alignment horizontal="center" vertical="center" wrapText="1"/>
    </xf>
    <xf numFmtId="0" fontId="74" fillId="20" borderId="18" xfId="1" applyFont="1" applyFill="1" applyBorder="1" applyAlignment="1">
      <alignment horizontal="center" vertical="center" wrapText="1"/>
    </xf>
    <xf numFmtId="0" fontId="74" fillId="11" borderId="18" xfId="1" applyFont="1" applyFill="1" applyBorder="1" applyAlignment="1">
      <alignment horizontal="center" vertical="center" wrapText="1"/>
    </xf>
    <xf numFmtId="0" fontId="74" fillId="0" borderId="9" xfId="46" applyFont="1" applyBorder="1" applyAlignment="1">
      <alignment horizontal="center" vertical="center" wrapText="1"/>
    </xf>
    <xf numFmtId="0" fontId="74" fillId="0" borderId="31" xfId="46" applyFont="1" applyBorder="1" applyAlignment="1">
      <alignment horizontal="center" vertical="center" wrapText="1"/>
    </xf>
    <xf numFmtId="0" fontId="74" fillId="9" borderId="18" xfId="46" applyFont="1" applyFill="1" applyBorder="1" applyAlignment="1">
      <alignment horizontal="center" vertical="center" wrapText="1"/>
    </xf>
    <xf numFmtId="0" fontId="74" fillId="22" borderId="18" xfId="1" applyFont="1" applyFill="1" applyBorder="1" applyAlignment="1">
      <alignment horizontal="center" vertical="center" wrapText="1"/>
    </xf>
    <xf numFmtId="0" fontId="74" fillId="23" borderId="18" xfId="1" applyFont="1" applyFill="1" applyBorder="1" applyAlignment="1">
      <alignment horizontal="center" vertical="center" wrapText="1"/>
    </xf>
    <xf numFmtId="0" fontId="74" fillId="12" borderId="18" xfId="1" applyFont="1" applyFill="1" applyBorder="1" applyAlignment="1">
      <alignment horizontal="center" vertical="center" wrapText="1"/>
    </xf>
    <xf numFmtId="0" fontId="74" fillId="10" borderId="18" xfId="46" applyFont="1" applyFill="1" applyBorder="1" applyAlignment="1">
      <alignment horizontal="center" vertical="center" wrapText="1"/>
    </xf>
    <xf numFmtId="0" fontId="74" fillId="21" borderId="18" xfId="46" applyFont="1" applyFill="1" applyBorder="1" applyAlignment="1">
      <alignment horizontal="center" vertical="center" wrapText="1"/>
    </xf>
    <xf numFmtId="0" fontId="74" fillId="15" borderId="18" xfId="46" applyFont="1" applyFill="1" applyBorder="1" applyAlignment="1">
      <alignment horizontal="center" vertical="center" wrapText="1"/>
    </xf>
    <xf numFmtId="0" fontId="74" fillId="24" borderId="18" xfId="1" applyFont="1" applyFill="1" applyBorder="1" applyAlignment="1">
      <alignment horizontal="center" vertical="center" wrapText="1"/>
    </xf>
    <xf numFmtId="11" fontId="33" fillId="0" borderId="9" xfId="46" applyNumberFormat="1" applyFont="1" applyBorder="1" applyAlignment="1">
      <alignment horizontal="center" vertical="center" wrapText="1"/>
    </xf>
    <xf numFmtId="11" fontId="33" fillId="0" borderId="31" xfId="46" applyNumberFormat="1" applyFont="1" applyBorder="1" applyAlignment="1">
      <alignment horizontal="center" vertical="center" wrapText="1"/>
    </xf>
    <xf numFmtId="0" fontId="74" fillId="0" borderId="179" xfId="46" applyFont="1" applyBorder="1" applyAlignment="1">
      <alignment horizontal="center" vertical="center" wrapText="1"/>
    </xf>
    <xf numFmtId="0" fontId="74" fillId="0" borderId="137" xfId="46" applyFont="1" applyBorder="1" applyAlignment="1">
      <alignment horizontal="center" vertical="center" wrapText="1"/>
    </xf>
    <xf numFmtId="0" fontId="74" fillId="0" borderId="138" xfId="46" applyFont="1" applyBorder="1" applyAlignment="1">
      <alignment horizontal="center" vertical="center" wrapText="1"/>
    </xf>
    <xf numFmtId="0" fontId="74" fillId="0" borderId="14" xfId="46" applyFont="1" applyBorder="1" applyAlignment="1">
      <alignment horizontal="center" vertical="center" wrapText="1"/>
    </xf>
    <xf numFmtId="0" fontId="74" fillId="0" borderId="24" xfId="46" applyFont="1" applyBorder="1" applyAlignment="1">
      <alignment horizontal="center" vertical="center" wrapText="1"/>
    </xf>
    <xf numFmtId="0" fontId="32" fillId="0" borderId="199" xfId="46" applyFont="1" applyBorder="1" applyAlignment="1">
      <alignment horizontal="center" vertical="center"/>
    </xf>
    <xf numFmtId="0" fontId="32" fillId="0" borderId="200" xfId="46" applyFont="1" applyBorder="1" applyAlignment="1">
      <alignment horizontal="center" vertical="center"/>
    </xf>
    <xf numFmtId="0" fontId="74" fillId="0" borderId="235" xfId="46" applyFont="1" applyBorder="1" applyAlignment="1">
      <alignment horizontal="center" vertical="center" wrapText="1"/>
    </xf>
    <xf numFmtId="0" fontId="74" fillId="0" borderId="104" xfId="46" applyFont="1" applyBorder="1" applyAlignment="1">
      <alignment horizontal="center" vertical="center" wrapText="1"/>
    </xf>
    <xf numFmtId="0" fontId="74" fillId="0" borderId="236" xfId="46" applyFont="1" applyBorder="1" applyAlignment="1">
      <alignment horizontal="center" vertical="center" wrapText="1"/>
    </xf>
    <xf numFmtId="11" fontId="33" fillId="0" borderId="29" xfId="46" applyNumberFormat="1" applyFont="1" applyBorder="1" applyAlignment="1">
      <alignment horizontal="center" vertical="center" wrapText="1"/>
    </xf>
    <xf numFmtId="11" fontId="33" fillId="0" borderId="32" xfId="46" applyNumberFormat="1" applyFont="1" applyBorder="1" applyAlignment="1">
      <alignment horizontal="center" vertical="center" wrapText="1"/>
    </xf>
    <xf numFmtId="0" fontId="88" fillId="0" borderId="82" xfId="46" applyFont="1" applyBorder="1" applyAlignment="1">
      <alignment horizontal="center" vertical="center" wrapText="1"/>
    </xf>
    <xf numFmtId="0" fontId="88" fillId="0" borderId="12" xfId="46" applyFont="1" applyBorder="1" applyAlignment="1">
      <alignment horizontal="center" vertical="center" wrapText="1"/>
    </xf>
    <xf numFmtId="0" fontId="88" fillId="0" borderId="226" xfId="46" applyFont="1" applyBorder="1" applyAlignment="1">
      <alignment horizontal="center" vertical="center" wrapText="1"/>
    </xf>
    <xf numFmtId="0" fontId="32" fillId="0" borderId="34" xfId="46" applyFont="1" applyBorder="1" applyAlignment="1">
      <alignment horizontal="center" vertical="center"/>
    </xf>
    <xf numFmtId="0" fontId="32" fillId="0" borderId="42" xfId="46" applyFont="1" applyBorder="1" applyAlignment="1">
      <alignment horizontal="center" vertical="center"/>
    </xf>
    <xf numFmtId="0" fontId="32" fillId="0" borderId="20" xfId="46" applyFont="1" applyBorder="1" applyAlignment="1">
      <alignment horizontal="center" vertical="center"/>
    </xf>
    <xf numFmtId="0" fontId="74" fillId="0" borderId="15" xfId="1" applyFont="1" applyBorder="1" applyAlignment="1">
      <alignment horizontal="center" vertical="center" wrapText="1"/>
    </xf>
    <xf numFmtId="0" fontId="74" fillId="0" borderId="29" xfId="1" applyFont="1" applyBorder="1" applyAlignment="1">
      <alignment horizontal="center" vertical="center" wrapText="1"/>
    </xf>
    <xf numFmtId="0" fontId="74" fillId="0" borderId="32" xfId="1" applyFont="1" applyBorder="1" applyAlignment="1">
      <alignment horizontal="center" vertical="center" wrapText="1"/>
    </xf>
    <xf numFmtId="0" fontId="74" fillId="0" borderId="25" xfId="1" applyFont="1" applyBorder="1" applyAlignment="1">
      <alignment horizontal="center" vertical="center" wrapText="1"/>
    </xf>
    <xf numFmtId="0" fontId="74" fillId="0" borderId="9" xfId="1" applyFont="1" applyBorder="1" applyAlignment="1">
      <alignment horizontal="center" vertical="center" wrapText="1"/>
    </xf>
    <xf numFmtId="0" fontId="74" fillId="0" borderId="8" xfId="1" applyFont="1" applyBorder="1" applyAlignment="1">
      <alignment horizontal="center" vertical="center" wrapText="1"/>
    </xf>
    <xf numFmtId="0" fontId="74" fillId="0" borderId="6" xfId="1" applyFont="1" applyBorder="1" applyAlignment="1">
      <alignment horizontal="center" vertical="center" wrapText="1"/>
    </xf>
    <xf numFmtId="0" fontId="74" fillId="0" borderId="7" xfId="1" applyFont="1" applyBorder="1" applyAlignment="1">
      <alignment horizontal="center" vertical="center" wrapText="1"/>
    </xf>
    <xf numFmtId="0" fontId="33" fillId="0" borderId="250" xfId="46" applyFont="1" applyBorder="1" applyAlignment="1">
      <alignment horizontal="right" vertical="center" wrapText="1"/>
    </xf>
    <xf numFmtId="0" fontId="33" fillId="0" borderId="269" xfId="46" applyFont="1" applyBorder="1" applyAlignment="1">
      <alignment horizontal="right" vertical="center" wrapText="1"/>
    </xf>
    <xf numFmtId="0" fontId="74" fillId="0" borderId="163" xfId="46" applyFont="1" applyBorder="1" applyAlignment="1">
      <alignment horizontal="center" vertical="center" wrapText="1"/>
    </xf>
    <xf numFmtId="0" fontId="74" fillId="0" borderId="59" xfId="46" applyFont="1" applyBorder="1" applyAlignment="1">
      <alignment horizontal="center" vertical="center" wrapText="1"/>
    </xf>
    <xf numFmtId="0" fontId="74" fillId="0" borderId="122" xfId="46" applyFont="1" applyBorder="1" applyAlignment="1">
      <alignment horizontal="center" vertical="center" wrapText="1"/>
    </xf>
    <xf numFmtId="0" fontId="74" fillId="0" borderId="120" xfId="46" applyFont="1" applyBorder="1" applyAlignment="1">
      <alignment horizontal="center" vertical="center" wrapText="1"/>
    </xf>
    <xf numFmtId="0" fontId="74" fillId="0" borderId="196" xfId="46" applyFont="1" applyBorder="1" applyAlignment="1">
      <alignment horizontal="center" vertical="center" wrapText="1"/>
    </xf>
    <xf numFmtId="0" fontId="74" fillId="0" borderId="209" xfId="46" applyFont="1" applyBorder="1" applyAlignment="1">
      <alignment horizontal="center" vertical="center" wrapText="1"/>
    </xf>
    <xf numFmtId="0" fontId="85" fillId="0" borderId="175" xfId="46" applyFont="1" applyBorder="1" applyAlignment="1">
      <alignment horizontal="center" vertical="center" wrapText="1"/>
    </xf>
    <xf numFmtId="0" fontId="85" fillId="0" borderId="176" xfId="46" applyFont="1" applyBorder="1" applyAlignment="1">
      <alignment horizontal="center" vertical="center" wrapText="1"/>
    </xf>
    <xf numFmtId="0" fontId="85" fillId="0" borderId="177" xfId="46" applyFont="1" applyBorder="1" applyAlignment="1">
      <alignment horizontal="center" vertical="center" wrapText="1"/>
    </xf>
    <xf numFmtId="0" fontId="74" fillId="0" borderId="5" xfId="1" applyFont="1" applyBorder="1" applyAlignment="1">
      <alignment horizontal="center" vertical="center" wrapText="1"/>
    </xf>
    <xf numFmtId="11" fontId="33" fillId="0" borderId="181" xfId="42" applyNumberFormat="1" applyFont="1" applyBorder="1" applyAlignment="1">
      <alignment horizontal="center" vertical="center"/>
    </xf>
    <xf numFmtId="11" fontId="33" fillId="0" borderId="132" xfId="42" applyNumberFormat="1" applyFont="1" applyBorder="1" applyAlignment="1">
      <alignment horizontal="center" vertical="center"/>
    </xf>
    <xf numFmtId="11" fontId="33" fillId="0" borderId="128" xfId="42" applyNumberFormat="1" applyFont="1" applyBorder="1" applyAlignment="1">
      <alignment horizontal="center" vertical="center"/>
    </xf>
    <xf numFmtId="0" fontId="32" fillId="0" borderId="37" xfId="1" applyFont="1" applyBorder="1" applyAlignment="1">
      <alignment horizontal="center" vertical="center" wrapText="1"/>
    </xf>
    <xf numFmtId="0" fontId="32" fillId="0" borderId="40" xfId="1" applyFont="1" applyBorder="1" applyAlignment="1">
      <alignment horizontal="center" vertical="center" wrapText="1"/>
    </xf>
    <xf numFmtId="0" fontId="32" fillId="0" borderId="210" xfId="1" applyFont="1" applyBorder="1" applyAlignment="1">
      <alignment horizontal="center" vertical="center" wrapText="1"/>
    </xf>
    <xf numFmtId="11" fontId="33" fillId="0" borderId="239" xfId="46" applyNumberFormat="1" applyFont="1" applyBorder="1" applyAlignment="1">
      <alignment horizontal="center" vertical="center" wrapText="1"/>
    </xf>
    <xf numFmtId="0" fontId="74" fillId="0" borderId="203" xfId="46" applyFont="1" applyBorder="1" applyAlignment="1">
      <alignment horizontal="center" vertical="center" wrapText="1"/>
    </xf>
    <xf numFmtId="0" fontId="74" fillId="0" borderId="39" xfId="46" applyFont="1" applyBorder="1" applyAlignment="1">
      <alignment horizontal="center" vertical="center" wrapText="1"/>
    </xf>
    <xf numFmtId="0" fontId="74" fillId="0" borderId="237" xfId="46" applyFont="1" applyBorder="1" applyAlignment="1">
      <alignment horizontal="center" vertical="center" wrapText="1"/>
    </xf>
    <xf numFmtId="0" fontId="33" fillId="0" borderId="242" xfId="46" applyFont="1" applyBorder="1" applyAlignment="1">
      <alignment horizontal="left" vertical="center"/>
    </xf>
    <xf numFmtId="0" fontId="33" fillId="0" borderId="243" xfId="46" applyFont="1" applyBorder="1" applyAlignment="1">
      <alignment horizontal="left" vertical="center"/>
    </xf>
    <xf numFmtId="11" fontId="33" fillId="0" borderId="44" xfId="42" applyNumberFormat="1" applyFont="1" applyBorder="1" applyAlignment="1">
      <alignment horizontal="center" vertical="center" wrapText="1"/>
    </xf>
    <xf numFmtId="11" fontId="33" fillId="0" borderId="131" xfId="42" applyNumberFormat="1" applyFont="1" applyBorder="1" applyAlignment="1">
      <alignment horizontal="center" vertical="center"/>
    </xf>
    <xf numFmtId="0" fontId="85" fillId="91" borderId="136" xfId="1" applyFont="1" applyFill="1" applyBorder="1" applyAlignment="1">
      <alignment horizontal="center" vertical="center" wrapText="1"/>
    </xf>
    <xf numFmtId="0" fontId="85" fillId="91" borderId="137" xfId="1" applyFont="1" applyFill="1" applyBorder="1" applyAlignment="1">
      <alignment horizontal="center" vertical="center" wrapText="1"/>
    </xf>
    <xf numFmtId="0" fontId="85" fillId="91" borderId="138" xfId="1" applyFont="1" applyFill="1" applyBorder="1" applyAlignment="1">
      <alignment horizontal="center" vertical="center" wrapText="1"/>
    </xf>
    <xf numFmtId="0" fontId="98" fillId="0" borderId="247" xfId="46" applyFont="1" applyBorder="1">
      <alignment vertical="center"/>
    </xf>
    <xf numFmtId="0" fontId="98" fillId="0" borderId="248" xfId="46" applyFont="1" applyBorder="1">
      <alignment vertical="center"/>
    </xf>
    <xf numFmtId="184" fontId="33" fillId="0" borderId="248" xfId="46" applyNumberFormat="1" applyFont="1" applyBorder="1" applyAlignment="1">
      <alignment horizontal="left" vertical="center"/>
    </xf>
    <xf numFmtId="184" fontId="33" fillId="0" borderId="249" xfId="46" applyNumberFormat="1" applyFont="1" applyBorder="1" applyAlignment="1">
      <alignment horizontal="left" vertical="center"/>
    </xf>
    <xf numFmtId="0" fontId="32" fillId="91" borderId="83" xfId="1" applyFont="1" applyFill="1" applyBorder="1" applyAlignment="1">
      <alignment horizontal="center" vertical="center" wrapText="1"/>
    </xf>
    <xf numFmtId="0" fontId="32" fillId="91" borderId="59" xfId="1" applyFont="1" applyFill="1" applyBorder="1" applyAlignment="1">
      <alignment horizontal="center" vertical="center" wrapText="1"/>
    </xf>
    <xf numFmtId="0" fontId="32" fillId="91" borderId="194" xfId="1" applyFont="1" applyFill="1" applyBorder="1" applyAlignment="1">
      <alignment horizontal="center" vertical="center" wrapText="1"/>
    </xf>
    <xf numFmtId="0" fontId="74" fillId="0" borderId="275" xfId="1" applyFont="1" applyBorder="1" applyAlignment="1">
      <alignment horizontal="center" vertical="center" wrapText="1"/>
    </xf>
    <xf numFmtId="0" fontId="32" fillId="0" borderId="116" xfId="46" applyFont="1" applyBorder="1" applyAlignment="1">
      <alignment horizontal="center" vertical="center"/>
    </xf>
    <xf numFmtId="0" fontId="98" fillId="0" borderId="60" xfId="46" applyFont="1" applyBorder="1">
      <alignment vertical="center"/>
    </xf>
    <xf numFmtId="0" fontId="98" fillId="0" borderId="230" xfId="46" applyFont="1" applyBorder="1">
      <alignment vertical="center"/>
    </xf>
    <xf numFmtId="22" fontId="33" fillId="0" borderId="231" xfId="46" applyNumberFormat="1" applyFont="1" applyBorder="1" applyAlignment="1">
      <alignment horizontal="left" vertical="center"/>
    </xf>
    <xf numFmtId="0" fontId="33" fillId="0" borderId="3" xfId="46" applyFont="1" applyBorder="1" applyAlignment="1">
      <alignment horizontal="left" vertical="center"/>
    </xf>
    <xf numFmtId="0" fontId="33" fillId="0" borderId="4" xfId="46" applyFont="1" applyBorder="1" applyAlignment="1">
      <alignment horizontal="left" vertical="center"/>
    </xf>
    <xf numFmtId="0" fontId="98" fillId="0" borderId="160" xfId="46" applyFont="1" applyBorder="1">
      <alignment vertical="center"/>
    </xf>
    <xf numFmtId="0" fontId="98" fillId="0" borderId="232" xfId="46" applyFont="1" applyBorder="1">
      <alignment vertical="center"/>
    </xf>
    <xf numFmtId="0" fontId="33" fillId="0" borderId="233" xfId="46" applyFont="1" applyBorder="1" applyAlignment="1">
      <alignment horizontal="left" vertical="center"/>
    </xf>
    <xf numFmtId="0" fontId="33" fillId="0" borderId="182" xfId="46" applyFont="1" applyBorder="1" applyAlignment="1">
      <alignment horizontal="left" vertical="center"/>
    </xf>
    <xf numFmtId="0" fontId="33" fillId="0" borderId="183" xfId="46" applyFont="1" applyBorder="1" applyAlignment="1">
      <alignment horizontal="left" vertical="center"/>
    </xf>
    <xf numFmtId="0" fontId="98" fillId="0" borderId="241" xfId="46" applyFont="1" applyBorder="1">
      <alignment vertical="center"/>
    </xf>
    <xf numFmtId="0" fontId="98" fillId="0" borderId="242" xfId="46" applyFont="1" applyBorder="1">
      <alignment vertical="center"/>
    </xf>
    <xf numFmtId="0" fontId="98" fillId="0" borderId="244" xfId="46" applyFont="1" applyBorder="1">
      <alignment vertical="center"/>
    </xf>
    <xf numFmtId="0" fontId="98" fillId="0" borderId="245" xfId="46" applyFont="1" applyBorder="1">
      <alignment vertical="center"/>
    </xf>
    <xf numFmtId="0" fontId="33" fillId="0" borderId="245" xfId="46" applyFont="1" applyBorder="1" applyAlignment="1">
      <alignment horizontal="left" vertical="center"/>
    </xf>
    <xf numFmtId="0" fontId="33" fillId="0" borderId="246" xfId="46" applyFont="1" applyBorder="1" applyAlignment="1">
      <alignment horizontal="left" vertical="center"/>
    </xf>
    <xf numFmtId="0" fontId="74" fillId="0" borderId="224" xfId="0" applyFont="1" applyBorder="1" applyAlignment="1">
      <alignment horizontal="center" vertical="center"/>
    </xf>
    <xf numFmtId="0" fontId="74" fillId="0" borderId="284" xfId="0" applyFont="1" applyBorder="1" applyAlignment="1">
      <alignment horizontal="center" vertical="center"/>
    </xf>
    <xf numFmtId="185" fontId="33" fillId="0" borderId="248" xfId="46" applyNumberFormat="1" applyFont="1" applyBorder="1" applyAlignment="1">
      <alignment horizontal="left" vertical="center"/>
    </xf>
    <xf numFmtId="185" fontId="33" fillId="0" borderId="249" xfId="46" applyNumberFormat="1" applyFont="1" applyBorder="1" applyAlignment="1">
      <alignment horizontal="left" vertical="center"/>
    </xf>
    <xf numFmtId="10" fontId="33" fillId="0" borderId="181" xfId="46" applyNumberFormat="1" applyFont="1" applyBorder="1" applyAlignment="1">
      <alignment horizontal="center" vertical="center" wrapText="1"/>
    </xf>
    <xf numFmtId="10" fontId="33" fillId="0" borderId="132" xfId="46" applyNumberFormat="1" applyFont="1" applyBorder="1" applyAlignment="1">
      <alignment horizontal="center" vertical="center" wrapText="1"/>
    </xf>
    <xf numFmtId="10" fontId="33" fillId="0" borderId="192" xfId="46" applyNumberFormat="1" applyFont="1" applyBorder="1" applyAlignment="1">
      <alignment horizontal="center" vertical="center" wrapText="1"/>
    </xf>
    <xf numFmtId="0" fontId="74" fillId="0" borderId="10" xfId="1" applyFont="1" applyBorder="1" applyAlignment="1">
      <alignment horizontal="center" vertical="center" wrapText="1"/>
    </xf>
    <xf numFmtId="0" fontId="74" fillId="0" borderId="11" xfId="1" applyFont="1" applyBorder="1" applyAlignment="1">
      <alignment horizontal="center" vertical="center" wrapText="1"/>
    </xf>
    <xf numFmtId="0" fontId="74" fillId="0" borderId="100" xfId="1" applyFont="1" applyBorder="1" applyAlignment="1">
      <alignment horizontal="center" vertical="center" wrapText="1"/>
    </xf>
    <xf numFmtId="0" fontId="74" fillId="0" borderId="35" xfId="1" applyFont="1" applyBorder="1" applyAlignment="1">
      <alignment horizontal="center" vertical="center" wrapText="1"/>
    </xf>
    <xf numFmtId="0" fontId="30" fillId="0" borderId="109" xfId="5894" applyFont="1" applyBorder="1" applyAlignment="1" applyProtection="1">
      <alignment horizontal="center" vertical="center" wrapText="1"/>
      <protection locked="0"/>
    </xf>
    <xf numFmtId="0" fontId="29" fillId="0" borderId="157" xfId="5890" applyFont="1" applyBorder="1" applyAlignment="1" applyProtection="1">
      <alignment horizontal="left" vertical="center"/>
      <protection locked="0"/>
    </xf>
    <xf numFmtId="0" fontId="29" fillId="0" borderId="76" xfId="5890" applyFont="1" applyBorder="1" applyAlignment="1" applyProtection="1">
      <alignment horizontal="left" vertical="center"/>
      <protection locked="0"/>
    </xf>
    <xf numFmtId="0" fontId="30" fillId="0" borderId="152" xfId="5890" applyFont="1" applyBorder="1" applyAlignment="1" applyProtection="1">
      <alignment horizontal="center" vertical="center"/>
      <protection hidden="1"/>
    </xf>
    <xf numFmtId="0" fontId="30" fillId="0" borderId="193" xfId="5890" applyFont="1" applyBorder="1" applyAlignment="1" applyProtection="1">
      <alignment horizontal="center" vertical="center"/>
      <protection hidden="1"/>
    </xf>
    <xf numFmtId="0" fontId="30" fillId="0" borderId="153" xfId="5890" applyFont="1" applyBorder="1" applyAlignment="1" applyProtection="1">
      <alignment horizontal="center" vertical="center"/>
      <protection hidden="1"/>
    </xf>
    <xf numFmtId="0" fontId="30" fillId="0" borderId="95" xfId="5890" applyFont="1" applyBorder="1" applyAlignment="1" applyProtection="1">
      <alignment horizontal="center" vertical="center"/>
      <protection hidden="1"/>
    </xf>
    <xf numFmtId="0" fontId="30" fillId="0" borderId="19" xfId="5890" applyFont="1" applyBorder="1" applyAlignment="1" applyProtection="1">
      <alignment horizontal="center" vertical="center"/>
      <protection hidden="1"/>
    </xf>
    <xf numFmtId="0" fontId="30" fillId="0" borderId="93" xfId="5890" applyFont="1" applyBorder="1" applyAlignment="1" applyProtection="1">
      <alignment horizontal="center" vertical="center"/>
      <protection hidden="1"/>
    </xf>
    <xf numFmtId="0" fontId="30" fillId="0" borderId="110" xfId="5890" applyFont="1" applyBorder="1" applyAlignment="1" applyProtection="1">
      <alignment horizontal="center"/>
      <protection hidden="1"/>
    </xf>
    <xf numFmtId="0" fontId="30" fillId="0" borderId="89" xfId="5890" applyFont="1" applyBorder="1" applyAlignment="1" applyProtection="1">
      <alignment horizontal="center"/>
      <protection hidden="1"/>
    </xf>
    <xf numFmtId="0" fontId="30" fillId="0" borderId="170" xfId="5890" applyFont="1" applyBorder="1" applyAlignment="1" applyProtection="1">
      <alignment horizontal="center"/>
      <protection hidden="1"/>
    </xf>
    <xf numFmtId="0" fontId="30" fillId="0" borderId="108" xfId="5890" applyFont="1" applyBorder="1" applyAlignment="1" applyProtection="1">
      <alignment horizontal="center"/>
      <protection hidden="1"/>
    </xf>
    <xf numFmtId="0" fontId="30" fillId="0" borderId="149" xfId="5890" applyFont="1" applyBorder="1" applyAlignment="1" applyProtection="1">
      <alignment horizontal="center"/>
      <protection hidden="1"/>
    </xf>
    <xf numFmtId="0" fontId="30" fillId="0" borderId="148" xfId="5890" applyFont="1" applyBorder="1" applyAlignment="1" applyProtection="1">
      <alignment horizontal="center"/>
      <protection hidden="1"/>
    </xf>
    <xf numFmtId="10" fontId="30" fillId="0" borderId="110" xfId="5890" applyNumberFormat="1" applyFont="1" applyBorder="1" applyAlignment="1" applyProtection="1">
      <alignment horizontal="center"/>
      <protection hidden="1"/>
    </xf>
  </cellXfs>
  <cellStyles count="11269">
    <cellStyle name="20% - アクセント 1" xfId="19" builtinId="30" customBuiltin="1"/>
    <cellStyle name="20% - アクセント 1 2" xfId="50" xr:uid="{00000000-0005-0000-0000-000001000000}"/>
    <cellStyle name="20% - アクセント 1 3" xfId="119" xr:uid="{00000000-0005-0000-0000-000002000000}"/>
    <cellStyle name="20% - アクセント 1 3 2" xfId="609" xr:uid="{00000000-0005-0000-0000-000003000000}"/>
    <cellStyle name="20% - アクセント 1 3 2 2" xfId="1715" xr:uid="{00000000-0005-0000-0000-000004000000}"/>
    <cellStyle name="20% - アクセント 1 3 2 2 2" xfId="2625" xr:uid="{00000000-0005-0000-0000-000005000000}"/>
    <cellStyle name="20% - アクセント 1 3 2 2 2 2" xfId="5480" xr:uid="{00000000-0005-0000-0000-000006000000}"/>
    <cellStyle name="20% - アクセント 1 3 2 2 2 2 2" xfId="10846" xr:uid="{00000000-0005-0000-0000-000007000000}"/>
    <cellStyle name="20% - アクセント 1 3 2 2 2 3" xfId="8174" xr:uid="{00000000-0005-0000-0000-000008000000}"/>
    <cellStyle name="20% - アクセント 1 3 2 2 3" xfId="2975" xr:uid="{00000000-0005-0000-0000-000009000000}"/>
    <cellStyle name="20% - アクセント 1 3 2 2 3 2" xfId="5816" xr:uid="{00000000-0005-0000-0000-00000A000000}"/>
    <cellStyle name="20% - アクセント 1 3 2 2 3 2 2" xfId="11182" xr:uid="{00000000-0005-0000-0000-00000B000000}"/>
    <cellStyle name="20% - アクセント 1 3 2 2 3 3" xfId="8523" xr:uid="{00000000-0005-0000-0000-00000C000000}"/>
    <cellStyle name="20% - アクセント 1 3 2 2 4" xfId="3055" xr:uid="{00000000-0005-0000-0000-00000D000000}"/>
    <cellStyle name="20% - アクセント 1 3 2 2 4 2" xfId="8603" xr:uid="{00000000-0005-0000-0000-00000E000000}"/>
    <cellStyle name="20% - アクセント 1 3 2 2 5" xfId="7402" xr:uid="{00000000-0005-0000-0000-00000F000000}"/>
    <cellStyle name="20% - アクセント 1 3 2 3" xfId="2343" xr:uid="{00000000-0005-0000-0000-000010000000}"/>
    <cellStyle name="20% - アクセント 1 3 2 3 2" xfId="5214" xr:uid="{00000000-0005-0000-0000-000011000000}"/>
    <cellStyle name="20% - アクセント 1 3 2 3 2 2" xfId="10671" xr:uid="{00000000-0005-0000-0000-000012000000}"/>
    <cellStyle name="20% - アクセント 1 3 2 3 3" xfId="7984" xr:uid="{00000000-0005-0000-0000-000013000000}"/>
    <cellStyle name="20% - アクセント 1 3 2 4" xfId="2808" xr:uid="{00000000-0005-0000-0000-000014000000}"/>
    <cellStyle name="20% - アクセント 1 3 2 4 2" xfId="5649" xr:uid="{00000000-0005-0000-0000-000015000000}"/>
    <cellStyle name="20% - アクセント 1 3 2 4 2 2" xfId="11015" xr:uid="{00000000-0005-0000-0000-000016000000}"/>
    <cellStyle name="20% - アクセント 1 3 2 4 3" xfId="8356" xr:uid="{00000000-0005-0000-0000-000017000000}"/>
    <cellStyle name="20% - アクセント 1 3 2 5" xfId="3054" xr:uid="{00000000-0005-0000-0000-000018000000}"/>
    <cellStyle name="20% - アクセント 1 3 2 5 2" xfId="8602" xr:uid="{00000000-0005-0000-0000-000019000000}"/>
    <cellStyle name="20% - アクセント 1 3 2 6" xfId="6393" xr:uid="{00000000-0005-0000-0000-00001A000000}"/>
    <cellStyle name="20% - アクセント 1 3 3" xfId="1228" xr:uid="{00000000-0005-0000-0000-00001B000000}"/>
    <cellStyle name="20% - アクセント 1 3 3 2" xfId="2561" xr:uid="{00000000-0005-0000-0000-00001C000000}"/>
    <cellStyle name="20% - アクセント 1 3 3 2 2" xfId="5426" xr:uid="{00000000-0005-0000-0000-00001D000000}"/>
    <cellStyle name="20% - アクセント 1 3 3 2 2 2" xfId="10792" xr:uid="{00000000-0005-0000-0000-00001E000000}"/>
    <cellStyle name="20% - アクセント 1 3 3 2 3" xfId="8110" xr:uid="{00000000-0005-0000-0000-00001F000000}"/>
    <cellStyle name="20% - アクセント 1 3 3 3" xfId="2921" xr:uid="{00000000-0005-0000-0000-000020000000}"/>
    <cellStyle name="20% - アクセント 1 3 3 3 2" xfId="5762" xr:uid="{00000000-0005-0000-0000-000021000000}"/>
    <cellStyle name="20% - アクセント 1 3 3 3 2 2" xfId="11128" xr:uid="{00000000-0005-0000-0000-000022000000}"/>
    <cellStyle name="20% - アクセント 1 3 3 3 3" xfId="8469" xr:uid="{00000000-0005-0000-0000-000023000000}"/>
    <cellStyle name="20% - アクセント 1 3 3 4" xfId="3056" xr:uid="{00000000-0005-0000-0000-000024000000}"/>
    <cellStyle name="20% - アクセント 1 3 3 4 2" xfId="8604" xr:uid="{00000000-0005-0000-0000-000025000000}"/>
    <cellStyle name="20% - アクセント 1 3 3 5" xfId="6958" xr:uid="{00000000-0005-0000-0000-000026000000}"/>
    <cellStyle name="20% - アクセント 1 3 4" xfId="2288" xr:uid="{00000000-0005-0000-0000-000027000000}"/>
    <cellStyle name="20% - アクセント 1 3 4 2" xfId="5159" xr:uid="{00000000-0005-0000-0000-000028000000}"/>
    <cellStyle name="20% - アクセント 1 3 4 2 2" xfId="10616" xr:uid="{00000000-0005-0000-0000-000029000000}"/>
    <cellStyle name="20% - アクセント 1 3 4 3" xfId="7929" xr:uid="{00000000-0005-0000-0000-00002A000000}"/>
    <cellStyle name="20% - アクセント 1 3 5" xfId="2753" xr:uid="{00000000-0005-0000-0000-00002B000000}"/>
    <cellStyle name="20% - アクセント 1 3 5 2" xfId="5594" xr:uid="{00000000-0005-0000-0000-00002C000000}"/>
    <cellStyle name="20% - アクセント 1 3 5 2 2" xfId="10960" xr:uid="{00000000-0005-0000-0000-00002D000000}"/>
    <cellStyle name="20% - アクセント 1 3 5 3" xfId="8301" xr:uid="{00000000-0005-0000-0000-00002E000000}"/>
    <cellStyle name="20% - アクセント 1 3 6" xfId="3053" xr:uid="{00000000-0005-0000-0000-00002F000000}"/>
    <cellStyle name="20% - アクセント 1 3 6 2" xfId="8601" xr:uid="{00000000-0005-0000-0000-000030000000}"/>
    <cellStyle name="20% - アクセント 1 3 7" xfId="5946" xr:uid="{00000000-0005-0000-0000-000031000000}"/>
    <cellStyle name="20% - アクセント 1 4" xfId="580" xr:uid="{00000000-0005-0000-0000-000032000000}"/>
    <cellStyle name="20% - アクセント 1 4 2" xfId="1687" xr:uid="{00000000-0005-0000-0000-000033000000}"/>
    <cellStyle name="20% - アクセント 1 4 2 2" xfId="2598" xr:uid="{00000000-0005-0000-0000-000034000000}"/>
    <cellStyle name="20% - アクセント 1 4 2 2 2" xfId="5453" xr:uid="{00000000-0005-0000-0000-000035000000}"/>
    <cellStyle name="20% - アクセント 1 4 2 2 2 2" xfId="10819" xr:uid="{00000000-0005-0000-0000-000036000000}"/>
    <cellStyle name="20% - アクセント 1 4 2 2 3" xfId="8147" xr:uid="{00000000-0005-0000-0000-000037000000}"/>
    <cellStyle name="20% - アクセント 1 4 2 3" xfId="2948" xr:uid="{00000000-0005-0000-0000-000038000000}"/>
    <cellStyle name="20% - アクセント 1 4 2 3 2" xfId="5789" xr:uid="{00000000-0005-0000-0000-000039000000}"/>
    <cellStyle name="20% - アクセント 1 4 2 3 2 2" xfId="11155" xr:uid="{00000000-0005-0000-0000-00003A000000}"/>
    <cellStyle name="20% - アクセント 1 4 2 3 3" xfId="8496" xr:uid="{00000000-0005-0000-0000-00003B000000}"/>
    <cellStyle name="20% - アクセント 1 4 2 4" xfId="3058" xr:uid="{00000000-0005-0000-0000-00003C000000}"/>
    <cellStyle name="20% - アクセント 1 4 2 4 2" xfId="8606" xr:uid="{00000000-0005-0000-0000-00003D000000}"/>
    <cellStyle name="20% - アクセント 1 4 2 5" xfId="7374" xr:uid="{00000000-0005-0000-0000-00003E000000}"/>
    <cellStyle name="20% - アクセント 1 4 3" xfId="2315" xr:uid="{00000000-0005-0000-0000-00003F000000}"/>
    <cellStyle name="20% - アクセント 1 4 3 2" xfId="5186" xr:uid="{00000000-0005-0000-0000-000040000000}"/>
    <cellStyle name="20% - アクセント 1 4 3 2 2" xfId="10643" xr:uid="{00000000-0005-0000-0000-000041000000}"/>
    <cellStyle name="20% - アクセント 1 4 3 3" xfId="7956" xr:uid="{00000000-0005-0000-0000-000042000000}"/>
    <cellStyle name="20% - アクセント 1 4 4" xfId="2780" xr:uid="{00000000-0005-0000-0000-000043000000}"/>
    <cellStyle name="20% - アクセント 1 4 4 2" xfId="5621" xr:uid="{00000000-0005-0000-0000-000044000000}"/>
    <cellStyle name="20% - アクセント 1 4 4 2 2" xfId="10987" xr:uid="{00000000-0005-0000-0000-000045000000}"/>
    <cellStyle name="20% - アクセント 1 4 4 3" xfId="8328" xr:uid="{00000000-0005-0000-0000-000046000000}"/>
    <cellStyle name="20% - アクセント 1 4 5" xfId="3057" xr:uid="{00000000-0005-0000-0000-000047000000}"/>
    <cellStyle name="20% - アクセント 1 4 5 2" xfId="8605" xr:uid="{00000000-0005-0000-0000-000048000000}"/>
    <cellStyle name="20% - アクセント 1 4 6" xfId="6364" xr:uid="{00000000-0005-0000-0000-000049000000}"/>
    <cellStyle name="20% - アクセント 1 5" xfId="1184" xr:uid="{00000000-0005-0000-0000-00004A000000}"/>
    <cellStyle name="20% - アクセント 1 5 2" xfId="2533" xr:uid="{00000000-0005-0000-0000-00004B000000}"/>
    <cellStyle name="20% - アクセント 1 5 2 2" xfId="5400" xr:uid="{00000000-0005-0000-0000-00004C000000}"/>
    <cellStyle name="20% - アクセント 1 5 2 2 2" xfId="10767" xr:uid="{00000000-0005-0000-0000-00004D000000}"/>
    <cellStyle name="20% - アクセント 1 5 2 3" xfId="8083" xr:uid="{00000000-0005-0000-0000-00004E000000}"/>
    <cellStyle name="20% - アクセント 1 5 3" xfId="2900" xr:uid="{00000000-0005-0000-0000-00004F000000}"/>
    <cellStyle name="20% - アクセント 1 5 3 2" xfId="5741" xr:uid="{00000000-0005-0000-0000-000050000000}"/>
    <cellStyle name="20% - アクセント 1 5 3 2 2" xfId="11107" xr:uid="{00000000-0005-0000-0000-000051000000}"/>
    <cellStyle name="20% - アクセント 1 5 3 3" xfId="8448" xr:uid="{00000000-0005-0000-0000-000052000000}"/>
    <cellStyle name="20% - アクセント 1 5 4" xfId="3059" xr:uid="{00000000-0005-0000-0000-000053000000}"/>
    <cellStyle name="20% - アクセント 1 5 4 2" xfId="8607" xr:uid="{00000000-0005-0000-0000-000054000000}"/>
    <cellStyle name="20% - アクセント 1 5 5" xfId="6917" xr:uid="{00000000-0005-0000-0000-000055000000}"/>
    <cellStyle name="20% - アクセント 1 6" xfId="2266" xr:uid="{00000000-0005-0000-0000-000056000000}"/>
    <cellStyle name="20% - アクセント 1 6 2" xfId="5137" xr:uid="{00000000-0005-0000-0000-000057000000}"/>
    <cellStyle name="20% - アクセント 1 6 2 2" xfId="10594" xr:uid="{00000000-0005-0000-0000-000058000000}"/>
    <cellStyle name="20% - アクセント 1 6 3" xfId="7907" xr:uid="{00000000-0005-0000-0000-000059000000}"/>
    <cellStyle name="20% - アクセント 1 7" xfId="2731" xr:uid="{00000000-0005-0000-0000-00005A000000}"/>
    <cellStyle name="20% - アクセント 1 7 2" xfId="5572" xr:uid="{00000000-0005-0000-0000-00005B000000}"/>
    <cellStyle name="20% - アクセント 1 7 2 2" xfId="10938" xr:uid="{00000000-0005-0000-0000-00005C000000}"/>
    <cellStyle name="20% - アクセント 1 7 3" xfId="8279" xr:uid="{00000000-0005-0000-0000-00005D000000}"/>
    <cellStyle name="20% - アクセント 1 8" xfId="3040" xr:uid="{00000000-0005-0000-0000-00005E000000}"/>
    <cellStyle name="20% - アクセント 1 8 2" xfId="8588" xr:uid="{00000000-0005-0000-0000-00005F000000}"/>
    <cellStyle name="20% - アクセント 1 9" xfId="5897" xr:uid="{00000000-0005-0000-0000-000060000000}"/>
    <cellStyle name="20% - アクセント 2" xfId="23" builtinId="34" customBuiltin="1"/>
    <cellStyle name="20% - アクセント 2 2" xfId="51" xr:uid="{00000000-0005-0000-0000-000062000000}"/>
    <cellStyle name="20% - アクセント 2 3" xfId="121" xr:uid="{00000000-0005-0000-0000-000063000000}"/>
    <cellStyle name="20% - アクセント 2 3 2" xfId="611" xr:uid="{00000000-0005-0000-0000-000064000000}"/>
    <cellStyle name="20% - アクセント 2 3 2 2" xfId="1717" xr:uid="{00000000-0005-0000-0000-000065000000}"/>
    <cellStyle name="20% - アクセント 2 3 2 2 2" xfId="2627" xr:uid="{00000000-0005-0000-0000-000066000000}"/>
    <cellStyle name="20% - アクセント 2 3 2 2 2 2" xfId="5482" xr:uid="{00000000-0005-0000-0000-000067000000}"/>
    <cellStyle name="20% - アクセント 2 3 2 2 2 2 2" xfId="10848" xr:uid="{00000000-0005-0000-0000-000068000000}"/>
    <cellStyle name="20% - アクセント 2 3 2 2 2 3" xfId="8176" xr:uid="{00000000-0005-0000-0000-000069000000}"/>
    <cellStyle name="20% - アクセント 2 3 2 2 3" xfId="2977" xr:uid="{00000000-0005-0000-0000-00006A000000}"/>
    <cellStyle name="20% - アクセント 2 3 2 2 3 2" xfId="5818" xr:uid="{00000000-0005-0000-0000-00006B000000}"/>
    <cellStyle name="20% - アクセント 2 3 2 2 3 2 2" xfId="11184" xr:uid="{00000000-0005-0000-0000-00006C000000}"/>
    <cellStyle name="20% - アクセント 2 3 2 2 3 3" xfId="8525" xr:uid="{00000000-0005-0000-0000-00006D000000}"/>
    <cellStyle name="20% - アクセント 2 3 2 2 4" xfId="3062" xr:uid="{00000000-0005-0000-0000-00006E000000}"/>
    <cellStyle name="20% - アクセント 2 3 2 2 4 2" xfId="8610" xr:uid="{00000000-0005-0000-0000-00006F000000}"/>
    <cellStyle name="20% - アクセント 2 3 2 2 5" xfId="7404" xr:uid="{00000000-0005-0000-0000-000070000000}"/>
    <cellStyle name="20% - アクセント 2 3 2 3" xfId="2345" xr:uid="{00000000-0005-0000-0000-000071000000}"/>
    <cellStyle name="20% - アクセント 2 3 2 3 2" xfId="5216" xr:uid="{00000000-0005-0000-0000-000072000000}"/>
    <cellStyle name="20% - アクセント 2 3 2 3 2 2" xfId="10673" xr:uid="{00000000-0005-0000-0000-000073000000}"/>
    <cellStyle name="20% - アクセント 2 3 2 3 3" xfId="7986" xr:uid="{00000000-0005-0000-0000-000074000000}"/>
    <cellStyle name="20% - アクセント 2 3 2 4" xfId="2810" xr:uid="{00000000-0005-0000-0000-000075000000}"/>
    <cellStyle name="20% - アクセント 2 3 2 4 2" xfId="5651" xr:uid="{00000000-0005-0000-0000-000076000000}"/>
    <cellStyle name="20% - アクセント 2 3 2 4 2 2" xfId="11017" xr:uid="{00000000-0005-0000-0000-000077000000}"/>
    <cellStyle name="20% - アクセント 2 3 2 4 3" xfId="8358" xr:uid="{00000000-0005-0000-0000-000078000000}"/>
    <cellStyle name="20% - アクセント 2 3 2 5" xfId="3061" xr:uid="{00000000-0005-0000-0000-000079000000}"/>
    <cellStyle name="20% - アクセント 2 3 2 5 2" xfId="8609" xr:uid="{00000000-0005-0000-0000-00007A000000}"/>
    <cellStyle name="20% - アクセント 2 3 2 6" xfId="6395" xr:uid="{00000000-0005-0000-0000-00007B000000}"/>
    <cellStyle name="20% - アクセント 2 3 3" xfId="1230" xr:uid="{00000000-0005-0000-0000-00007C000000}"/>
    <cellStyle name="20% - アクセント 2 3 3 2" xfId="2563" xr:uid="{00000000-0005-0000-0000-00007D000000}"/>
    <cellStyle name="20% - アクセント 2 3 3 2 2" xfId="5428" xr:uid="{00000000-0005-0000-0000-00007E000000}"/>
    <cellStyle name="20% - アクセント 2 3 3 2 2 2" xfId="10794" xr:uid="{00000000-0005-0000-0000-00007F000000}"/>
    <cellStyle name="20% - アクセント 2 3 3 2 3" xfId="8112" xr:uid="{00000000-0005-0000-0000-000080000000}"/>
    <cellStyle name="20% - アクセント 2 3 3 3" xfId="2923" xr:uid="{00000000-0005-0000-0000-000081000000}"/>
    <cellStyle name="20% - アクセント 2 3 3 3 2" xfId="5764" xr:uid="{00000000-0005-0000-0000-000082000000}"/>
    <cellStyle name="20% - アクセント 2 3 3 3 2 2" xfId="11130" xr:uid="{00000000-0005-0000-0000-000083000000}"/>
    <cellStyle name="20% - アクセント 2 3 3 3 3" xfId="8471" xr:uid="{00000000-0005-0000-0000-000084000000}"/>
    <cellStyle name="20% - アクセント 2 3 3 4" xfId="3063" xr:uid="{00000000-0005-0000-0000-000085000000}"/>
    <cellStyle name="20% - アクセント 2 3 3 4 2" xfId="8611" xr:uid="{00000000-0005-0000-0000-000086000000}"/>
    <cellStyle name="20% - アクセント 2 3 3 5" xfId="6960" xr:uid="{00000000-0005-0000-0000-000087000000}"/>
    <cellStyle name="20% - アクセント 2 3 4" xfId="2290" xr:uid="{00000000-0005-0000-0000-000088000000}"/>
    <cellStyle name="20% - アクセント 2 3 4 2" xfId="5161" xr:uid="{00000000-0005-0000-0000-000089000000}"/>
    <cellStyle name="20% - アクセント 2 3 4 2 2" xfId="10618" xr:uid="{00000000-0005-0000-0000-00008A000000}"/>
    <cellStyle name="20% - アクセント 2 3 4 3" xfId="7931" xr:uid="{00000000-0005-0000-0000-00008B000000}"/>
    <cellStyle name="20% - アクセント 2 3 5" xfId="2755" xr:uid="{00000000-0005-0000-0000-00008C000000}"/>
    <cellStyle name="20% - アクセント 2 3 5 2" xfId="5596" xr:uid="{00000000-0005-0000-0000-00008D000000}"/>
    <cellStyle name="20% - アクセント 2 3 5 2 2" xfId="10962" xr:uid="{00000000-0005-0000-0000-00008E000000}"/>
    <cellStyle name="20% - アクセント 2 3 5 3" xfId="8303" xr:uid="{00000000-0005-0000-0000-00008F000000}"/>
    <cellStyle name="20% - アクセント 2 3 6" xfId="3060" xr:uid="{00000000-0005-0000-0000-000090000000}"/>
    <cellStyle name="20% - アクセント 2 3 6 2" xfId="8608" xr:uid="{00000000-0005-0000-0000-000091000000}"/>
    <cellStyle name="20% - アクセント 2 3 7" xfId="5948" xr:uid="{00000000-0005-0000-0000-000092000000}"/>
    <cellStyle name="20% - アクセント 2 4" xfId="582" xr:uid="{00000000-0005-0000-0000-000093000000}"/>
    <cellStyle name="20% - アクセント 2 4 2" xfId="1689" xr:uid="{00000000-0005-0000-0000-000094000000}"/>
    <cellStyle name="20% - アクセント 2 4 2 2" xfId="2600" xr:uid="{00000000-0005-0000-0000-000095000000}"/>
    <cellStyle name="20% - アクセント 2 4 2 2 2" xfId="5455" xr:uid="{00000000-0005-0000-0000-000096000000}"/>
    <cellStyle name="20% - アクセント 2 4 2 2 2 2" xfId="10821" xr:uid="{00000000-0005-0000-0000-000097000000}"/>
    <cellStyle name="20% - アクセント 2 4 2 2 3" xfId="8149" xr:uid="{00000000-0005-0000-0000-000098000000}"/>
    <cellStyle name="20% - アクセント 2 4 2 3" xfId="2950" xr:uid="{00000000-0005-0000-0000-000099000000}"/>
    <cellStyle name="20% - アクセント 2 4 2 3 2" xfId="5791" xr:uid="{00000000-0005-0000-0000-00009A000000}"/>
    <cellStyle name="20% - アクセント 2 4 2 3 2 2" xfId="11157" xr:uid="{00000000-0005-0000-0000-00009B000000}"/>
    <cellStyle name="20% - アクセント 2 4 2 3 3" xfId="8498" xr:uid="{00000000-0005-0000-0000-00009C000000}"/>
    <cellStyle name="20% - アクセント 2 4 2 4" xfId="3065" xr:uid="{00000000-0005-0000-0000-00009D000000}"/>
    <cellStyle name="20% - アクセント 2 4 2 4 2" xfId="8613" xr:uid="{00000000-0005-0000-0000-00009E000000}"/>
    <cellStyle name="20% - アクセント 2 4 2 5" xfId="7376" xr:uid="{00000000-0005-0000-0000-00009F000000}"/>
    <cellStyle name="20% - アクセント 2 4 3" xfId="2317" xr:uid="{00000000-0005-0000-0000-0000A0000000}"/>
    <cellStyle name="20% - アクセント 2 4 3 2" xfId="5188" xr:uid="{00000000-0005-0000-0000-0000A1000000}"/>
    <cellStyle name="20% - アクセント 2 4 3 2 2" xfId="10645" xr:uid="{00000000-0005-0000-0000-0000A2000000}"/>
    <cellStyle name="20% - アクセント 2 4 3 3" xfId="7958" xr:uid="{00000000-0005-0000-0000-0000A3000000}"/>
    <cellStyle name="20% - アクセント 2 4 4" xfId="2782" xr:uid="{00000000-0005-0000-0000-0000A4000000}"/>
    <cellStyle name="20% - アクセント 2 4 4 2" xfId="5623" xr:uid="{00000000-0005-0000-0000-0000A5000000}"/>
    <cellStyle name="20% - アクセント 2 4 4 2 2" xfId="10989" xr:uid="{00000000-0005-0000-0000-0000A6000000}"/>
    <cellStyle name="20% - アクセント 2 4 4 3" xfId="8330" xr:uid="{00000000-0005-0000-0000-0000A7000000}"/>
    <cellStyle name="20% - アクセント 2 4 5" xfId="3064" xr:uid="{00000000-0005-0000-0000-0000A8000000}"/>
    <cellStyle name="20% - アクセント 2 4 5 2" xfId="8612" xr:uid="{00000000-0005-0000-0000-0000A9000000}"/>
    <cellStyle name="20% - アクセント 2 4 6" xfId="6366" xr:uid="{00000000-0005-0000-0000-0000AA000000}"/>
    <cellStyle name="20% - アクセント 2 5" xfId="1186" xr:uid="{00000000-0005-0000-0000-0000AB000000}"/>
    <cellStyle name="20% - アクセント 2 5 2" xfId="2535" xr:uid="{00000000-0005-0000-0000-0000AC000000}"/>
    <cellStyle name="20% - アクセント 2 5 2 2" xfId="5402" xr:uid="{00000000-0005-0000-0000-0000AD000000}"/>
    <cellStyle name="20% - アクセント 2 5 2 2 2" xfId="10769" xr:uid="{00000000-0005-0000-0000-0000AE000000}"/>
    <cellStyle name="20% - アクセント 2 5 2 3" xfId="8085" xr:uid="{00000000-0005-0000-0000-0000AF000000}"/>
    <cellStyle name="20% - アクセント 2 5 3" xfId="2902" xr:uid="{00000000-0005-0000-0000-0000B0000000}"/>
    <cellStyle name="20% - アクセント 2 5 3 2" xfId="5743" xr:uid="{00000000-0005-0000-0000-0000B1000000}"/>
    <cellStyle name="20% - アクセント 2 5 3 2 2" xfId="11109" xr:uid="{00000000-0005-0000-0000-0000B2000000}"/>
    <cellStyle name="20% - アクセント 2 5 3 3" xfId="8450" xr:uid="{00000000-0005-0000-0000-0000B3000000}"/>
    <cellStyle name="20% - アクセント 2 5 4" xfId="3066" xr:uid="{00000000-0005-0000-0000-0000B4000000}"/>
    <cellStyle name="20% - アクセント 2 5 4 2" xfId="8614" xr:uid="{00000000-0005-0000-0000-0000B5000000}"/>
    <cellStyle name="20% - アクセント 2 5 5" xfId="6919" xr:uid="{00000000-0005-0000-0000-0000B6000000}"/>
    <cellStyle name="20% - アクセント 2 6" xfId="2268" xr:uid="{00000000-0005-0000-0000-0000B7000000}"/>
    <cellStyle name="20% - アクセント 2 6 2" xfId="5139" xr:uid="{00000000-0005-0000-0000-0000B8000000}"/>
    <cellStyle name="20% - アクセント 2 6 2 2" xfId="10596" xr:uid="{00000000-0005-0000-0000-0000B9000000}"/>
    <cellStyle name="20% - アクセント 2 6 3" xfId="7909" xr:uid="{00000000-0005-0000-0000-0000BA000000}"/>
    <cellStyle name="20% - アクセント 2 7" xfId="2733" xr:uid="{00000000-0005-0000-0000-0000BB000000}"/>
    <cellStyle name="20% - アクセント 2 7 2" xfId="5574" xr:uid="{00000000-0005-0000-0000-0000BC000000}"/>
    <cellStyle name="20% - アクセント 2 7 2 2" xfId="10940" xr:uid="{00000000-0005-0000-0000-0000BD000000}"/>
    <cellStyle name="20% - アクセント 2 7 3" xfId="8281" xr:uid="{00000000-0005-0000-0000-0000BE000000}"/>
    <cellStyle name="20% - アクセント 2 8" xfId="3042" xr:uid="{00000000-0005-0000-0000-0000BF000000}"/>
    <cellStyle name="20% - アクセント 2 8 2" xfId="8590" xr:uid="{00000000-0005-0000-0000-0000C0000000}"/>
    <cellStyle name="20% - アクセント 2 9" xfId="5899" xr:uid="{00000000-0005-0000-0000-0000C1000000}"/>
    <cellStyle name="20% - アクセント 3" xfId="27" builtinId="38" customBuiltin="1"/>
    <cellStyle name="20% - アクセント 3 2" xfId="52" xr:uid="{00000000-0005-0000-0000-0000C3000000}"/>
    <cellStyle name="20% - アクセント 3 3" xfId="123" xr:uid="{00000000-0005-0000-0000-0000C4000000}"/>
    <cellStyle name="20% - アクセント 3 3 2" xfId="613" xr:uid="{00000000-0005-0000-0000-0000C5000000}"/>
    <cellStyle name="20% - アクセント 3 3 2 2" xfId="1719" xr:uid="{00000000-0005-0000-0000-0000C6000000}"/>
    <cellStyle name="20% - アクセント 3 3 2 2 2" xfId="2629" xr:uid="{00000000-0005-0000-0000-0000C7000000}"/>
    <cellStyle name="20% - アクセント 3 3 2 2 2 2" xfId="5484" xr:uid="{00000000-0005-0000-0000-0000C8000000}"/>
    <cellStyle name="20% - アクセント 3 3 2 2 2 2 2" xfId="10850" xr:uid="{00000000-0005-0000-0000-0000C9000000}"/>
    <cellStyle name="20% - アクセント 3 3 2 2 2 3" xfId="8178" xr:uid="{00000000-0005-0000-0000-0000CA000000}"/>
    <cellStyle name="20% - アクセント 3 3 2 2 3" xfId="2979" xr:uid="{00000000-0005-0000-0000-0000CB000000}"/>
    <cellStyle name="20% - アクセント 3 3 2 2 3 2" xfId="5820" xr:uid="{00000000-0005-0000-0000-0000CC000000}"/>
    <cellStyle name="20% - アクセント 3 3 2 2 3 2 2" xfId="11186" xr:uid="{00000000-0005-0000-0000-0000CD000000}"/>
    <cellStyle name="20% - アクセント 3 3 2 2 3 3" xfId="8527" xr:uid="{00000000-0005-0000-0000-0000CE000000}"/>
    <cellStyle name="20% - アクセント 3 3 2 2 4" xfId="3069" xr:uid="{00000000-0005-0000-0000-0000CF000000}"/>
    <cellStyle name="20% - アクセント 3 3 2 2 4 2" xfId="8617" xr:uid="{00000000-0005-0000-0000-0000D0000000}"/>
    <cellStyle name="20% - アクセント 3 3 2 2 5" xfId="7406" xr:uid="{00000000-0005-0000-0000-0000D1000000}"/>
    <cellStyle name="20% - アクセント 3 3 2 3" xfId="2347" xr:uid="{00000000-0005-0000-0000-0000D2000000}"/>
    <cellStyle name="20% - アクセント 3 3 2 3 2" xfId="5218" xr:uid="{00000000-0005-0000-0000-0000D3000000}"/>
    <cellStyle name="20% - アクセント 3 3 2 3 2 2" xfId="10675" xr:uid="{00000000-0005-0000-0000-0000D4000000}"/>
    <cellStyle name="20% - アクセント 3 3 2 3 3" xfId="7988" xr:uid="{00000000-0005-0000-0000-0000D5000000}"/>
    <cellStyle name="20% - アクセント 3 3 2 4" xfId="2812" xr:uid="{00000000-0005-0000-0000-0000D6000000}"/>
    <cellStyle name="20% - アクセント 3 3 2 4 2" xfId="5653" xr:uid="{00000000-0005-0000-0000-0000D7000000}"/>
    <cellStyle name="20% - アクセント 3 3 2 4 2 2" xfId="11019" xr:uid="{00000000-0005-0000-0000-0000D8000000}"/>
    <cellStyle name="20% - アクセント 3 3 2 4 3" xfId="8360" xr:uid="{00000000-0005-0000-0000-0000D9000000}"/>
    <cellStyle name="20% - アクセント 3 3 2 5" xfId="3068" xr:uid="{00000000-0005-0000-0000-0000DA000000}"/>
    <cellStyle name="20% - アクセント 3 3 2 5 2" xfId="8616" xr:uid="{00000000-0005-0000-0000-0000DB000000}"/>
    <cellStyle name="20% - アクセント 3 3 2 6" xfId="6397" xr:uid="{00000000-0005-0000-0000-0000DC000000}"/>
    <cellStyle name="20% - アクセント 3 3 3" xfId="1232" xr:uid="{00000000-0005-0000-0000-0000DD000000}"/>
    <cellStyle name="20% - アクセント 3 3 3 2" xfId="2565" xr:uid="{00000000-0005-0000-0000-0000DE000000}"/>
    <cellStyle name="20% - アクセント 3 3 3 2 2" xfId="5430" xr:uid="{00000000-0005-0000-0000-0000DF000000}"/>
    <cellStyle name="20% - アクセント 3 3 3 2 2 2" xfId="10796" xr:uid="{00000000-0005-0000-0000-0000E0000000}"/>
    <cellStyle name="20% - アクセント 3 3 3 2 3" xfId="8114" xr:uid="{00000000-0005-0000-0000-0000E1000000}"/>
    <cellStyle name="20% - アクセント 3 3 3 3" xfId="2925" xr:uid="{00000000-0005-0000-0000-0000E2000000}"/>
    <cellStyle name="20% - アクセント 3 3 3 3 2" xfId="5766" xr:uid="{00000000-0005-0000-0000-0000E3000000}"/>
    <cellStyle name="20% - アクセント 3 3 3 3 2 2" xfId="11132" xr:uid="{00000000-0005-0000-0000-0000E4000000}"/>
    <cellStyle name="20% - アクセント 3 3 3 3 3" xfId="8473" xr:uid="{00000000-0005-0000-0000-0000E5000000}"/>
    <cellStyle name="20% - アクセント 3 3 3 4" xfId="3070" xr:uid="{00000000-0005-0000-0000-0000E6000000}"/>
    <cellStyle name="20% - アクセント 3 3 3 4 2" xfId="8618" xr:uid="{00000000-0005-0000-0000-0000E7000000}"/>
    <cellStyle name="20% - アクセント 3 3 3 5" xfId="6962" xr:uid="{00000000-0005-0000-0000-0000E8000000}"/>
    <cellStyle name="20% - アクセント 3 3 4" xfId="2292" xr:uid="{00000000-0005-0000-0000-0000E9000000}"/>
    <cellStyle name="20% - アクセント 3 3 4 2" xfId="5163" xr:uid="{00000000-0005-0000-0000-0000EA000000}"/>
    <cellStyle name="20% - アクセント 3 3 4 2 2" xfId="10620" xr:uid="{00000000-0005-0000-0000-0000EB000000}"/>
    <cellStyle name="20% - アクセント 3 3 4 3" xfId="7933" xr:uid="{00000000-0005-0000-0000-0000EC000000}"/>
    <cellStyle name="20% - アクセント 3 3 5" xfId="2757" xr:uid="{00000000-0005-0000-0000-0000ED000000}"/>
    <cellStyle name="20% - アクセント 3 3 5 2" xfId="5598" xr:uid="{00000000-0005-0000-0000-0000EE000000}"/>
    <cellStyle name="20% - アクセント 3 3 5 2 2" xfId="10964" xr:uid="{00000000-0005-0000-0000-0000EF000000}"/>
    <cellStyle name="20% - アクセント 3 3 5 3" xfId="8305" xr:uid="{00000000-0005-0000-0000-0000F0000000}"/>
    <cellStyle name="20% - アクセント 3 3 6" xfId="3067" xr:uid="{00000000-0005-0000-0000-0000F1000000}"/>
    <cellStyle name="20% - アクセント 3 3 6 2" xfId="8615" xr:uid="{00000000-0005-0000-0000-0000F2000000}"/>
    <cellStyle name="20% - アクセント 3 3 7" xfId="5950" xr:uid="{00000000-0005-0000-0000-0000F3000000}"/>
    <cellStyle name="20% - アクセント 3 4" xfId="584" xr:uid="{00000000-0005-0000-0000-0000F4000000}"/>
    <cellStyle name="20% - アクセント 3 4 2" xfId="1691" xr:uid="{00000000-0005-0000-0000-0000F5000000}"/>
    <cellStyle name="20% - アクセント 3 4 2 2" xfId="2602" xr:uid="{00000000-0005-0000-0000-0000F6000000}"/>
    <cellStyle name="20% - アクセント 3 4 2 2 2" xfId="5457" xr:uid="{00000000-0005-0000-0000-0000F7000000}"/>
    <cellStyle name="20% - アクセント 3 4 2 2 2 2" xfId="10823" xr:uid="{00000000-0005-0000-0000-0000F8000000}"/>
    <cellStyle name="20% - アクセント 3 4 2 2 3" xfId="8151" xr:uid="{00000000-0005-0000-0000-0000F9000000}"/>
    <cellStyle name="20% - アクセント 3 4 2 3" xfId="2952" xr:uid="{00000000-0005-0000-0000-0000FA000000}"/>
    <cellStyle name="20% - アクセント 3 4 2 3 2" xfId="5793" xr:uid="{00000000-0005-0000-0000-0000FB000000}"/>
    <cellStyle name="20% - アクセント 3 4 2 3 2 2" xfId="11159" xr:uid="{00000000-0005-0000-0000-0000FC000000}"/>
    <cellStyle name="20% - アクセント 3 4 2 3 3" xfId="8500" xr:uid="{00000000-0005-0000-0000-0000FD000000}"/>
    <cellStyle name="20% - アクセント 3 4 2 4" xfId="3072" xr:uid="{00000000-0005-0000-0000-0000FE000000}"/>
    <cellStyle name="20% - アクセント 3 4 2 4 2" xfId="8620" xr:uid="{00000000-0005-0000-0000-0000FF000000}"/>
    <cellStyle name="20% - アクセント 3 4 2 5" xfId="7378" xr:uid="{00000000-0005-0000-0000-000000010000}"/>
    <cellStyle name="20% - アクセント 3 4 3" xfId="2319" xr:uid="{00000000-0005-0000-0000-000001010000}"/>
    <cellStyle name="20% - アクセント 3 4 3 2" xfId="5190" xr:uid="{00000000-0005-0000-0000-000002010000}"/>
    <cellStyle name="20% - アクセント 3 4 3 2 2" xfId="10647" xr:uid="{00000000-0005-0000-0000-000003010000}"/>
    <cellStyle name="20% - アクセント 3 4 3 3" xfId="7960" xr:uid="{00000000-0005-0000-0000-000004010000}"/>
    <cellStyle name="20% - アクセント 3 4 4" xfId="2784" xr:uid="{00000000-0005-0000-0000-000005010000}"/>
    <cellStyle name="20% - アクセント 3 4 4 2" xfId="5625" xr:uid="{00000000-0005-0000-0000-000006010000}"/>
    <cellStyle name="20% - アクセント 3 4 4 2 2" xfId="10991" xr:uid="{00000000-0005-0000-0000-000007010000}"/>
    <cellStyle name="20% - アクセント 3 4 4 3" xfId="8332" xr:uid="{00000000-0005-0000-0000-000008010000}"/>
    <cellStyle name="20% - アクセント 3 4 5" xfId="3071" xr:uid="{00000000-0005-0000-0000-000009010000}"/>
    <cellStyle name="20% - アクセント 3 4 5 2" xfId="8619" xr:uid="{00000000-0005-0000-0000-00000A010000}"/>
    <cellStyle name="20% - アクセント 3 4 6" xfId="6368" xr:uid="{00000000-0005-0000-0000-00000B010000}"/>
    <cellStyle name="20% - アクセント 3 5" xfId="1188" xr:uid="{00000000-0005-0000-0000-00000C010000}"/>
    <cellStyle name="20% - アクセント 3 5 2" xfId="2537" xr:uid="{00000000-0005-0000-0000-00000D010000}"/>
    <cellStyle name="20% - アクセント 3 5 2 2" xfId="5404" xr:uid="{00000000-0005-0000-0000-00000E010000}"/>
    <cellStyle name="20% - アクセント 3 5 2 2 2" xfId="10771" xr:uid="{00000000-0005-0000-0000-00000F010000}"/>
    <cellStyle name="20% - アクセント 3 5 2 3" xfId="8087" xr:uid="{00000000-0005-0000-0000-000010010000}"/>
    <cellStyle name="20% - アクセント 3 5 3" xfId="2904" xr:uid="{00000000-0005-0000-0000-000011010000}"/>
    <cellStyle name="20% - アクセント 3 5 3 2" xfId="5745" xr:uid="{00000000-0005-0000-0000-000012010000}"/>
    <cellStyle name="20% - アクセント 3 5 3 2 2" xfId="11111" xr:uid="{00000000-0005-0000-0000-000013010000}"/>
    <cellStyle name="20% - アクセント 3 5 3 3" xfId="8452" xr:uid="{00000000-0005-0000-0000-000014010000}"/>
    <cellStyle name="20% - アクセント 3 5 4" xfId="3073" xr:uid="{00000000-0005-0000-0000-000015010000}"/>
    <cellStyle name="20% - アクセント 3 5 4 2" xfId="8621" xr:uid="{00000000-0005-0000-0000-000016010000}"/>
    <cellStyle name="20% - アクセント 3 5 5" xfId="6921" xr:uid="{00000000-0005-0000-0000-000017010000}"/>
    <cellStyle name="20% - アクセント 3 6" xfId="2270" xr:uid="{00000000-0005-0000-0000-000018010000}"/>
    <cellStyle name="20% - アクセント 3 6 2" xfId="5141" xr:uid="{00000000-0005-0000-0000-000019010000}"/>
    <cellStyle name="20% - アクセント 3 6 2 2" xfId="10598" xr:uid="{00000000-0005-0000-0000-00001A010000}"/>
    <cellStyle name="20% - アクセント 3 6 3" xfId="7911" xr:uid="{00000000-0005-0000-0000-00001B010000}"/>
    <cellStyle name="20% - アクセント 3 7" xfId="2735" xr:uid="{00000000-0005-0000-0000-00001C010000}"/>
    <cellStyle name="20% - アクセント 3 7 2" xfId="5576" xr:uid="{00000000-0005-0000-0000-00001D010000}"/>
    <cellStyle name="20% - アクセント 3 7 2 2" xfId="10942" xr:uid="{00000000-0005-0000-0000-00001E010000}"/>
    <cellStyle name="20% - アクセント 3 7 3" xfId="8283" xr:uid="{00000000-0005-0000-0000-00001F010000}"/>
    <cellStyle name="20% - アクセント 3 8" xfId="3044" xr:uid="{00000000-0005-0000-0000-000020010000}"/>
    <cellStyle name="20% - アクセント 3 8 2" xfId="8592" xr:uid="{00000000-0005-0000-0000-000021010000}"/>
    <cellStyle name="20% - アクセント 3 9" xfId="5901" xr:uid="{00000000-0005-0000-0000-000022010000}"/>
    <cellStyle name="20% - アクセント 4" xfId="31" builtinId="42" customBuiltin="1"/>
    <cellStyle name="20% - アクセント 4 2" xfId="53" xr:uid="{00000000-0005-0000-0000-000024010000}"/>
    <cellStyle name="20% - アクセント 4 3" xfId="125" xr:uid="{00000000-0005-0000-0000-000025010000}"/>
    <cellStyle name="20% - アクセント 4 3 2" xfId="615" xr:uid="{00000000-0005-0000-0000-000026010000}"/>
    <cellStyle name="20% - アクセント 4 3 2 2" xfId="1721" xr:uid="{00000000-0005-0000-0000-000027010000}"/>
    <cellStyle name="20% - アクセント 4 3 2 2 2" xfId="2631" xr:uid="{00000000-0005-0000-0000-000028010000}"/>
    <cellStyle name="20% - アクセント 4 3 2 2 2 2" xfId="5486" xr:uid="{00000000-0005-0000-0000-000029010000}"/>
    <cellStyle name="20% - アクセント 4 3 2 2 2 2 2" xfId="10852" xr:uid="{00000000-0005-0000-0000-00002A010000}"/>
    <cellStyle name="20% - アクセント 4 3 2 2 2 3" xfId="8180" xr:uid="{00000000-0005-0000-0000-00002B010000}"/>
    <cellStyle name="20% - アクセント 4 3 2 2 3" xfId="2981" xr:uid="{00000000-0005-0000-0000-00002C010000}"/>
    <cellStyle name="20% - アクセント 4 3 2 2 3 2" xfId="5822" xr:uid="{00000000-0005-0000-0000-00002D010000}"/>
    <cellStyle name="20% - アクセント 4 3 2 2 3 2 2" xfId="11188" xr:uid="{00000000-0005-0000-0000-00002E010000}"/>
    <cellStyle name="20% - アクセント 4 3 2 2 3 3" xfId="8529" xr:uid="{00000000-0005-0000-0000-00002F010000}"/>
    <cellStyle name="20% - アクセント 4 3 2 2 4" xfId="3076" xr:uid="{00000000-0005-0000-0000-000030010000}"/>
    <cellStyle name="20% - アクセント 4 3 2 2 4 2" xfId="8624" xr:uid="{00000000-0005-0000-0000-000031010000}"/>
    <cellStyle name="20% - アクセント 4 3 2 2 5" xfId="7408" xr:uid="{00000000-0005-0000-0000-000032010000}"/>
    <cellStyle name="20% - アクセント 4 3 2 3" xfId="2349" xr:uid="{00000000-0005-0000-0000-000033010000}"/>
    <cellStyle name="20% - アクセント 4 3 2 3 2" xfId="5220" xr:uid="{00000000-0005-0000-0000-000034010000}"/>
    <cellStyle name="20% - アクセント 4 3 2 3 2 2" xfId="10677" xr:uid="{00000000-0005-0000-0000-000035010000}"/>
    <cellStyle name="20% - アクセント 4 3 2 3 3" xfId="7990" xr:uid="{00000000-0005-0000-0000-000036010000}"/>
    <cellStyle name="20% - アクセント 4 3 2 4" xfId="2814" xr:uid="{00000000-0005-0000-0000-000037010000}"/>
    <cellStyle name="20% - アクセント 4 3 2 4 2" xfId="5655" xr:uid="{00000000-0005-0000-0000-000038010000}"/>
    <cellStyle name="20% - アクセント 4 3 2 4 2 2" xfId="11021" xr:uid="{00000000-0005-0000-0000-000039010000}"/>
    <cellStyle name="20% - アクセント 4 3 2 4 3" xfId="8362" xr:uid="{00000000-0005-0000-0000-00003A010000}"/>
    <cellStyle name="20% - アクセント 4 3 2 5" xfId="3075" xr:uid="{00000000-0005-0000-0000-00003B010000}"/>
    <cellStyle name="20% - アクセント 4 3 2 5 2" xfId="8623" xr:uid="{00000000-0005-0000-0000-00003C010000}"/>
    <cellStyle name="20% - アクセント 4 3 2 6" xfId="6399" xr:uid="{00000000-0005-0000-0000-00003D010000}"/>
    <cellStyle name="20% - アクセント 4 3 3" xfId="1234" xr:uid="{00000000-0005-0000-0000-00003E010000}"/>
    <cellStyle name="20% - アクセント 4 3 3 2" xfId="2567" xr:uid="{00000000-0005-0000-0000-00003F010000}"/>
    <cellStyle name="20% - アクセント 4 3 3 2 2" xfId="5432" xr:uid="{00000000-0005-0000-0000-000040010000}"/>
    <cellStyle name="20% - アクセント 4 3 3 2 2 2" xfId="10798" xr:uid="{00000000-0005-0000-0000-000041010000}"/>
    <cellStyle name="20% - アクセント 4 3 3 2 3" xfId="8116" xr:uid="{00000000-0005-0000-0000-000042010000}"/>
    <cellStyle name="20% - アクセント 4 3 3 3" xfId="2927" xr:uid="{00000000-0005-0000-0000-000043010000}"/>
    <cellStyle name="20% - アクセント 4 3 3 3 2" xfId="5768" xr:uid="{00000000-0005-0000-0000-000044010000}"/>
    <cellStyle name="20% - アクセント 4 3 3 3 2 2" xfId="11134" xr:uid="{00000000-0005-0000-0000-000045010000}"/>
    <cellStyle name="20% - アクセント 4 3 3 3 3" xfId="8475" xr:uid="{00000000-0005-0000-0000-000046010000}"/>
    <cellStyle name="20% - アクセント 4 3 3 4" xfId="3077" xr:uid="{00000000-0005-0000-0000-000047010000}"/>
    <cellStyle name="20% - アクセント 4 3 3 4 2" xfId="8625" xr:uid="{00000000-0005-0000-0000-000048010000}"/>
    <cellStyle name="20% - アクセント 4 3 3 5" xfId="6964" xr:uid="{00000000-0005-0000-0000-000049010000}"/>
    <cellStyle name="20% - アクセント 4 3 4" xfId="2294" xr:uid="{00000000-0005-0000-0000-00004A010000}"/>
    <cellStyle name="20% - アクセント 4 3 4 2" xfId="5165" xr:uid="{00000000-0005-0000-0000-00004B010000}"/>
    <cellStyle name="20% - アクセント 4 3 4 2 2" xfId="10622" xr:uid="{00000000-0005-0000-0000-00004C010000}"/>
    <cellStyle name="20% - アクセント 4 3 4 3" xfId="7935" xr:uid="{00000000-0005-0000-0000-00004D010000}"/>
    <cellStyle name="20% - アクセント 4 3 5" xfId="2759" xr:uid="{00000000-0005-0000-0000-00004E010000}"/>
    <cellStyle name="20% - アクセント 4 3 5 2" xfId="5600" xr:uid="{00000000-0005-0000-0000-00004F010000}"/>
    <cellStyle name="20% - アクセント 4 3 5 2 2" xfId="10966" xr:uid="{00000000-0005-0000-0000-000050010000}"/>
    <cellStyle name="20% - アクセント 4 3 5 3" xfId="8307" xr:uid="{00000000-0005-0000-0000-000051010000}"/>
    <cellStyle name="20% - アクセント 4 3 6" xfId="3074" xr:uid="{00000000-0005-0000-0000-000052010000}"/>
    <cellStyle name="20% - アクセント 4 3 6 2" xfId="8622" xr:uid="{00000000-0005-0000-0000-000053010000}"/>
    <cellStyle name="20% - アクセント 4 3 7" xfId="5952" xr:uid="{00000000-0005-0000-0000-000054010000}"/>
    <cellStyle name="20% - アクセント 4 4" xfId="586" xr:uid="{00000000-0005-0000-0000-000055010000}"/>
    <cellStyle name="20% - アクセント 4 4 2" xfId="1693" xr:uid="{00000000-0005-0000-0000-000056010000}"/>
    <cellStyle name="20% - アクセント 4 4 2 2" xfId="2604" xr:uid="{00000000-0005-0000-0000-000057010000}"/>
    <cellStyle name="20% - アクセント 4 4 2 2 2" xfId="5459" xr:uid="{00000000-0005-0000-0000-000058010000}"/>
    <cellStyle name="20% - アクセント 4 4 2 2 2 2" xfId="10825" xr:uid="{00000000-0005-0000-0000-000059010000}"/>
    <cellStyle name="20% - アクセント 4 4 2 2 3" xfId="8153" xr:uid="{00000000-0005-0000-0000-00005A010000}"/>
    <cellStyle name="20% - アクセント 4 4 2 3" xfId="2954" xr:uid="{00000000-0005-0000-0000-00005B010000}"/>
    <cellStyle name="20% - アクセント 4 4 2 3 2" xfId="5795" xr:uid="{00000000-0005-0000-0000-00005C010000}"/>
    <cellStyle name="20% - アクセント 4 4 2 3 2 2" xfId="11161" xr:uid="{00000000-0005-0000-0000-00005D010000}"/>
    <cellStyle name="20% - アクセント 4 4 2 3 3" xfId="8502" xr:uid="{00000000-0005-0000-0000-00005E010000}"/>
    <cellStyle name="20% - アクセント 4 4 2 4" xfId="3079" xr:uid="{00000000-0005-0000-0000-00005F010000}"/>
    <cellStyle name="20% - アクセント 4 4 2 4 2" xfId="8627" xr:uid="{00000000-0005-0000-0000-000060010000}"/>
    <cellStyle name="20% - アクセント 4 4 2 5" xfId="7380" xr:uid="{00000000-0005-0000-0000-000061010000}"/>
    <cellStyle name="20% - アクセント 4 4 3" xfId="2321" xr:uid="{00000000-0005-0000-0000-000062010000}"/>
    <cellStyle name="20% - アクセント 4 4 3 2" xfId="5192" xr:uid="{00000000-0005-0000-0000-000063010000}"/>
    <cellStyle name="20% - アクセント 4 4 3 2 2" xfId="10649" xr:uid="{00000000-0005-0000-0000-000064010000}"/>
    <cellStyle name="20% - アクセント 4 4 3 3" xfId="7962" xr:uid="{00000000-0005-0000-0000-000065010000}"/>
    <cellStyle name="20% - アクセント 4 4 4" xfId="2786" xr:uid="{00000000-0005-0000-0000-000066010000}"/>
    <cellStyle name="20% - アクセント 4 4 4 2" xfId="5627" xr:uid="{00000000-0005-0000-0000-000067010000}"/>
    <cellStyle name="20% - アクセント 4 4 4 2 2" xfId="10993" xr:uid="{00000000-0005-0000-0000-000068010000}"/>
    <cellStyle name="20% - アクセント 4 4 4 3" xfId="8334" xr:uid="{00000000-0005-0000-0000-000069010000}"/>
    <cellStyle name="20% - アクセント 4 4 5" xfId="3078" xr:uid="{00000000-0005-0000-0000-00006A010000}"/>
    <cellStyle name="20% - アクセント 4 4 5 2" xfId="8626" xr:uid="{00000000-0005-0000-0000-00006B010000}"/>
    <cellStyle name="20% - アクセント 4 4 6" xfId="6370" xr:uid="{00000000-0005-0000-0000-00006C010000}"/>
    <cellStyle name="20% - アクセント 4 5" xfId="1190" xr:uid="{00000000-0005-0000-0000-00006D010000}"/>
    <cellStyle name="20% - アクセント 4 5 2" xfId="2539" xr:uid="{00000000-0005-0000-0000-00006E010000}"/>
    <cellStyle name="20% - アクセント 4 5 2 2" xfId="5406" xr:uid="{00000000-0005-0000-0000-00006F010000}"/>
    <cellStyle name="20% - アクセント 4 5 2 2 2" xfId="10773" xr:uid="{00000000-0005-0000-0000-000070010000}"/>
    <cellStyle name="20% - アクセント 4 5 2 3" xfId="8089" xr:uid="{00000000-0005-0000-0000-000071010000}"/>
    <cellStyle name="20% - アクセント 4 5 3" xfId="2906" xr:uid="{00000000-0005-0000-0000-000072010000}"/>
    <cellStyle name="20% - アクセント 4 5 3 2" xfId="5747" xr:uid="{00000000-0005-0000-0000-000073010000}"/>
    <cellStyle name="20% - アクセント 4 5 3 2 2" xfId="11113" xr:uid="{00000000-0005-0000-0000-000074010000}"/>
    <cellStyle name="20% - アクセント 4 5 3 3" xfId="8454" xr:uid="{00000000-0005-0000-0000-000075010000}"/>
    <cellStyle name="20% - アクセント 4 5 4" xfId="3080" xr:uid="{00000000-0005-0000-0000-000076010000}"/>
    <cellStyle name="20% - アクセント 4 5 4 2" xfId="8628" xr:uid="{00000000-0005-0000-0000-000077010000}"/>
    <cellStyle name="20% - アクセント 4 5 5" xfId="6923" xr:uid="{00000000-0005-0000-0000-000078010000}"/>
    <cellStyle name="20% - アクセント 4 6" xfId="2272" xr:uid="{00000000-0005-0000-0000-000079010000}"/>
    <cellStyle name="20% - アクセント 4 6 2" xfId="5143" xr:uid="{00000000-0005-0000-0000-00007A010000}"/>
    <cellStyle name="20% - アクセント 4 6 2 2" xfId="10600" xr:uid="{00000000-0005-0000-0000-00007B010000}"/>
    <cellStyle name="20% - アクセント 4 6 3" xfId="7913" xr:uid="{00000000-0005-0000-0000-00007C010000}"/>
    <cellStyle name="20% - アクセント 4 7" xfId="2737" xr:uid="{00000000-0005-0000-0000-00007D010000}"/>
    <cellStyle name="20% - アクセント 4 7 2" xfId="5578" xr:uid="{00000000-0005-0000-0000-00007E010000}"/>
    <cellStyle name="20% - アクセント 4 7 2 2" xfId="10944" xr:uid="{00000000-0005-0000-0000-00007F010000}"/>
    <cellStyle name="20% - アクセント 4 7 3" xfId="8285" xr:uid="{00000000-0005-0000-0000-000080010000}"/>
    <cellStyle name="20% - アクセント 4 8" xfId="3046" xr:uid="{00000000-0005-0000-0000-000081010000}"/>
    <cellStyle name="20% - アクセント 4 8 2" xfId="8594" xr:uid="{00000000-0005-0000-0000-000082010000}"/>
    <cellStyle name="20% - アクセント 4 9" xfId="5903" xr:uid="{00000000-0005-0000-0000-000083010000}"/>
    <cellStyle name="20% - アクセント 5" xfId="35" builtinId="46" customBuiltin="1"/>
    <cellStyle name="20% - アクセント 5 2" xfId="54" xr:uid="{00000000-0005-0000-0000-000085010000}"/>
    <cellStyle name="20% - アクセント 5 3" xfId="127" xr:uid="{00000000-0005-0000-0000-000086010000}"/>
    <cellStyle name="20% - アクセント 5 3 2" xfId="617" xr:uid="{00000000-0005-0000-0000-000087010000}"/>
    <cellStyle name="20% - アクセント 5 3 2 2" xfId="1723" xr:uid="{00000000-0005-0000-0000-000088010000}"/>
    <cellStyle name="20% - アクセント 5 3 2 2 2" xfId="2633" xr:uid="{00000000-0005-0000-0000-000089010000}"/>
    <cellStyle name="20% - アクセント 5 3 2 2 2 2" xfId="5488" xr:uid="{00000000-0005-0000-0000-00008A010000}"/>
    <cellStyle name="20% - アクセント 5 3 2 2 2 2 2" xfId="10854" xr:uid="{00000000-0005-0000-0000-00008B010000}"/>
    <cellStyle name="20% - アクセント 5 3 2 2 2 3" xfId="8182" xr:uid="{00000000-0005-0000-0000-00008C010000}"/>
    <cellStyle name="20% - アクセント 5 3 2 2 3" xfId="2983" xr:uid="{00000000-0005-0000-0000-00008D010000}"/>
    <cellStyle name="20% - アクセント 5 3 2 2 3 2" xfId="5824" xr:uid="{00000000-0005-0000-0000-00008E010000}"/>
    <cellStyle name="20% - アクセント 5 3 2 2 3 2 2" xfId="11190" xr:uid="{00000000-0005-0000-0000-00008F010000}"/>
    <cellStyle name="20% - アクセント 5 3 2 2 3 3" xfId="8531" xr:uid="{00000000-0005-0000-0000-000090010000}"/>
    <cellStyle name="20% - アクセント 5 3 2 2 4" xfId="3083" xr:uid="{00000000-0005-0000-0000-000091010000}"/>
    <cellStyle name="20% - アクセント 5 3 2 2 4 2" xfId="8631" xr:uid="{00000000-0005-0000-0000-000092010000}"/>
    <cellStyle name="20% - アクセント 5 3 2 2 5" xfId="7410" xr:uid="{00000000-0005-0000-0000-000093010000}"/>
    <cellStyle name="20% - アクセント 5 3 2 3" xfId="2351" xr:uid="{00000000-0005-0000-0000-000094010000}"/>
    <cellStyle name="20% - アクセント 5 3 2 3 2" xfId="5222" xr:uid="{00000000-0005-0000-0000-000095010000}"/>
    <cellStyle name="20% - アクセント 5 3 2 3 2 2" xfId="10679" xr:uid="{00000000-0005-0000-0000-000096010000}"/>
    <cellStyle name="20% - アクセント 5 3 2 3 3" xfId="7992" xr:uid="{00000000-0005-0000-0000-000097010000}"/>
    <cellStyle name="20% - アクセント 5 3 2 4" xfId="2816" xr:uid="{00000000-0005-0000-0000-000098010000}"/>
    <cellStyle name="20% - アクセント 5 3 2 4 2" xfId="5657" xr:uid="{00000000-0005-0000-0000-000099010000}"/>
    <cellStyle name="20% - アクセント 5 3 2 4 2 2" xfId="11023" xr:uid="{00000000-0005-0000-0000-00009A010000}"/>
    <cellStyle name="20% - アクセント 5 3 2 4 3" xfId="8364" xr:uid="{00000000-0005-0000-0000-00009B010000}"/>
    <cellStyle name="20% - アクセント 5 3 2 5" xfId="3082" xr:uid="{00000000-0005-0000-0000-00009C010000}"/>
    <cellStyle name="20% - アクセント 5 3 2 5 2" xfId="8630" xr:uid="{00000000-0005-0000-0000-00009D010000}"/>
    <cellStyle name="20% - アクセント 5 3 2 6" xfId="6401" xr:uid="{00000000-0005-0000-0000-00009E010000}"/>
    <cellStyle name="20% - アクセント 5 3 3" xfId="1236" xr:uid="{00000000-0005-0000-0000-00009F010000}"/>
    <cellStyle name="20% - アクセント 5 3 3 2" xfId="2569" xr:uid="{00000000-0005-0000-0000-0000A0010000}"/>
    <cellStyle name="20% - アクセント 5 3 3 2 2" xfId="5434" xr:uid="{00000000-0005-0000-0000-0000A1010000}"/>
    <cellStyle name="20% - アクセント 5 3 3 2 2 2" xfId="10800" xr:uid="{00000000-0005-0000-0000-0000A2010000}"/>
    <cellStyle name="20% - アクセント 5 3 3 2 3" xfId="8118" xr:uid="{00000000-0005-0000-0000-0000A3010000}"/>
    <cellStyle name="20% - アクセント 5 3 3 3" xfId="2929" xr:uid="{00000000-0005-0000-0000-0000A4010000}"/>
    <cellStyle name="20% - アクセント 5 3 3 3 2" xfId="5770" xr:uid="{00000000-0005-0000-0000-0000A5010000}"/>
    <cellStyle name="20% - アクセント 5 3 3 3 2 2" xfId="11136" xr:uid="{00000000-0005-0000-0000-0000A6010000}"/>
    <cellStyle name="20% - アクセント 5 3 3 3 3" xfId="8477" xr:uid="{00000000-0005-0000-0000-0000A7010000}"/>
    <cellStyle name="20% - アクセント 5 3 3 4" xfId="3084" xr:uid="{00000000-0005-0000-0000-0000A8010000}"/>
    <cellStyle name="20% - アクセント 5 3 3 4 2" xfId="8632" xr:uid="{00000000-0005-0000-0000-0000A9010000}"/>
    <cellStyle name="20% - アクセント 5 3 3 5" xfId="6966" xr:uid="{00000000-0005-0000-0000-0000AA010000}"/>
    <cellStyle name="20% - アクセント 5 3 4" xfId="2296" xr:uid="{00000000-0005-0000-0000-0000AB010000}"/>
    <cellStyle name="20% - アクセント 5 3 4 2" xfId="5167" xr:uid="{00000000-0005-0000-0000-0000AC010000}"/>
    <cellStyle name="20% - アクセント 5 3 4 2 2" xfId="10624" xr:uid="{00000000-0005-0000-0000-0000AD010000}"/>
    <cellStyle name="20% - アクセント 5 3 4 3" xfId="7937" xr:uid="{00000000-0005-0000-0000-0000AE010000}"/>
    <cellStyle name="20% - アクセント 5 3 5" xfId="2761" xr:uid="{00000000-0005-0000-0000-0000AF010000}"/>
    <cellStyle name="20% - アクセント 5 3 5 2" xfId="5602" xr:uid="{00000000-0005-0000-0000-0000B0010000}"/>
    <cellStyle name="20% - アクセント 5 3 5 2 2" xfId="10968" xr:uid="{00000000-0005-0000-0000-0000B1010000}"/>
    <cellStyle name="20% - アクセント 5 3 5 3" xfId="8309" xr:uid="{00000000-0005-0000-0000-0000B2010000}"/>
    <cellStyle name="20% - アクセント 5 3 6" xfId="3081" xr:uid="{00000000-0005-0000-0000-0000B3010000}"/>
    <cellStyle name="20% - アクセント 5 3 6 2" xfId="8629" xr:uid="{00000000-0005-0000-0000-0000B4010000}"/>
    <cellStyle name="20% - アクセント 5 3 7" xfId="5954" xr:uid="{00000000-0005-0000-0000-0000B5010000}"/>
    <cellStyle name="20% - アクセント 5 4" xfId="588" xr:uid="{00000000-0005-0000-0000-0000B6010000}"/>
    <cellStyle name="20% - アクセント 5 4 2" xfId="1695" xr:uid="{00000000-0005-0000-0000-0000B7010000}"/>
    <cellStyle name="20% - アクセント 5 4 2 2" xfId="2606" xr:uid="{00000000-0005-0000-0000-0000B8010000}"/>
    <cellStyle name="20% - アクセント 5 4 2 2 2" xfId="5461" xr:uid="{00000000-0005-0000-0000-0000B9010000}"/>
    <cellStyle name="20% - アクセント 5 4 2 2 2 2" xfId="10827" xr:uid="{00000000-0005-0000-0000-0000BA010000}"/>
    <cellStyle name="20% - アクセント 5 4 2 2 3" xfId="8155" xr:uid="{00000000-0005-0000-0000-0000BB010000}"/>
    <cellStyle name="20% - アクセント 5 4 2 3" xfId="2956" xr:uid="{00000000-0005-0000-0000-0000BC010000}"/>
    <cellStyle name="20% - アクセント 5 4 2 3 2" xfId="5797" xr:uid="{00000000-0005-0000-0000-0000BD010000}"/>
    <cellStyle name="20% - アクセント 5 4 2 3 2 2" xfId="11163" xr:uid="{00000000-0005-0000-0000-0000BE010000}"/>
    <cellStyle name="20% - アクセント 5 4 2 3 3" xfId="8504" xr:uid="{00000000-0005-0000-0000-0000BF010000}"/>
    <cellStyle name="20% - アクセント 5 4 2 4" xfId="3086" xr:uid="{00000000-0005-0000-0000-0000C0010000}"/>
    <cellStyle name="20% - アクセント 5 4 2 4 2" xfId="8634" xr:uid="{00000000-0005-0000-0000-0000C1010000}"/>
    <cellStyle name="20% - アクセント 5 4 2 5" xfId="7382" xr:uid="{00000000-0005-0000-0000-0000C2010000}"/>
    <cellStyle name="20% - アクセント 5 4 3" xfId="2323" xr:uid="{00000000-0005-0000-0000-0000C3010000}"/>
    <cellStyle name="20% - アクセント 5 4 3 2" xfId="5194" xr:uid="{00000000-0005-0000-0000-0000C4010000}"/>
    <cellStyle name="20% - アクセント 5 4 3 2 2" xfId="10651" xr:uid="{00000000-0005-0000-0000-0000C5010000}"/>
    <cellStyle name="20% - アクセント 5 4 3 3" xfId="7964" xr:uid="{00000000-0005-0000-0000-0000C6010000}"/>
    <cellStyle name="20% - アクセント 5 4 4" xfId="2788" xr:uid="{00000000-0005-0000-0000-0000C7010000}"/>
    <cellStyle name="20% - アクセント 5 4 4 2" xfId="5629" xr:uid="{00000000-0005-0000-0000-0000C8010000}"/>
    <cellStyle name="20% - アクセント 5 4 4 2 2" xfId="10995" xr:uid="{00000000-0005-0000-0000-0000C9010000}"/>
    <cellStyle name="20% - アクセント 5 4 4 3" xfId="8336" xr:uid="{00000000-0005-0000-0000-0000CA010000}"/>
    <cellStyle name="20% - アクセント 5 4 5" xfId="3085" xr:uid="{00000000-0005-0000-0000-0000CB010000}"/>
    <cellStyle name="20% - アクセント 5 4 5 2" xfId="8633" xr:uid="{00000000-0005-0000-0000-0000CC010000}"/>
    <cellStyle name="20% - アクセント 5 4 6" xfId="6372" xr:uid="{00000000-0005-0000-0000-0000CD010000}"/>
    <cellStyle name="20% - アクセント 5 5" xfId="1192" xr:uid="{00000000-0005-0000-0000-0000CE010000}"/>
    <cellStyle name="20% - アクセント 5 5 2" xfId="2541" xr:uid="{00000000-0005-0000-0000-0000CF010000}"/>
    <cellStyle name="20% - アクセント 5 5 2 2" xfId="5408" xr:uid="{00000000-0005-0000-0000-0000D0010000}"/>
    <cellStyle name="20% - アクセント 5 5 2 2 2" xfId="10775" xr:uid="{00000000-0005-0000-0000-0000D1010000}"/>
    <cellStyle name="20% - アクセント 5 5 2 3" xfId="8091" xr:uid="{00000000-0005-0000-0000-0000D2010000}"/>
    <cellStyle name="20% - アクセント 5 5 3" xfId="2908" xr:uid="{00000000-0005-0000-0000-0000D3010000}"/>
    <cellStyle name="20% - アクセント 5 5 3 2" xfId="5749" xr:uid="{00000000-0005-0000-0000-0000D4010000}"/>
    <cellStyle name="20% - アクセント 5 5 3 2 2" xfId="11115" xr:uid="{00000000-0005-0000-0000-0000D5010000}"/>
    <cellStyle name="20% - アクセント 5 5 3 3" xfId="8456" xr:uid="{00000000-0005-0000-0000-0000D6010000}"/>
    <cellStyle name="20% - アクセント 5 5 4" xfId="3087" xr:uid="{00000000-0005-0000-0000-0000D7010000}"/>
    <cellStyle name="20% - アクセント 5 5 4 2" xfId="8635" xr:uid="{00000000-0005-0000-0000-0000D8010000}"/>
    <cellStyle name="20% - アクセント 5 5 5" xfId="6925" xr:uid="{00000000-0005-0000-0000-0000D9010000}"/>
    <cellStyle name="20% - アクセント 5 6" xfId="2274" xr:uid="{00000000-0005-0000-0000-0000DA010000}"/>
    <cellStyle name="20% - アクセント 5 6 2" xfId="5145" xr:uid="{00000000-0005-0000-0000-0000DB010000}"/>
    <cellStyle name="20% - アクセント 5 6 2 2" xfId="10602" xr:uid="{00000000-0005-0000-0000-0000DC010000}"/>
    <cellStyle name="20% - アクセント 5 6 3" xfId="7915" xr:uid="{00000000-0005-0000-0000-0000DD010000}"/>
    <cellStyle name="20% - アクセント 5 7" xfId="2739" xr:uid="{00000000-0005-0000-0000-0000DE010000}"/>
    <cellStyle name="20% - アクセント 5 7 2" xfId="5580" xr:uid="{00000000-0005-0000-0000-0000DF010000}"/>
    <cellStyle name="20% - アクセント 5 7 2 2" xfId="10946" xr:uid="{00000000-0005-0000-0000-0000E0010000}"/>
    <cellStyle name="20% - アクセント 5 7 3" xfId="8287" xr:uid="{00000000-0005-0000-0000-0000E1010000}"/>
    <cellStyle name="20% - アクセント 5 8" xfId="3048" xr:uid="{00000000-0005-0000-0000-0000E2010000}"/>
    <cellStyle name="20% - アクセント 5 8 2" xfId="8596" xr:uid="{00000000-0005-0000-0000-0000E3010000}"/>
    <cellStyle name="20% - アクセント 5 9" xfId="5905" xr:uid="{00000000-0005-0000-0000-0000E4010000}"/>
    <cellStyle name="20% - アクセント 6" xfId="39" builtinId="50" customBuiltin="1"/>
    <cellStyle name="20% - アクセント 6 2" xfId="55" xr:uid="{00000000-0005-0000-0000-0000E6010000}"/>
    <cellStyle name="20% - アクセント 6 3" xfId="129" xr:uid="{00000000-0005-0000-0000-0000E7010000}"/>
    <cellStyle name="20% - アクセント 6 3 2" xfId="619" xr:uid="{00000000-0005-0000-0000-0000E8010000}"/>
    <cellStyle name="20% - アクセント 6 3 2 2" xfId="1725" xr:uid="{00000000-0005-0000-0000-0000E9010000}"/>
    <cellStyle name="20% - アクセント 6 3 2 2 2" xfId="2635" xr:uid="{00000000-0005-0000-0000-0000EA010000}"/>
    <cellStyle name="20% - アクセント 6 3 2 2 2 2" xfId="5490" xr:uid="{00000000-0005-0000-0000-0000EB010000}"/>
    <cellStyle name="20% - アクセント 6 3 2 2 2 2 2" xfId="10856" xr:uid="{00000000-0005-0000-0000-0000EC010000}"/>
    <cellStyle name="20% - アクセント 6 3 2 2 2 3" xfId="8184" xr:uid="{00000000-0005-0000-0000-0000ED010000}"/>
    <cellStyle name="20% - アクセント 6 3 2 2 3" xfId="2985" xr:uid="{00000000-0005-0000-0000-0000EE010000}"/>
    <cellStyle name="20% - アクセント 6 3 2 2 3 2" xfId="5826" xr:uid="{00000000-0005-0000-0000-0000EF010000}"/>
    <cellStyle name="20% - アクセント 6 3 2 2 3 2 2" xfId="11192" xr:uid="{00000000-0005-0000-0000-0000F0010000}"/>
    <cellStyle name="20% - アクセント 6 3 2 2 3 3" xfId="8533" xr:uid="{00000000-0005-0000-0000-0000F1010000}"/>
    <cellStyle name="20% - アクセント 6 3 2 2 4" xfId="3090" xr:uid="{00000000-0005-0000-0000-0000F2010000}"/>
    <cellStyle name="20% - アクセント 6 3 2 2 4 2" xfId="8638" xr:uid="{00000000-0005-0000-0000-0000F3010000}"/>
    <cellStyle name="20% - アクセント 6 3 2 2 5" xfId="7412" xr:uid="{00000000-0005-0000-0000-0000F4010000}"/>
    <cellStyle name="20% - アクセント 6 3 2 3" xfId="2353" xr:uid="{00000000-0005-0000-0000-0000F5010000}"/>
    <cellStyle name="20% - アクセント 6 3 2 3 2" xfId="5224" xr:uid="{00000000-0005-0000-0000-0000F6010000}"/>
    <cellStyle name="20% - アクセント 6 3 2 3 2 2" xfId="10681" xr:uid="{00000000-0005-0000-0000-0000F7010000}"/>
    <cellStyle name="20% - アクセント 6 3 2 3 3" xfId="7994" xr:uid="{00000000-0005-0000-0000-0000F8010000}"/>
    <cellStyle name="20% - アクセント 6 3 2 4" xfId="2818" xr:uid="{00000000-0005-0000-0000-0000F9010000}"/>
    <cellStyle name="20% - アクセント 6 3 2 4 2" xfId="5659" xr:uid="{00000000-0005-0000-0000-0000FA010000}"/>
    <cellStyle name="20% - アクセント 6 3 2 4 2 2" xfId="11025" xr:uid="{00000000-0005-0000-0000-0000FB010000}"/>
    <cellStyle name="20% - アクセント 6 3 2 4 3" xfId="8366" xr:uid="{00000000-0005-0000-0000-0000FC010000}"/>
    <cellStyle name="20% - アクセント 6 3 2 5" xfId="3089" xr:uid="{00000000-0005-0000-0000-0000FD010000}"/>
    <cellStyle name="20% - アクセント 6 3 2 5 2" xfId="8637" xr:uid="{00000000-0005-0000-0000-0000FE010000}"/>
    <cellStyle name="20% - アクセント 6 3 2 6" xfId="6403" xr:uid="{00000000-0005-0000-0000-0000FF010000}"/>
    <cellStyle name="20% - アクセント 6 3 3" xfId="1238" xr:uid="{00000000-0005-0000-0000-000000020000}"/>
    <cellStyle name="20% - アクセント 6 3 3 2" xfId="2571" xr:uid="{00000000-0005-0000-0000-000001020000}"/>
    <cellStyle name="20% - アクセント 6 3 3 2 2" xfId="5436" xr:uid="{00000000-0005-0000-0000-000002020000}"/>
    <cellStyle name="20% - アクセント 6 3 3 2 2 2" xfId="10802" xr:uid="{00000000-0005-0000-0000-000003020000}"/>
    <cellStyle name="20% - アクセント 6 3 3 2 3" xfId="8120" xr:uid="{00000000-0005-0000-0000-000004020000}"/>
    <cellStyle name="20% - アクセント 6 3 3 3" xfId="2931" xr:uid="{00000000-0005-0000-0000-000005020000}"/>
    <cellStyle name="20% - アクセント 6 3 3 3 2" xfId="5772" xr:uid="{00000000-0005-0000-0000-000006020000}"/>
    <cellStyle name="20% - アクセント 6 3 3 3 2 2" xfId="11138" xr:uid="{00000000-0005-0000-0000-000007020000}"/>
    <cellStyle name="20% - アクセント 6 3 3 3 3" xfId="8479" xr:uid="{00000000-0005-0000-0000-000008020000}"/>
    <cellStyle name="20% - アクセント 6 3 3 4" xfId="3091" xr:uid="{00000000-0005-0000-0000-000009020000}"/>
    <cellStyle name="20% - アクセント 6 3 3 4 2" xfId="8639" xr:uid="{00000000-0005-0000-0000-00000A020000}"/>
    <cellStyle name="20% - アクセント 6 3 3 5" xfId="6968" xr:uid="{00000000-0005-0000-0000-00000B020000}"/>
    <cellStyle name="20% - アクセント 6 3 4" xfId="2298" xr:uid="{00000000-0005-0000-0000-00000C020000}"/>
    <cellStyle name="20% - アクセント 6 3 4 2" xfId="5169" xr:uid="{00000000-0005-0000-0000-00000D020000}"/>
    <cellStyle name="20% - アクセント 6 3 4 2 2" xfId="10626" xr:uid="{00000000-0005-0000-0000-00000E020000}"/>
    <cellStyle name="20% - アクセント 6 3 4 3" xfId="7939" xr:uid="{00000000-0005-0000-0000-00000F020000}"/>
    <cellStyle name="20% - アクセント 6 3 5" xfId="2763" xr:uid="{00000000-0005-0000-0000-000010020000}"/>
    <cellStyle name="20% - アクセント 6 3 5 2" xfId="5604" xr:uid="{00000000-0005-0000-0000-000011020000}"/>
    <cellStyle name="20% - アクセント 6 3 5 2 2" xfId="10970" xr:uid="{00000000-0005-0000-0000-000012020000}"/>
    <cellStyle name="20% - アクセント 6 3 5 3" xfId="8311" xr:uid="{00000000-0005-0000-0000-000013020000}"/>
    <cellStyle name="20% - アクセント 6 3 6" xfId="3088" xr:uid="{00000000-0005-0000-0000-000014020000}"/>
    <cellStyle name="20% - アクセント 6 3 6 2" xfId="8636" xr:uid="{00000000-0005-0000-0000-000015020000}"/>
    <cellStyle name="20% - アクセント 6 3 7" xfId="5956" xr:uid="{00000000-0005-0000-0000-000016020000}"/>
    <cellStyle name="20% - アクセント 6 4" xfId="590" xr:uid="{00000000-0005-0000-0000-000017020000}"/>
    <cellStyle name="20% - アクセント 6 4 2" xfId="1697" xr:uid="{00000000-0005-0000-0000-000018020000}"/>
    <cellStyle name="20% - アクセント 6 4 2 2" xfId="2608" xr:uid="{00000000-0005-0000-0000-000019020000}"/>
    <cellStyle name="20% - アクセント 6 4 2 2 2" xfId="5463" xr:uid="{00000000-0005-0000-0000-00001A020000}"/>
    <cellStyle name="20% - アクセント 6 4 2 2 2 2" xfId="10829" xr:uid="{00000000-0005-0000-0000-00001B020000}"/>
    <cellStyle name="20% - アクセント 6 4 2 2 3" xfId="8157" xr:uid="{00000000-0005-0000-0000-00001C020000}"/>
    <cellStyle name="20% - アクセント 6 4 2 3" xfId="2958" xr:uid="{00000000-0005-0000-0000-00001D020000}"/>
    <cellStyle name="20% - アクセント 6 4 2 3 2" xfId="5799" xr:uid="{00000000-0005-0000-0000-00001E020000}"/>
    <cellStyle name="20% - アクセント 6 4 2 3 2 2" xfId="11165" xr:uid="{00000000-0005-0000-0000-00001F020000}"/>
    <cellStyle name="20% - アクセント 6 4 2 3 3" xfId="8506" xr:uid="{00000000-0005-0000-0000-000020020000}"/>
    <cellStyle name="20% - アクセント 6 4 2 4" xfId="3093" xr:uid="{00000000-0005-0000-0000-000021020000}"/>
    <cellStyle name="20% - アクセント 6 4 2 4 2" xfId="8641" xr:uid="{00000000-0005-0000-0000-000022020000}"/>
    <cellStyle name="20% - アクセント 6 4 2 5" xfId="7384" xr:uid="{00000000-0005-0000-0000-000023020000}"/>
    <cellStyle name="20% - アクセント 6 4 3" xfId="2325" xr:uid="{00000000-0005-0000-0000-000024020000}"/>
    <cellStyle name="20% - アクセント 6 4 3 2" xfId="5196" xr:uid="{00000000-0005-0000-0000-000025020000}"/>
    <cellStyle name="20% - アクセント 6 4 3 2 2" xfId="10653" xr:uid="{00000000-0005-0000-0000-000026020000}"/>
    <cellStyle name="20% - アクセント 6 4 3 3" xfId="7966" xr:uid="{00000000-0005-0000-0000-000027020000}"/>
    <cellStyle name="20% - アクセント 6 4 4" xfId="2790" xr:uid="{00000000-0005-0000-0000-000028020000}"/>
    <cellStyle name="20% - アクセント 6 4 4 2" xfId="5631" xr:uid="{00000000-0005-0000-0000-000029020000}"/>
    <cellStyle name="20% - アクセント 6 4 4 2 2" xfId="10997" xr:uid="{00000000-0005-0000-0000-00002A020000}"/>
    <cellStyle name="20% - アクセント 6 4 4 3" xfId="8338" xr:uid="{00000000-0005-0000-0000-00002B020000}"/>
    <cellStyle name="20% - アクセント 6 4 5" xfId="3092" xr:uid="{00000000-0005-0000-0000-00002C020000}"/>
    <cellStyle name="20% - アクセント 6 4 5 2" xfId="8640" xr:uid="{00000000-0005-0000-0000-00002D020000}"/>
    <cellStyle name="20% - アクセント 6 4 6" xfId="6374" xr:uid="{00000000-0005-0000-0000-00002E020000}"/>
    <cellStyle name="20% - アクセント 6 5" xfId="1194" xr:uid="{00000000-0005-0000-0000-00002F020000}"/>
    <cellStyle name="20% - アクセント 6 5 2" xfId="2543" xr:uid="{00000000-0005-0000-0000-000030020000}"/>
    <cellStyle name="20% - アクセント 6 5 2 2" xfId="5410" xr:uid="{00000000-0005-0000-0000-000031020000}"/>
    <cellStyle name="20% - アクセント 6 5 2 2 2" xfId="10777" xr:uid="{00000000-0005-0000-0000-000032020000}"/>
    <cellStyle name="20% - アクセント 6 5 2 3" xfId="8093" xr:uid="{00000000-0005-0000-0000-000033020000}"/>
    <cellStyle name="20% - アクセント 6 5 3" xfId="2910" xr:uid="{00000000-0005-0000-0000-000034020000}"/>
    <cellStyle name="20% - アクセント 6 5 3 2" xfId="5751" xr:uid="{00000000-0005-0000-0000-000035020000}"/>
    <cellStyle name="20% - アクセント 6 5 3 2 2" xfId="11117" xr:uid="{00000000-0005-0000-0000-000036020000}"/>
    <cellStyle name="20% - アクセント 6 5 3 3" xfId="8458" xr:uid="{00000000-0005-0000-0000-000037020000}"/>
    <cellStyle name="20% - アクセント 6 5 4" xfId="3094" xr:uid="{00000000-0005-0000-0000-000038020000}"/>
    <cellStyle name="20% - アクセント 6 5 4 2" xfId="8642" xr:uid="{00000000-0005-0000-0000-000039020000}"/>
    <cellStyle name="20% - アクセント 6 5 5" xfId="6927" xr:uid="{00000000-0005-0000-0000-00003A020000}"/>
    <cellStyle name="20% - アクセント 6 6" xfId="2276" xr:uid="{00000000-0005-0000-0000-00003B020000}"/>
    <cellStyle name="20% - アクセント 6 6 2" xfId="5147" xr:uid="{00000000-0005-0000-0000-00003C020000}"/>
    <cellStyle name="20% - アクセント 6 6 2 2" xfId="10604" xr:uid="{00000000-0005-0000-0000-00003D020000}"/>
    <cellStyle name="20% - アクセント 6 6 3" xfId="7917" xr:uid="{00000000-0005-0000-0000-00003E020000}"/>
    <cellStyle name="20% - アクセント 6 7" xfId="2741" xr:uid="{00000000-0005-0000-0000-00003F020000}"/>
    <cellStyle name="20% - アクセント 6 7 2" xfId="5582" xr:uid="{00000000-0005-0000-0000-000040020000}"/>
    <cellStyle name="20% - アクセント 6 7 2 2" xfId="10948" xr:uid="{00000000-0005-0000-0000-000041020000}"/>
    <cellStyle name="20% - アクセント 6 7 3" xfId="8289" xr:uid="{00000000-0005-0000-0000-000042020000}"/>
    <cellStyle name="20% - アクセント 6 8" xfId="3050" xr:uid="{00000000-0005-0000-0000-000043020000}"/>
    <cellStyle name="20% - アクセント 6 8 2" xfId="8598" xr:uid="{00000000-0005-0000-0000-000044020000}"/>
    <cellStyle name="20% - アクセント 6 9" xfId="5907" xr:uid="{00000000-0005-0000-0000-000045020000}"/>
    <cellStyle name="40% - アクセント 1" xfId="20" builtinId="31" customBuiltin="1"/>
    <cellStyle name="40% - アクセント 1 2" xfId="56" xr:uid="{00000000-0005-0000-0000-000047020000}"/>
    <cellStyle name="40% - アクセント 1 3" xfId="120" xr:uid="{00000000-0005-0000-0000-000048020000}"/>
    <cellStyle name="40% - アクセント 1 3 2" xfId="610" xr:uid="{00000000-0005-0000-0000-000049020000}"/>
    <cellStyle name="40% - アクセント 1 3 2 2" xfId="1716" xr:uid="{00000000-0005-0000-0000-00004A020000}"/>
    <cellStyle name="40% - アクセント 1 3 2 2 2" xfId="2626" xr:uid="{00000000-0005-0000-0000-00004B020000}"/>
    <cellStyle name="40% - アクセント 1 3 2 2 2 2" xfId="5481" xr:uid="{00000000-0005-0000-0000-00004C020000}"/>
    <cellStyle name="40% - アクセント 1 3 2 2 2 2 2" xfId="10847" xr:uid="{00000000-0005-0000-0000-00004D020000}"/>
    <cellStyle name="40% - アクセント 1 3 2 2 2 3" xfId="8175" xr:uid="{00000000-0005-0000-0000-00004E020000}"/>
    <cellStyle name="40% - アクセント 1 3 2 2 3" xfId="2976" xr:uid="{00000000-0005-0000-0000-00004F020000}"/>
    <cellStyle name="40% - アクセント 1 3 2 2 3 2" xfId="5817" xr:uid="{00000000-0005-0000-0000-000050020000}"/>
    <cellStyle name="40% - アクセント 1 3 2 2 3 2 2" xfId="11183" xr:uid="{00000000-0005-0000-0000-000051020000}"/>
    <cellStyle name="40% - アクセント 1 3 2 2 3 3" xfId="8524" xr:uid="{00000000-0005-0000-0000-000052020000}"/>
    <cellStyle name="40% - アクセント 1 3 2 2 4" xfId="3097" xr:uid="{00000000-0005-0000-0000-000053020000}"/>
    <cellStyle name="40% - アクセント 1 3 2 2 4 2" xfId="8645" xr:uid="{00000000-0005-0000-0000-000054020000}"/>
    <cellStyle name="40% - アクセント 1 3 2 2 5" xfId="7403" xr:uid="{00000000-0005-0000-0000-000055020000}"/>
    <cellStyle name="40% - アクセント 1 3 2 3" xfId="2344" xr:uid="{00000000-0005-0000-0000-000056020000}"/>
    <cellStyle name="40% - アクセント 1 3 2 3 2" xfId="5215" xr:uid="{00000000-0005-0000-0000-000057020000}"/>
    <cellStyle name="40% - アクセント 1 3 2 3 2 2" xfId="10672" xr:uid="{00000000-0005-0000-0000-000058020000}"/>
    <cellStyle name="40% - アクセント 1 3 2 3 3" xfId="7985" xr:uid="{00000000-0005-0000-0000-000059020000}"/>
    <cellStyle name="40% - アクセント 1 3 2 4" xfId="2809" xr:uid="{00000000-0005-0000-0000-00005A020000}"/>
    <cellStyle name="40% - アクセント 1 3 2 4 2" xfId="5650" xr:uid="{00000000-0005-0000-0000-00005B020000}"/>
    <cellStyle name="40% - アクセント 1 3 2 4 2 2" xfId="11016" xr:uid="{00000000-0005-0000-0000-00005C020000}"/>
    <cellStyle name="40% - アクセント 1 3 2 4 3" xfId="8357" xr:uid="{00000000-0005-0000-0000-00005D020000}"/>
    <cellStyle name="40% - アクセント 1 3 2 5" xfId="3096" xr:uid="{00000000-0005-0000-0000-00005E020000}"/>
    <cellStyle name="40% - アクセント 1 3 2 5 2" xfId="8644" xr:uid="{00000000-0005-0000-0000-00005F020000}"/>
    <cellStyle name="40% - アクセント 1 3 2 6" xfId="6394" xr:uid="{00000000-0005-0000-0000-000060020000}"/>
    <cellStyle name="40% - アクセント 1 3 3" xfId="1229" xr:uid="{00000000-0005-0000-0000-000061020000}"/>
    <cellStyle name="40% - アクセント 1 3 3 2" xfId="2562" xr:uid="{00000000-0005-0000-0000-000062020000}"/>
    <cellStyle name="40% - アクセント 1 3 3 2 2" xfId="5427" xr:uid="{00000000-0005-0000-0000-000063020000}"/>
    <cellStyle name="40% - アクセント 1 3 3 2 2 2" xfId="10793" xr:uid="{00000000-0005-0000-0000-000064020000}"/>
    <cellStyle name="40% - アクセント 1 3 3 2 3" xfId="8111" xr:uid="{00000000-0005-0000-0000-000065020000}"/>
    <cellStyle name="40% - アクセント 1 3 3 3" xfId="2922" xr:uid="{00000000-0005-0000-0000-000066020000}"/>
    <cellStyle name="40% - アクセント 1 3 3 3 2" xfId="5763" xr:uid="{00000000-0005-0000-0000-000067020000}"/>
    <cellStyle name="40% - アクセント 1 3 3 3 2 2" xfId="11129" xr:uid="{00000000-0005-0000-0000-000068020000}"/>
    <cellStyle name="40% - アクセント 1 3 3 3 3" xfId="8470" xr:uid="{00000000-0005-0000-0000-000069020000}"/>
    <cellStyle name="40% - アクセント 1 3 3 4" xfId="3098" xr:uid="{00000000-0005-0000-0000-00006A020000}"/>
    <cellStyle name="40% - アクセント 1 3 3 4 2" xfId="8646" xr:uid="{00000000-0005-0000-0000-00006B020000}"/>
    <cellStyle name="40% - アクセント 1 3 3 5" xfId="6959" xr:uid="{00000000-0005-0000-0000-00006C020000}"/>
    <cellStyle name="40% - アクセント 1 3 4" xfId="2289" xr:uid="{00000000-0005-0000-0000-00006D020000}"/>
    <cellStyle name="40% - アクセント 1 3 4 2" xfId="5160" xr:uid="{00000000-0005-0000-0000-00006E020000}"/>
    <cellStyle name="40% - アクセント 1 3 4 2 2" xfId="10617" xr:uid="{00000000-0005-0000-0000-00006F020000}"/>
    <cellStyle name="40% - アクセント 1 3 4 3" xfId="7930" xr:uid="{00000000-0005-0000-0000-000070020000}"/>
    <cellStyle name="40% - アクセント 1 3 5" xfId="2754" xr:uid="{00000000-0005-0000-0000-000071020000}"/>
    <cellStyle name="40% - アクセント 1 3 5 2" xfId="5595" xr:uid="{00000000-0005-0000-0000-000072020000}"/>
    <cellStyle name="40% - アクセント 1 3 5 2 2" xfId="10961" xr:uid="{00000000-0005-0000-0000-000073020000}"/>
    <cellStyle name="40% - アクセント 1 3 5 3" xfId="8302" xr:uid="{00000000-0005-0000-0000-000074020000}"/>
    <cellStyle name="40% - アクセント 1 3 6" xfId="3095" xr:uid="{00000000-0005-0000-0000-000075020000}"/>
    <cellStyle name="40% - アクセント 1 3 6 2" xfId="8643" xr:uid="{00000000-0005-0000-0000-000076020000}"/>
    <cellStyle name="40% - アクセント 1 3 7" xfId="5947" xr:uid="{00000000-0005-0000-0000-000077020000}"/>
    <cellStyle name="40% - アクセント 1 4" xfId="581" xr:uid="{00000000-0005-0000-0000-000078020000}"/>
    <cellStyle name="40% - アクセント 1 4 2" xfId="1688" xr:uid="{00000000-0005-0000-0000-000079020000}"/>
    <cellStyle name="40% - アクセント 1 4 2 2" xfId="2599" xr:uid="{00000000-0005-0000-0000-00007A020000}"/>
    <cellStyle name="40% - アクセント 1 4 2 2 2" xfId="5454" xr:uid="{00000000-0005-0000-0000-00007B020000}"/>
    <cellStyle name="40% - アクセント 1 4 2 2 2 2" xfId="10820" xr:uid="{00000000-0005-0000-0000-00007C020000}"/>
    <cellStyle name="40% - アクセント 1 4 2 2 3" xfId="8148" xr:uid="{00000000-0005-0000-0000-00007D020000}"/>
    <cellStyle name="40% - アクセント 1 4 2 3" xfId="2949" xr:uid="{00000000-0005-0000-0000-00007E020000}"/>
    <cellStyle name="40% - アクセント 1 4 2 3 2" xfId="5790" xr:uid="{00000000-0005-0000-0000-00007F020000}"/>
    <cellStyle name="40% - アクセント 1 4 2 3 2 2" xfId="11156" xr:uid="{00000000-0005-0000-0000-000080020000}"/>
    <cellStyle name="40% - アクセント 1 4 2 3 3" xfId="8497" xr:uid="{00000000-0005-0000-0000-000081020000}"/>
    <cellStyle name="40% - アクセント 1 4 2 4" xfId="3100" xr:uid="{00000000-0005-0000-0000-000082020000}"/>
    <cellStyle name="40% - アクセント 1 4 2 4 2" xfId="8648" xr:uid="{00000000-0005-0000-0000-000083020000}"/>
    <cellStyle name="40% - アクセント 1 4 2 5" xfId="7375" xr:uid="{00000000-0005-0000-0000-000084020000}"/>
    <cellStyle name="40% - アクセント 1 4 3" xfId="2316" xr:uid="{00000000-0005-0000-0000-000085020000}"/>
    <cellStyle name="40% - アクセント 1 4 3 2" xfId="5187" xr:uid="{00000000-0005-0000-0000-000086020000}"/>
    <cellStyle name="40% - アクセント 1 4 3 2 2" xfId="10644" xr:uid="{00000000-0005-0000-0000-000087020000}"/>
    <cellStyle name="40% - アクセント 1 4 3 3" xfId="7957" xr:uid="{00000000-0005-0000-0000-000088020000}"/>
    <cellStyle name="40% - アクセント 1 4 4" xfId="2781" xr:uid="{00000000-0005-0000-0000-000089020000}"/>
    <cellStyle name="40% - アクセント 1 4 4 2" xfId="5622" xr:uid="{00000000-0005-0000-0000-00008A020000}"/>
    <cellStyle name="40% - アクセント 1 4 4 2 2" xfId="10988" xr:uid="{00000000-0005-0000-0000-00008B020000}"/>
    <cellStyle name="40% - アクセント 1 4 4 3" xfId="8329" xr:uid="{00000000-0005-0000-0000-00008C020000}"/>
    <cellStyle name="40% - アクセント 1 4 5" xfId="3099" xr:uid="{00000000-0005-0000-0000-00008D020000}"/>
    <cellStyle name="40% - アクセント 1 4 5 2" xfId="8647" xr:uid="{00000000-0005-0000-0000-00008E020000}"/>
    <cellStyle name="40% - アクセント 1 4 6" xfId="6365" xr:uid="{00000000-0005-0000-0000-00008F020000}"/>
    <cellStyle name="40% - アクセント 1 5" xfId="1185" xr:uid="{00000000-0005-0000-0000-000090020000}"/>
    <cellStyle name="40% - アクセント 1 5 2" xfId="2534" xr:uid="{00000000-0005-0000-0000-000091020000}"/>
    <cellStyle name="40% - アクセント 1 5 2 2" xfId="5401" xr:uid="{00000000-0005-0000-0000-000092020000}"/>
    <cellStyle name="40% - アクセント 1 5 2 2 2" xfId="10768" xr:uid="{00000000-0005-0000-0000-000093020000}"/>
    <cellStyle name="40% - アクセント 1 5 2 3" xfId="8084" xr:uid="{00000000-0005-0000-0000-000094020000}"/>
    <cellStyle name="40% - アクセント 1 5 3" xfId="2901" xr:uid="{00000000-0005-0000-0000-000095020000}"/>
    <cellStyle name="40% - アクセント 1 5 3 2" xfId="5742" xr:uid="{00000000-0005-0000-0000-000096020000}"/>
    <cellStyle name="40% - アクセント 1 5 3 2 2" xfId="11108" xr:uid="{00000000-0005-0000-0000-000097020000}"/>
    <cellStyle name="40% - アクセント 1 5 3 3" xfId="8449" xr:uid="{00000000-0005-0000-0000-000098020000}"/>
    <cellStyle name="40% - アクセント 1 5 4" xfId="3101" xr:uid="{00000000-0005-0000-0000-000099020000}"/>
    <cellStyle name="40% - アクセント 1 5 4 2" xfId="8649" xr:uid="{00000000-0005-0000-0000-00009A020000}"/>
    <cellStyle name="40% - アクセント 1 5 5" xfId="6918" xr:uid="{00000000-0005-0000-0000-00009B020000}"/>
    <cellStyle name="40% - アクセント 1 6" xfId="2267" xr:uid="{00000000-0005-0000-0000-00009C020000}"/>
    <cellStyle name="40% - アクセント 1 6 2" xfId="5138" xr:uid="{00000000-0005-0000-0000-00009D020000}"/>
    <cellStyle name="40% - アクセント 1 6 2 2" xfId="10595" xr:uid="{00000000-0005-0000-0000-00009E020000}"/>
    <cellStyle name="40% - アクセント 1 6 3" xfId="7908" xr:uid="{00000000-0005-0000-0000-00009F020000}"/>
    <cellStyle name="40% - アクセント 1 7" xfId="2732" xr:uid="{00000000-0005-0000-0000-0000A0020000}"/>
    <cellStyle name="40% - アクセント 1 7 2" xfId="5573" xr:uid="{00000000-0005-0000-0000-0000A1020000}"/>
    <cellStyle name="40% - アクセント 1 7 2 2" xfId="10939" xr:uid="{00000000-0005-0000-0000-0000A2020000}"/>
    <cellStyle name="40% - アクセント 1 7 3" xfId="8280" xr:uid="{00000000-0005-0000-0000-0000A3020000}"/>
    <cellStyle name="40% - アクセント 1 8" xfId="3041" xr:uid="{00000000-0005-0000-0000-0000A4020000}"/>
    <cellStyle name="40% - アクセント 1 8 2" xfId="8589" xr:uid="{00000000-0005-0000-0000-0000A5020000}"/>
    <cellStyle name="40% - アクセント 1 9" xfId="5898" xr:uid="{00000000-0005-0000-0000-0000A6020000}"/>
    <cellStyle name="40% - アクセント 2" xfId="24" builtinId="35" customBuiltin="1"/>
    <cellStyle name="40% - アクセント 2 2" xfId="57" xr:uid="{00000000-0005-0000-0000-0000A8020000}"/>
    <cellStyle name="40% - アクセント 2 3" xfId="122" xr:uid="{00000000-0005-0000-0000-0000A9020000}"/>
    <cellStyle name="40% - アクセント 2 3 2" xfId="612" xr:uid="{00000000-0005-0000-0000-0000AA020000}"/>
    <cellStyle name="40% - アクセント 2 3 2 2" xfId="1718" xr:uid="{00000000-0005-0000-0000-0000AB020000}"/>
    <cellStyle name="40% - アクセント 2 3 2 2 2" xfId="2628" xr:uid="{00000000-0005-0000-0000-0000AC020000}"/>
    <cellStyle name="40% - アクセント 2 3 2 2 2 2" xfId="5483" xr:uid="{00000000-0005-0000-0000-0000AD020000}"/>
    <cellStyle name="40% - アクセント 2 3 2 2 2 2 2" xfId="10849" xr:uid="{00000000-0005-0000-0000-0000AE020000}"/>
    <cellStyle name="40% - アクセント 2 3 2 2 2 3" xfId="8177" xr:uid="{00000000-0005-0000-0000-0000AF020000}"/>
    <cellStyle name="40% - アクセント 2 3 2 2 3" xfId="2978" xr:uid="{00000000-0005-0000-0000-0000B0020000}"/>
    <cellStyle name="40% - アクセント 2 3 2 2 3 2" xfId="5819" xr:uid="{00000000-0005-0000-0000-0000B1020000}"/>
    <cellStyle name="40% - アクセント 2 3 2 2 3 2 2" xfId="11185" xr:uid="{00000000-0005-0000-0000-0000B2020000}"/>
    <cellStyle name="40% - アクセント 2 3 2 2 3 3" xfId="8526" xr:uid="{00000000-0005-0000-0000-0000B3020000}"/>
    <cellStyle name="40% - アクセント 2 3 2 2 4" xfId="3104" xr:uid="{00000000-0005-0000-0000-0000B4020000}"/>
    <cellStyle name="40% - アクセント 2 3 2 2 4 2" xfId="8652" xr:uid="{00000000-0005-0000-0000-0000B5020000}"/>
    <cellStyle name="40% - アクセント 2 3 2 2 5" xfId="7405" xr:uid="{00000000-0005-0000-0000-0000B6020000}"/>
    <cellStyle name="40% - アクセント 2 3 2 3" xfId="2346" xr:uid="{00000000-0005-0000-0000-0000B7020000}"/>
    <cellStyle name="40% - アクセント 2 3 2 3 2" xfId="5217" xr:uid="{00000000-0005-0000-0000-0000B8020000}"/>
    <cellStyle name="40% - アクセント 2 3 2 3 2 2" xfId="10674" xr:uid="{00000000-0005-0000-0000-0000B9020000}"/>
    <cellStyle name="40% - アクセント 2 3 2 3 3" xfId="7987" xr:uid="{00000000-0005-0000-0000-0000BA020000}"/>
    <cellStyle name="40% - アクセント 2 3 2 4" xfId="2811" xr:uid="{00000000-0005-0000-0000-0000BB020000}"/>
    <cellStyle name="40% - アクセント 2 3 2 4 2" xfId="5652" xr:uid="{00000000-0005-0000-0000-0000BC020000}"/>
    <cellStyle name="40% - アクセント 2 3 2 4 2 2" xfId="11018" xr:uid="{00000000-0005-0000-0000-0000BD020000}"/>
    <cellStyle name="40% - アクセント 2 3 2 4 3" xfId="8359" xr:uid="{00000000-0005-0000-0000-0000BE020000}"/>
    <cellStyle name="40% - アクセント 2 3 2 5" xfId="3103" xr:uid="{00000000-0005-0000-0000-0000BF020000}"/>
    <cellStyle name="40% - アクセント 2 3 2 5 2" xfId="8651" xr:uid="{00000000-0005-0000-0000-0000C0020000}"/>
    <cellStyle name="40% - アクセント 2 3 2 6" xfId="6396" xr:uid="{00000000-0005-0000-0000-0000C1020000}"/>
    <cellStyle name="40% - アクセント 2 3 3" xfId="1231" xr:uid="{00000000-0005-0000-0000-0000C2020000}"/>
    <cellStyle name="40% - アクセント 2 3 3 2" xfId="2564" xr:uid="{00000000-0005-0000-0000-0000C3020000}"/>
    <cellStyle name="40% - アクセント 2 3 3 2 2" xfId="5429" xr:uid="{00000000-0005-0000-0000-0000C4020000}"/>
    <cellStyle name="40% - アクセント 2 3 3 2 2 2" xfId="10795" xr:uid="{00000000-0005-0000-0000-0000C5020000}"/>
    <cellStyle name="40% - アクセント 2 3 3 2 3" xfId="8113" xr:uid="{00000000-0005-0000-0000-0000C6020000}"/>
    <cellStyle name="40% - アクセント 2 3 3 3" xfId="2924" xr:uid="{00000000-0005-0000-0000-0000C7020000}"/>
    <cellStyle name="40% - アクセント 2 3 3 3 2" xfId="5765" xr:uid="{00000000-0005-0000-0000-0000C8020000}"/>
    <cellStyle name="40% - アクセント 2 3 3 3 2 2" xfId="11131" xr:uid="{00000000-0005-0000-0000-0000C9020000}"/>
    <cellStyle name="40% - アクセント 2 3 3 3 3" xfId="8472" xr:uid="{00000000-0005-0000-0000-0000CA020000}"/>
    <cellStyle name="40% - アクセント 2 3 3 4" xfId="3105" xr:uid="{00000000-0005-0000-0000-0000CB020000}"/>
    <cellStyle name="40% - アクセント 2 3 3 4 2" xfId="8653" xr:uid="{00000000-0005-0000-0000-0000CC020000}"/>
    <cellStyle name="40% - アクセント 2 3 3 5" xfId="6961" xr:uid="{00000000-0005-0000-0000-0000CD020000}"/>
    <cellStyle name="40% - アクセント 2 3 4" xfId="2291" xr:uid="{00000000-0005-0000-0000-0000CE020000}"/>
    <cellStyle name="40% - アクセント 2 3 4 2" xfId="5162" xr:uid="{00000000-0005-0000-0000-0000CF020000}"/>
    <cellStyle name="40% - アクセント 2 3 4 2 2" xfId="10619" xr:uid="{00000000-0005-0000-0000-0000D0020000}"/>
    <cellStyle name="40% - アクセント 2 3 4 3" xfId="7932" xr:uid="{00000000-0005-0000-0000-0000D1020000}"/>
    <cellStyle name="40% - アクセント 2 3 5" xfId="2756" xr:uid="{00000000-0005-0000-0000-0000D2020000}"/>
    <cellStyle name="40% - アクセント 2 3 5 2" xfId="5597" xr:uid="{00000000-0005-0000-0000-0000D3020000}"/>
    <cellStyle name="40% - アクセント 2 3 5 2 2" xfId="10963" xr:uid="{00000000-0005-0000-0000-0000D4020000}"/>
    <cellStyle name="40% - アクセント 2 3 5 3" xfId="8304" xr:uid="{00000000-0005-0000-0000-0000D5020000}"/>
    <cellStyle name="40% - アクセント 2 3 6" xfId="3102" xr:uid="{00000000-0005-0000-0000-0000D6020000}"/>
    <cellStyle name="40% - アクセント 2 3 6 2" xfId="8650" xr:uid="{00000000-0005-0000-0000-0000D7020000}"/>
    <cellStyle name="40% - アクセント 2 3 7" xfId="5949" xr:uid="{00000000-0005-0000-0000-0000D8020000}"/>
    <cellStyle name="40% - アクセント 2 4" xfId="583" xr:uid="{00000000-0005-0000-0000-0000D9020000}"/>
    <cellStyle name="40% - アクセント 2 4 2" xfId="1690" xr:uid="{00000000-0005-0000-0000-0000DA020000}"/>
    <cellStyle name="40% - アクセント 2 4 2 2" xfId="2601" xr:uid="{00000000-0005-0000-0000-0000DB020000}"/>
    <cellStyle name="40% - アクセント 2 4 2 2 2" xfId="5456" xr:uid="{00000000-0005-0000-0000-0000DC020000}"/>
    <cellStyle name="40% - アクセント 2 4 2 2 2 2" xfId="10822" xr:uid="{00000000-0005-0000-0000-0000DD020000}"/>
    <cellStyle name="40% - アクセント 2 4 2 2 3" xfId="8150" xr:uid="{00000000-0005-0000-0000-0000DE020000}"/>
    <cellStyle name="40% - アクセント 2 4 2 3" xfId="2951" xr:uid="{00000000-0005-0000-0000-0000DF020000}"/>
    <cellStyle name="40% - アクセント 2 4 2 3 2" xfId="5792" xr:uid="{00000000-0005-0000-0000-0000E0020000}"/>
    <cellStyle name="40% - アクセント 2 4 2 3 2 2" xfId="11158" xr:uid="{00000000-0005-0000-0000-0000E1020000}"/>
    <cellStyle name="40% - アクセント 2 4 2 3 3" xfId="8499" xr:uid="{00000000-0005-0000-0000-0000E2020000}"/>
    <cellStyle name="40% - アクセント 2 4 2 4" xfId="3107" xr:uid="{00000000-0005-0000-0000-0000E3020000}"/>
    <cellStyle name="40% - アクセント 2 4 2 4 2" xfId="8655" xr:uid="{00000000-0005-0000-0000-0000E4020000}"/>
    <cellStyle name="40% - アクセント 2 4 2 5" xfId="7377" xr:uid="{00000000-0005-0000-0000-0000E5020000}"/>
    <cellStyle name="40% - アクセント 2 4 3" xfId="2318" xr:uid="{00000000-0005-0000-0000-0000E6020000}"/>
    <cellStyle name="40% - アクセント 2 4 3 2" xfId="5189" xr:uid="{00000000-0005-0000-0000-0000E7020000}"/>
    <cellStyle name="40% - アクセント 2 4 3 2 2" xfId="10646" xr:uid="{00000000-0005-0000-0000-0000E8020000}"/>
    <cellStyle name="40% - アクセント 2 4 3 3" xfId="7959" xr:uid="{00000000-0005-0000-0000-0000E9020000}"/>
    <cellStyle name="40% - アクセント 2 4 4" xfId="2783" xr:uid="{00000000-0005-0000-0000-0000EA020000}"/>
    <cellStyle name="40% - アクセント 2 4 4 2" xfId="5624" xr:uid="{00000000-0005-0000-0000-0000EB020000}"/>
    <cellStyle name="40% - アクセント 2 4 4 2 2" xfId="10990" xr:uid="{00000000-0005-0000-0000-0000EC020000}"/>
    <cellStyle name="40% - アクセント 2 4 4 3" xfId="8331" xr:uid="{00000000-0005-0000-0000-0000ED020000}"/>
    <cellStyle name="40% - アクセント 2 4 5" xfId="3106" xr:uid="{00000000-0005-0000-0000-0000EE020000}"/>
    <cellStyle name="40% - アクセント 2 4 5 2" xfId="8654" xr:uid="{00000000-0005-0000-0000-0000EF020000}"/>
    <cellStyle name="40% - アクセント 2 4 6" xfId="6367" xr:uid="{00000000-0005-0000-0000-0000F0020000}"/>
    <cellStyle name="40% - アクセント 2 5" xfId="1187" xr:uid="{00000000-0005-0000-0000-0000F1020000}"/>
    <cellStyle name="40% - アクセント 2 5 2" xfId="2536" xr:uid="{00000000-0005-0000-0000-0000F2020000}"/>
    <cellStyle name="40% - アクセント 2 5 2 2" xfId="5403" xr:uid="{00000000-0005-0000-0000-0000F3020000}"/>
    <cellStyle name="40% - アクセント 2 5 2 2 2" xfId="10770" xr:uid="{00000000-0005-0000-0000-0000F4020000}"/>
    <cellStyle name="40% - アクセント 2 5 2 3" xfId="8086" xr:uid="{00000000-0005-0000-0000-0000F5020000}"/>
    <cellStyle name="40% - アクセント 2 5 3" xfId="2903" xr:uid="{00000000-0005-0000-0000-0000F6020000}"/>
    <cellStyle name="40% - アクセント 2 5 3 2" xfId="5744" xr:uid="{00000000-0005-0000-0000-0000F7020000}"/>
    <cellStyle name="40% - アクセント 2 5 3 2 2" xfId="11110" xr:uid="{00000000-0005-0000-0000-0000F8020000}"/>
    <cellStyle name="40% - アクセント 2 5 3 3" xfId="8451" xr:uid="{00000000-0005-0000-0000-0000F9020000}"/>
    <cellStyle name="40% - アクセント 2 5 4" xfId="3108" xr:uid="{00000000-0005-0000-0000-0000FA020000}"/>
    <cellStyle name="40% - アクセント 2 5 4 2" xfId="8656" xr:uid="{00000000-0005-0000-0000-0000FB020000}"/>
    <cellStyle name="40% - アクセント 2 5 5" xfId="6920" xr:uid="{00000000-0005-0000-0000-0000FC020000}"/>
    <cellStyle name="40% - アクセント 2 6" xfId="2269" xr:uid="{00000000-0005-0000-0000-0000FD020000}"/>
    <cellStyle name="40% - アクセント 2 6 2" xfId="5140" xr:uid="{00000000-0005-0000-0000-0000FE020000}"/>
    <cellStyle name="40% - アクセント 2 6 2 2" xfId="10597" xr:uid="{00000000-0005-0000-0000-0000FF020000}"/>
    <cellStyle name="40% - アクセント 2 6 3" xfId="7910" xr:uid="{00000000-0005-0000-0000-000000030000}"/>
    <cellStyle name="40% - アクセント 2 7" xfId="2734" xr:uid="{00000000-0005-0000-0000-000001030000}"/>
    <cellStyle name="40% - アクセント 2 7 2" xfId="5575" xr:uid="{00000000-0005-0000-0000-000002030000}"/>
    <cellStyle name="40% - アクセント 2 7 2 2" xfId="10941" xr:uid="{00000000-0005-0000-0000-000003030000}"/>
    <cellStyle name="40% - アクセント 2 7 3" xfId="8282" xr:uid="{00000000-0005-0000-0000-000004030000}"/>
    <cellStyle name="40% - アクセント 2 8" xfId="3043" xr:uid="{00000000-0005-0000-0000-000005030000}"/>
    <cellStyle name="40% - アクセント 2 8 2" xfId="8591" xr:uid="{00000000-0005-0000-0000-000006030000}"/>
    <cellStyle name="40% - アクセント 2 9" xfId="5900" xr:uid="{00000000-0005-0000-0000-000007030000}"/>
    <cellStyle name="40% - アクセント 3" xfId="28" builtinId="39" customBuiltin="1"/>
    <cellStyle name="40% - アクセント 3 2" xfId="58" xr:uid="{00000000-0005-0000-0000-000009030000}"/>
    <cellStyle name="40% - アクセント 3 3" xfId="124" xr:uid="{00000000-0005-0000-0000-00000A030000}"/>
    <cellStyle name="40% - アクセント 3 3 2" xfId="614" xr:uid="{00000000-0005-0000-0000-00000B030000}"/>
    <cellStyle name="40% - アクセント 3 3 2 2" xfId="1720" xr:uid="{00000000-0005-0000-0000-00000C030000}"/>
    <cellStyle name="40% - アクセント 3 3 2 2 2" xfId="2630" xr:uid="{00000000-0005-0000-0000-00000D030000}"/>
    <cellStyle name="40% - アクセント 3 3 2 2 2 2" xfId="5485" xr:uid="{00000000-0005-0000-0000-00000E030000}"/>
    <cellStyle name="40% - アクセント 3 3 2 2 2 2 2" xfId="10851" xr:uid="{00000000-0005-0000-0000-00000F030000}"/>
    <cellStyle name="40% - アクセント 3 3 2 2 2 3" xfId="8179" xr:uid="{00000000-0005-0000-0000-000010030000}"/>
    <cellStyle name="40% - アクセント 3 3 2 2 3" xfId="2980" xr:uid="{00000000-0005-0000-0000-000011030000}"/>
    <cellStyle name="40% - アクセント 3 3 2 2 3 2" xfId="5821" xr:uid="{00000000-0005-0000-0000-000012030000}"/>
    <cellStyle name="40% - アクセント 3 3 2 2 3 2 2" xfId="11187" xr:uid="{00000000-0005-0000-0000-000013030000}"/>
    <cellStyle name="40% - アクセント 3 3 2 2 3 3" xfId="8528" xr:uid="{00000000-0005-0000-0000-000014030000}"/>
    <cellStyle name="40% - アクセント 3 3 2 2 4" xfId="3111" xr:uid="{00000000-0005-0000-0000-000015030000}"/>
    <cellStyle name="40% - アクセント 3 3 2 2 4 2" xfId="8659" xr:uid="{00000000-0005-0000-0000-000016030000}"/>
    <cellStyle name="40% - アクセント 3 3 2 2 5" xfId="7407" xr:uid="{00000000-0005-0000-0000-000017030000}"/>
    <cellStyle name="40% - アクセント 3 3 2 3" xfId="2348" xr:uid="{00000000-0005-0000-0000-000018030000}"/>
    <cellStyle name="40% - アクセント 3 3 2 3 2" xfId="5219" xr:uid="{00000000-0005-0000-0000-000019030000}"/>
    <cellStyle name="40% - アクセント 3 3 2 3 2 2" xfId="10676" xr:uid="{00000000-0005-0000-0000-00001A030000}"/>
    <cellStyle name="40% - アクセント 3 3 2 3 3" xfId="7989" xr:uid="{00000000-0005-0000-0000-00001B030000}"/>
    <cellStyle name="40% - アクセント 3 3 2 4" xfId="2813" xr:uid="{00000000-0005-0000-0000-00001C030000}"/>
    <cellStyle name="40% - アクセント 3 3 2 4 2" xfId="5654" xr:uid="{00000000-0005-0000-0000-00001D030000}"/>
    <cellStyle name="40% - アクセント 3 3 2 4 2 2" xfId="11020" xr:uid="{00000000-0005-0000-0000-00001E030000}"/>
    <cellStyle name="40% - アクセント 3 3 2 4 3" xfId="8361" xr:uid="{00000000-0005-0000-0000-00001F030000}"/>
    <cellStyle name="40% - アクセント 3 3 2 5" xfId="3110" xr:uid="{00000000-0005-0000-0000-000020030000}"/>
    <cellStyle name="40% - アクセント 3 3 2 5 2" xfId="8658" xr:uid="{00000000-0005-0000-0000-000021030000}"/>
    <cellStyle name="40% - アクセント 3 3 2 6" xfId="6398" xr:uid="{00000000-0005-0000-0000-000022030000}"/>
    <cellStyle name="40% - アクセント 3 3 3" xfId="1233" xr:uid="{00000000-0005-0000-0000-000023030000}"/>
    <cellStyle name="40% - アクセント 3 3 3 2" xfId="2566" xr:uid="{00000000-0005-0000-0000-000024030000}"/>
    <cellStyle name="40% - アクセント 3 3 3 2 2" xfId="5431" xr:uid="{00000000-0005-0000-0000-000025030000}"/>
    <cellStyle name="40% - アクセント 3 3 3 2 2 2" xfId="10797" xr:uid="{00000000-0005-0000-0000-000026030000}"/>
    <cellStyle name="40% - アクセント 3 3 3 2 3" xfId="8115" xr:uid="{00000000-0005-0000-0000-000027030000}"/>
    <cellStyle name="40% - アクセント 3 3 3 3" xfId="2926" xr:uid="{00000000-0005-0000-0000-000028030000}"/>
    <cellStyle name="40% - アクセント 3 3 3 3 2" xfId="5767" xr:uid="{00000000-0005-0000-0000-000029030000}"/>
    <cellStyle name="40% - アクセント 3 3 3 3 2 2" xfId="11133" xr:uid="{00000000-0005-0000-0000-00002A030000}"/>
    <cellStyle name="40% - アクセント 3 3 3 3 3" xfId="8474" xr:uid="{00000000-0005-0000-0000-00002B030000}"/>
    <cellStyle name="40% - アクセント 3 3 3 4" xfId="3112" xr:uid="{00000000-0005-0000-0000-00002C030000}"/>
    <cellStyle name="40% - アクセント 3 3 3 4 2" xfId="8660" xr:uid="{00000000-0005-0000-0000-00002D030000}"/>
    <cellStyle name="40% - アクセント 3 3 3 5" xfId="6963" xr:uid="{00000000-0005-0000-0000-00002E030000}"/>
    <cellStyle name="40% - アクセント 3 3 4" xfId="2293" xr:uid="{00000000-0005-0000-0000-00002F030000}"/>
    <cellStyle name="40% - アクセント 3 3 4 2" xfId="5164" xr:uid="{00000000-0005-0000-0000-000030030000}"/>
    <cellStyle name="40% - アクセント 3 3 4 2 2" xfId="10621" xr:uid="{00000000-0005-0000-0000-000031030000}"/>
    <cellStyle name="40% - アクセント 3 3 4 3" xfId="7934" xr:uid="{00000000-0005-0000-0000-000032030000}"/>
    <cellStyle name="40% - アクセント 3 3 5" xfId="2758" xr:uid="{00000000-0005-0000-0000-000033030000}"/>
    <cellStyle name="40% - アクセント 3 3 5 2" xfId="5599" xr:uid="{00000000-0005-0000-0000-000034030000}"/>
    <cellStyle name="40% - アクセント 3 3 5 2 2" xfId="10965" xr:uid="{00000000-0005-0000-0000-000035030000}"/>
    <cellStyle name="40% - アクセント 3 3 5 3" xfId="8306" xr:uid="{00000000-0005-0000-0000-000036030000}"/>
    <cellStyle name="40% - アクセント 3 3 6" xfId="3109" xr:uid="{00000000-0005-0000-0000-000037030000}"/>
    <cellStyle name="40% - アクセント 3 3 6 2" xfId="8657" xr:uid="{00000000-0005-0000-0000-000038030000}"/>
    <cellStyle name="40% - アクセント 3 3 7" xfId="5951" xr:uid="{00000000-0005-0000-0000-000039030000}"/>
    <cellStyle name="40% - アクセント 3 4" xfId="585" xr:uid="{00000000-0005-0000-0000-00003A030000}"/>
    <cellStyle name="40% - アクセント 3 4 2" xfId="1692" xr:uid="{00000000-0005-0000-0000-00003B030000}"/>
    <cellStyle name="40% - アクセント 3 4 2 2" xfId="2603" xr:uid="{00000000-0005-0000-0000-00003C030000}"/>
    <cellStyle name="40% - アクセント 3 4 2 2 2" xfId="5458" xr:uid="{00000000-0005-0000-0000-00003D030000}"/>
    <cellStyle name="40% - アクセント 3 4 2 2 2 2" xfId="10824" xr:uid="{00000000-0005-0000-0000-00003E030000}"/>
    <cellStyle name="40% - アクセント 3 4 2 2 3" xfId="8152" xr:uid="{00000000-0005-0000-0000-00003F030000}"/>
    <cellStyle name="40% - アクセント 3 4 2 3" xfId="2953" xr:uid="{00000000-0005-0000-0000-000040030000}"/>
    <cellStyle name="40% - アクセント 3 4 2 3 2" xfId="5794" xr:uid="{00000000-0005-0000-0000-000041030000}"/>
    <cellStyle name="40% - アクセント 3 4 2 3 2 2" xfId="11160" xr:uid="{00000000-0005-0000-0000-000042030000}"/>
    <cellStyle name="40% - アクセント 3 4 2 3 3" xfId="8501" xr:uid="{00000000-0005-0000-0000-000043030000}"/>
    <cellStyle name="40% - アクセント 3 4 2 4" xfId="3114" xr:uid="{00000000-0005-0000-0000-000044030000}"/>
    <cellStyle name="40% - アクセント 3 4 2 4 2" xfId="8662" xr:uid="{00000000-0005-0000-0000-000045030000}"/>
    <cellStyle name="40% - アクセント 3 4 2 5" xfId="7379" xr:uid="{00000000-0005-0000-0000-000046030000}"/>
    <cellStyle name="40% - アクセント 3 4 3" xfId="2320" xr:uid="{00000000-0005-0000-0000-000047030000}"/>
    <cellStyle name="40% - アクセント 3 4 3 2" xfId="5191" xr:uid="{00000000-0005-0000-0000-000048030000}"/>
    <cellStyle name="40% - アクセント 3 4 3 2 2" xfId="10648" xr:uid="{00000000-0005-0000-0000-000049030000}"/>
    <cellStyle name="40% - アクセント 3 4 3 3" xfId="7961" xr:uid="{00000000-0005-0000-0000-00004A030000}"/>
    <cellStyle name="40% - アクセント 3 4 4" xfId="2785" xr:uid="{00000000-0005-0000-0000-00004B030000}"/>
    <cellStyle name="40% - アクセント 3 4 4 2" xfId="5626" xr:uid="{00000000-0005-0000-0000-00004C030000}"/>
    <cellStyle name="40% - アクセント 3 4 4 2 2" xfId="10992" xr:uid="{00000000-0005-0000-0000-00004D030000}"/>
    <cellStyle name="40% - アクセント 3 4 4 3" xfId="8333" xr:uid="{00000000-0005-0000-0000-00004E030000}"/>
    <cellStyle name="40% - アクセント 3 4 5" xfId="3113" xr:uid="{00000000-0005-0000-0000-00004F030000}"/>
    <cellStyle name="40% - アクセント 3 4 5 2" xfId="8661" xr:uid="{00000000-0005-0000-0000-000050030000}"/>
    <cellStyle name="40% - アクセント 3 4 6" xfId="6369" xr:uid="{00000000-0005-0000-0000-000051030000}"/>
    <cellStyle name="40% - アクセント 3 5" xfId="1189" xr:uid="{00000000-0005-0000-0000-000052030000}"/>
    <cellStyle name="40% - アクセント 3 5 2" xfId="2538" xr:uid="{00000000-0005-0000-0000-000053030000}"/>
    <cellStyle name="40% - アクセント 3 5 2 2" xfId="5405" xr:uid="{00000000-0005-0000-0000-000054030000}"/>
    <cellStyle name="40% - アクセント 3 5 2 2 2" xfId="10772" xr:uid="{00000000-0005-0000-0000-000055030000}"/>
    <cellStyle name="40% - アクセント 3 5 2 3" xfId="8088" xr:uid="{00000000-0005-0000-0000-000056030000}"/>
    <cellStyle name="40% - アクセント 3 5 3" xfId="2905" xr:uid="{00000000-0005-0000-0000-000057030000}"/>
    <cellStyle name="40% - アクセント 3 5 3 2" xfId="5746" xr:uid="{00000000-0005-0000-0000-000058030000}"/>
    <cellStyle name="40% - アクセント 3 5 3 2 2" xfId="11112" xr:uid="{00000000-0005-0000-0000-000059030000}"/>
    <cellStyle name="40% - アクセント 3 5 3 3" xfId="8453" xr:uid="{00000000-0005-0000-0000-00005A030000}"/>
    <cellStyle name="40% - アクセント 3 5 4" xfId="3115" xr:uid="{00000000-0005-0000-0000-00005B030000}"/>
    <cellStyle name="40% - アクセント 3 5 4 2" xfId="8663" xr:uid="{00000000-0005-0000-0000-00005C030000}"/>
    <cellStyle name="40% - アクセント 3 5 5" xfId="6922" xr:uid="{00000000-0005-0000-0000-00005D030000}"/>
    <cellStyle name="40% - アクセント 3 6" xfId="2271" xr:uid="{00000000-0005-0000-0000-00005E030000}"/>
    <cellStyle name="40% - アクセント 3 6 2" xfId="5142" xr:uid="{00000000-0005-0000-0000-00005F030000}"/>
    <cellStyle name="40% - アクセント 3 6 2 2" xfId="10599" xr:uid="{00000000-0005-0000-0000-000060030000}"/>
    <cellStyle name="40% - アクセント 3 6 3" xfId="7912" xr:uid="{00000000-0005-0000-0000-000061030000}"/>
    <cellStyle name="40% - アクセント 3 7" xfId="2736" xr:uid="{00000000-0005-0000-0000-000062030000}"/>
    <cellStyle name="40% - アクセント 3 7 2" xfId="5577" xr:uid="{00000000-0005-0000-0000-000063030000}"/>
    <cellStyle name="40% - アクセント 3 7 2 2" xfId="10943" xr:uid="{00000000-0005-0000-0000-000064030000}"/>
    <cellStyle name="40% - アクセント 3 7 3" xfId="8284" xr:uid="{00000000-0005-0000-0000-000065030000}"/>
    <cellStyle name="40% - アクセント 3 8" xfId="3045" xr:uid="{00000000-0005-0000-0000-000066030000}"/>
    <cellStyle name="40% - アクセント 3 8 2" xfId="8593" xr:uid="{00000000-0005-0000-0000-000067030000}"/>
    <cellStyle name="40% - アクセント 3 9" xfId="5902" xr:uid="{00000000-0005-0000-0000-000068030000}"/>
    <cellStyle name="40% - アクセント 4" xfId="32" builtinId="43" customBuiltin="1"/>
    <cellStyle name="40% - アクセント 4 2" xfId="59" xr:uid="{00000000-0005-0000-0000-00006A030000}"/>
    <cellStyle name="40% - アクセント 4 3" xfId="126" xr:uid="{00000000-0005-0000-0000-00006B030000}"/>
    <cellStyle name="40% - アクセント 4 3 2" xfId="616" xr:uid="{00000000-0005-0000-0000-00006C030000}"/>
    <cellStyle name="40% - アクセント 4 3 2 2" xfId="1722" xr:uid="{00000000-0005-0000-0000-00006D030000}"/>
    <cellStyle name="40% - アクセント 4 3 2 2 2" xfId="2632" xr:uid="{00000000-0005-0000-0000-00006E030000}"/>
    <cellStyle name="40% - アクセント 4 3 2 2 2 2" xfId="5487" xr:uid="{00000000-0005-0000-0000-00006F030000}"/>
    <cellStyle name="40% - アクセント 4 3 2 2 2 2 2" xfId="10853" xr:uid="{00000000-0005-0000-0000-000070030000}"/>
    <cellStyle name="40% - アクセント 4 3 2 2 2 3" xfId="8181" xr:uid="{00000000-0005-0000-0000-000071030000}"/>
    <cellStyle name="40% - アクセント 4 3 2 2 3" xfId="2982" xr:uid="{00000000-0005-0000-0000-000072030000}"/>
    <cellStyle name="40% - アクセント 4 3 2 2 3 2" xfId="5823" xr:uid="{00000000-0005-0000-0000-000073030000}"/>
    <cellStyle name="40% - アクセント 4 3 2 2 3 2 2" xfId="11189" xr:uid="{00000000-0005-0000-0000-000074030000}"/>
    <cellStyle name="40% - アクセント 4 3 2 2 3 3" xfId="8530" xr:uid="{00000000-0005-0000-0000-000075030000}"/>
    <cellStyle name="40% - アクセント 4 3 2 2 4" xfId="3118" xr:uid="{00000000-0005-0000-0000-000076030000}"/>
    <cellStyle name="40% - アクセント 4 3 2 2 4 2" xfId="8666" xr:uid="{00000000-0005-0000-0000-000077030000}"/>
    <cellStyle name="40% - アクセント 4 3 2 2 5" xfId="7409" xr:uid="{00000000-0005-0000-0000-000078030000}"/>
    <cellStyle name="40% - アクセント 4 3 2 3" xfId="2350" xr:uid="{00000000-0005-0000-0000-000079030000}"/>
    <cellStyle name="40% - アクセント 4 3 2 3 2" xfId="5221" xr:uid="{00000000-0005-0000-0000-00007A030000}"/>
    <cellStyle name="40% - アクセント 4 3 2 3 2 2" xfId="10678" xr:uid="{00000000-0005-0000-0000-00007B030000}"/>
    <cellStyle name="40% - アクセント 4 3 2 3 3" xfId="7991" xr:uid="{00000000-0005-0000-0000-00007C030000}"/>
    <cellStyle name="40% - アクセント 4 3 2 4" xfId="2815" xr:uid="{00000000-0005-0000-0000-00007D030000}"/>
    <cellStyle name="40% - アクセント 4 3 2 4 2" xfId="5656" xr:uid="{00000000-0005-0000-0000-00007E030000}"/>
    <cellStyle name="40% - アクセント 4 3 2 4 2 2" xfId="11022" xr:uid="{00000000-0005-0000-0000-00007F030000}"/>
    <cellStyle name="40% - アクセント 4 3 2 4 3" xfId="8363" xr:uid="{00000000-0005-0000-0000-000080030000}"/>
    <cellStyle name="40% - アクセント 4 3 2 5" xfId="3117" xr:uid="{00000000-0005-0000-0000-000081030000}"/>
    <cellStyle name="40% - アクセント 4 3 2 5 2" xfId="8665" xr:uid="{00000000-0005-0000-0000-000082030000}"/>
    <cellStyle name="40% - アクセント 4 3 2 6" xfId="6400" xr:uid="{00000000-0005-0000-0000-000083030000}"/>
    <cellStyle name="40% - アクセント 4 3 3" xfId="1235" xr:uid="{00000000-0005-0000-0000-000084030000}"/>
    <cellStyle name="40% - アクセント 4 3 3 2" xfId="2568" xr:uid="{00000000-0005-0000-0000-000085030000}"/>
    <cellStyle name="40% - アクセント 4 3 3 2 2" xfId="5433" xr:uid="{00000000-0005-0000-0000-000086030000}"/>
    <cellStyle name="40% - アクセント 4 3 3 2 2 2" xfId="10799" xr:uid="{00000000-0005-0000-0000-000087030000}"/>
    <cellStyle name="40% - アクセント 4 3 3 2 3" xfId="8117" xr:uid="{00000000-0005-0000-0000-000088030000}"/>
    <cellStyle name="40% - アクセント 4 3 3 3" xfId="2928" xr:uid="{00000000-0005-0000-0000-000089030000}"/>
    <cellStyle name="40% - アクセント 4 3 3 3 2" xfId="5769" xr:uid="{00000000-0005-0000-0000-00008A030000}"/>
    <cellStyle name="40% - アクセント 4 3 3 3 2 2" xfId="11135" xr:uid="{00000000-0005-0000-0000-00008B030000}"/>
    <cellStyle name="40% - アクセント 4 3 3 3 3" xfId="8476" xr:uid="{00000000-0005-0000-0000-00008C030000}"/>
    <cellStyle name="40% - アクセント 4 3 3 4" xfId="3119" xr:uid="{00000000-0005-0000-0000-00008D030000}"/>
    <cellStyle name="40% - アクセント 4 3 3 4 2" xfId="8667" xr:uid="{00000000-0005-0000-0000-00008E030000}"/>
    <cellStyle name="40% - アクセント 4 3 3 5" xfId="6965" xr:uid="{00000000-0005-0000-0000-00008F030000}"/>
    <cellStyle name="40% - アクセント 4 3 4" xfId="2295" xr:uid="{00000000-0005-0000-0000-000090030000}"/>
    <cellStyle name="40% - アクセント 4 3 4 2" xfId="5166" xr:uid="{00000000-0005-0000-0000-000091030000}"/>
    <cellStyle name="40% - アクセント 4 3 4 2 2" xfId="10623" xr:uid="{00000000-0005-0000-0000-000092030000}"/>
    <cellStyle name="40% - アクセント 4 3 4 3" xfId="7936" xr:uid="{00000000-0005-0000-0000-000093030000}"/>
    <cellStyle name="40% - アクセント 4 3 5" xfId="2760" xr:uid="{00000000-0005-0000-0000-000094030000}"/>
    <cellStyle name="40% - アクセント 4 3 5 2" xfId="5601" xr:uid="{00000000-0005-0000-0000-000095030000}"/>
    <cellStyle name="40% - アクセント 4 3 5 2 2" xfId="10967" xr:uid="{00000000-0005-0000-0000-000096030000}"/>
    <cellStyle name="40% - アクセント 4 3 5 3" xfId="8308" xr:uid="{00000000-0005-0000-0000-000097030000}"/>
    <cellStyle name="40% - アクセント 4 3 6" xfId="3116" xr:uid="{00000000-0005-0000-0000-000098030000}"/>
    <cellStyle name="40% - アクセント 4 3 6 2" xfId="8664" xr:uid="{00000000-0005-0000-0000-000099030000}"/>
    <cellStyle name="40% - アクセント 4 3 7" xfId="5953" xr:uid="{00000000-0005-0000-0000-00009A030000}"/>
    <cellStyle name="40% - アクセント 4 4" xfId="587" xr:uid="{00000000-0005-0000-0000-00009B030000}"/>
    <cellStyle name="40% - アクセント 4 4 2" xfId="1694" xr:uid="{00000000-0005-0000-0000-00009C030000}"/>
    <cellStyle name="40% - アクセント 4 4 2 2" xfId="2605" xr:uid="{00000000-0005-0000-0000-00009D030000}"/>
    <cellStyle name="40% - アクセント 4 4 2 2 2" xfId="5460" xr:uid="{00000000-0005-0000-0000-00009E030000}"/>
    <cellStyle name="40% - アクセント 4 4 2 2 2 2" xfId="10826" xr:uid="{00000000-0005-0000-0000-00009F030000}"/>
    <cellStyle name="40% - アクセント 4 4 2 2 3" xfId="8154" xr:uid="{00000000-0005-0000-0000-0000A0030000}"/>
    <cellStyle name="40% - アクセント 4 4 2 3" xfId="2955" xr:uid="{00000000-0005-0000-0000-0000A1030000}"/>
    <cellStyle name="40% - アクセント 4 4 2 3 2" xfId="5796" xr:uid="{00000000-0005-0000-0000-0000A2030000}"/>
    <cellStyle name="40% - アクセント 4 4 2 3 2 2" xfId="11162" xr:uid="{00000000-0005-0000-0000-0000A3030000}"/>
    <cellStyle name="40% - アクセント 4 4 2 3 3" xfId="8503" xr:uid="{00000000-0005-0000-0000-0000A4030000}"/>
    <cellStyle name="40% - アクセント 4 4 2 4" xfId="3121" xr:uid="{00000000-0005-0000-0000-0000A5030000}"/>
    <cellStyle name="40% - アクセント 4 4 2 4 2" xfId="8669" xr:uid="{00000000-0005-0000-0000-0000A6030000}"/>
    <cellStyle name="40% - アクセント 4 4 2 5" xfId="7381" xr:uid="{00000000-0005-0000-0000-0000A7030000}"/>
    <cellStyle name="40% - アクセント 4 4 3" xfId="2322" xr:uid="{00000000-0005-0000-0000-0000A8030000}"/>
    <cellStyle name="40% - アクセント 4 4 3 2" xfId="5193" xr:uid="{00000000-0005-0000-0000-0000A9030000}"/>
    <cellStyle name="40% - アクセント 4 4 3 2 2" xfId="10650" xr:uid="{00000000-0005-0000-0000-0000AA030000}"/>
    <cellStyle name="40% - アクセント 4 4 3 3" xfId="7963" xr:uid="{00000000-0005-0000-0000-0000AB030000}"/>
    <cellStyle name="40% - アクセント 4 4 4" xfId="2787" xr:uid="{00000000-0005-0000-0000-0000AC030000}"/>
    <cellStyle name="40% - アクセント 4 4 4 2" xfId="5628" xr:uid="{00000000-0005-0000-0000-0000AD030000}"/>
    <cellStyle name="40% - アクセント 4 4 4 2 2" xfId="10994" xr:uid="{00000000-0005-0000-0000-0000AE030000}"/>
    <cellStyle name="40% - アクセント 4 4 4 3" xfId="8335" xr:uid="{00000000-0005-0000-0000-0000AF030000}"/>
    <cellStyle name="40% - アクセント 4 4 5" xfId="3120" xr:uid="{00000000-0005-0000-0000-0000B0030000}"/>
    <cellStyle name="40% - アクセント 4 4 5 2" xfId="8668" xr:uid="{00000000-0005-0000-0000-0000B1030000}"/>
    <cellStyle name="40% - アクセント 4 4 6" xfId="6371" xr:uid="{00000000-0005-0000-0000-0000B2030000}"/>
    <cellStyle name="40% - アクセント 4 5" xfId="1191" xr:uid="{00000000-0005-0000-0000-0000B3030000}"/>
    <cellStyle name="40% - アクセント 4 5 2" xfId="2540" xr:uid="{00000000-0005-0000-0000-0000B4030000}"/>
    <cellStyle name="40% - アクセント 4 5 2 2" xfId="5407" xr:uid="{00000000-0005-0000-0000-0000B5030000}"/>
    <cellStyle name="40% - アクセント 4 5 2 2 2" xfId="10774" xr:uid="{00000000-0005-0000-0000-0000B6030000}"/>
    <cellStyle name="40% - アクセント 4 5 2 3" xfId="8090" xr:uid="{00000000-0005-0000-0000-0000B7030000}"/>
    <cellStyle name="40% - アクセント 4 5 3" xfId="2907" xr:uid="{00000000-0005-0000-0000-0000B8030000}"/>
    <cellStyle name="40% - アクセント 4 5 3 2" xfId="5748" xr:uid="{00000000-0005-0000-0000-0000B9030000}"/>
    <cellStyle name="40% - アクセント 4 5 3 2 2" xfId="11114" xr:uid="{00000000-0005-0000-0000-0000BA030000}"/>
    <cellStyle name="40% - アクセント 4 5 3 3" xfId="8455" xr:uid="{00000000-0005-0000-0000-0000BB030000}"/>
    <cellStyle name="40% - アクセント 4 5 4" xfId="3122" xr:uid="{00000000-0005-0000-0000-0000BC030000}"/>
    <cellStyle name="40% - アクセント 4 5 4 2" xfId="8670" xr:uid="{00000000-0005-0000-0000-0000BD030000}"/>
    <cellStyle name="40% - アクセント 4 5 5" xfId="6924" xr:uid="{00000000-0005-0000-0000-0000BE030000}"/>
    <cellStyle name="40% - アクセント 4 6" xfId="2273" xr:uid="{00000000-0005-0000-0000-0000BF030000}"/>
    <cellStyle name="40% - アクセント 4 6 2" xfId="5144" xr:uid="{00000000-0005-0000-0000-0000C0030000}"/>
    <cellStyle name="40% - アクセント 4 6 2 2" xfId="10601" xr:uid="{00000000-0005-0000-0000-0000C1030000}"/>
    <cellStyle name="40% - アクセント 4 6 3" xfId="7914" xr:uid="{00000000-0005-0000-0000-0000C2030000}"/>
    <cellStyle name="40% - アクセント 4 7" xfId="2738" xr:uid="{00000000-0005-0000-0000-0000C3030000}"/>
    <cellStyle name="40% - アクセント 4 7 2" xfId="5579" xr:uid="{00000000-0005-0000-0000-0000C4030000}"/>
    <cellStyle name="40% - アクセント 4 7 2 2" xfId="10945" xr:uid="{00000000-0005-0000-0000-0000C5030000}"/>
    <cellStyle name="40% - アクセント 4 7 3" xfId="8286" xr:uid="{00000000-0005-0000-0000-0000C6030000}"/>
    <cellStyle name="40% - アクセント 4 8" xfId="3047" xr:uid="{00000000-0005-0000-0000-0000C7030000}"/>
    <cellStyle name="40% - アクセント 4 8 2" xfId="8595" xr:uid="{00000000-0005-0000-0000-0000C8030000}"/>
    <cellStyle name="40% - アクセント 4 9" xfId="5904" xr:uid="{00000000-0005-0000-0000-0000C9030000}"/>
    <cellStyle name="40% - アクセント 5" xfId="36" builtinId="47" customBuiltin="1"/>
    <cellStyle name="40% - アクセント 5 2" xfId="60" xr:uid="{00000000-0005-0000-0000-0000CB030000}"/>
    <cellStyle name="40% - アクセント 5 3" xfId="128" xr:uid="{00000000-0005-0000-0000-0000CC030000}"/>
    <cellStyle name="40% - アクセント 5 3 2" xfId="618" xr:uid="{00000000-0005-0000-0000-0000CD030000}"/>
    <cellStyle name="40% - アクセント 5 3 2 2" xfId="1724" xr:uid="{00000000-0005-0000-0000-0000CE030000}"/>
    <cellStyle name="40% - アクセント 5 3 2 2 2" xfId="2634" xr:uid="{00000000-0005-0000-0000-0000CF030000}"/>
    <cellStyle name="40% - アクセント 5 3 2 2 2 2" xfId="5489" xr:uid="{00000000-0005-0000-0000-0000D0030000}"/>
    <cellStyle name="40% - アクセント 5 3 2 2 2 2 2" xfId="10855" xr:uid="{00000000-0005-0000-0000-0000D1030000}"/>
    <cellStyle name="40% - アクセント 5 3 2 2 2 3" xfId="8183" xr:uid="{00000000-0005-0000-0000-0000D2030000}"/>
    <cellStyle name="40% - アクセント 5 3 2 2 3" xfId="2984" xr:uid="{00000000-0005-0000-0000-0000D3030000}"/>
    <cellStyle name="40% - アクセント 5 3 2 2 3 2" xfId="5825" xr:uid="{00000000-0005-0000-0000-0000D4030000}"/>
    <cellStyle name="40% - アクセント 5 3 2 2 3 2 2" xfId="11191" xr:uid="{00000000-0005-0000-0000-0000D5030000}"/>
    <cellStyle name="40% - アクセント 5 3 2 2 3 3" xfId="8532" xr:uid="{00000000-0005-0000-0000-0000D6030000}"/>
    <cellStyle name="40% - アクセント 5 3 2 2 4" xfId="3125" xr:uid="{00000000-0005-0000-0000-0000D7030000}"/>
    <cellStyle name="40% - アクセント 5 3 2 2 4 2" xfId="8673" xr:uid="{00000000-0005-0000-0000-0000D8030000}"/>
    <cellStyle name="40% - アクセント 5 3 2 2 5" xfId="7411" xr:uid="{00000000-0005-0000-0000-0000D9030000}"/>
    <cellStyle name="40% - アクセント 5 3 2 3" xfId="2352" xr:uid="{00000000-0005-0000-0000-0000DA030000}"/>
    <cellStyle name="40% - アクセント 5 3 2 3 2" xfId="5223" xr:uid="{00000000-0005-0000-0000-0000DB030000}"/>
    <cellStyle name="40% - アクセント 5 3 2 3 2 2" xfId="10680" xr:uid="{00000000-0005-0000-0000-0000DC030000}"/>
    <cellStyle name="40% - アクセント 5 3 2 3 3" xfId="7993" xr:uid="{00000000-0005-0000-0000-0000DD030000}"/>
    <cellStyle name="40% - アクセント 5 3 2 4" xfId="2817" xr:uid="{00000000-0005-0000-0000-0000DE030000}"/>
    <cellStyle name="40% - アクセント 5 3 2 4 2" xfId="5658" xr:uid="{00000000-0005-0000-0000-0000DF030000}"/>
    <cellStyle name="40% - アクセント 5 3 2 4 2 2" xfId="11024" xr:uid="{00000000-0005-0000-0000-0000E0030000}"/>
    <cellStyle name="40% - アクセント 5 3 2 4 3" xfId="8365" xr:uid="{00000000-0005-0000-0000-0000E1030000}"/>
    <cellStyle name="40% - アクセント 5 3 2 5" xfId="3124" xr:uid="{00000000-0005-0000-0000-0000E2030000}"/>
    <cellStyle name="40% - アクセント 5 3 2 5 2" xfId="8672" xr:uid="{00000000-0005-0000-0000-0000E3030000}"/>
    <cellStyle name="40% - アクセント 5 3 2 6" xfId="6402" xr:uid="{00000000-0005-0000-0000-0000E4030000}"/>
    <cellStyle name="40% - アクセント 5 3 3" xfId="1237" xr:uid="{00000000-0005-0000-0000-0000E5030000}"/>
    <cellStyle name="40% - アクセント 5 3 3 2" xfId="2570" xr:uid="{00000000-0005-0000-0000-0000E6030000}"/>
    <cellStyle name="40% - アクセント 5 3 3 2 2" xfId="5435" xr:uid="{00000000-0005-0000-0000-0000E7030000}"/>
    <cellStyle name="40% - アクセント 5 3 3 2 2 2" xfId="10801" xr:uid="{00000000-0005-0000-0000-0000E8030000}"/>
    <cellStyle name="40% - アクセント 5 3 3 2 3" xfId="8119" xr:uid="{00000000-0005-0000-0000-0000E9030000}"/>
    <cellStyle name="40% - アクセント 5 3 3 3" xfId="2930" xr:uid="{00000000-0005-0000-0000-0000EA030000}"/>
    <cellStyle name="40% - アクセント 5 3 3 3 2" xfId="5771" xr:uid="{00000000-0005-0000-0000-0000EB030000}"/>
    <cellStyle name="40% - アクセント 5 3 3 3 2 2" xfId="11137" xr:uid="{00000000-0005-0000-0000-0000EC030000}"/>
    <cellStyle name="40% - アクセント 5 3 3 3 3" xfId="8478" xr:uid="{00000000-0005-0000-0000-0000ED030000}"/>
    <cellStyle name="40% - アクセント 5 3 3 4" xfId="3126" xr:uid="{00000000-0005-0000-0000-0000EE030000}"/>
    <cellStyle name="40% - アクセント 5 3 3 4 2" xfId="8674" xr:uid="{00000000-0005-0000-0000-0000EF030000}"/>
    <cellStyle name="40% - アクセント 5 3 3 5" xfId="6967" xr:uid="{00000000-0005-0000-0000-0000F0030000}"/>
    <cellStyle name="40% - アクセント 5 3 4" xfId="2297" xr:uid="{00000000-0005-0000-0000-0000F1030000}"/>
    <cellStyle name="40% - アクセント 5 3 4 2" xfId="5168" xr:uid="{00000000-0005-0000-0000-0000F2030000}"/>
    <cellStyle name="40% - アクセント 5 3 4 2 2" xfId="10625" xr:uid="{00000000-0005-0000-0000-0000F3030000}"/>
    <cellStyle name="40% - アクセント 5 3 4 3" xfId="7938" xr:uid="{00000000-0005-0000-0000-0000F4030000}"/>
    <cellStyle name="40% - アクセント 5 3 5" xfId="2762" xr:uid="{00000000-0005-0000-0000-0000F5030000}"/>
    <cellStyle name="40% - アクセント 5 3 5 2" xfId="5603" xr:uid="{00000000-0005-0000-0000-0000F6030000}"/>
    <cellStyle name="40% - アクセント 5 3 5 2 2" xfId="10969" xr:uid="{00000000-0005-0000-0000-0000F7030000}"/>
    <cellStyle name="40% - アクセント 5 3 5 3" xfId="8310" xr:uid="{00000000-0005-0000-0000-0000F8030000}"/>
    <cellStyle name="40% - アクセント 5 3 6" xfId="3123" xr:uid="{00000000-0005-0000-0000-0000F9030000}"/>
    <cellStyle name="40% - アクセント 5 3 6 2" xfId="8671" xr:uid="{00000000-0005-0000-0000-0000FA030000}"/>
    <cellStyle name="40% - アクセント 5 3 7" xfId="5955" xr:uid="{00000000-0005-0000-0000-0000FB030000}"/>
    <cellStyle name="40% - アクセント 5 4" xfId="589" xr:uid="{00000000-0005-0000-0000-0000FC030000}"/>
    <cellStyle name="40% - アクセント 5 4 2" xfId="1696" xr:uid="{00000000-0005-0000-0000-0000FD030000}"/>
    <cellStyle name="40% - アクセント 5 4 2 2" xfId="2607" xr:uid="{00000000-0005-0000-0000-0000FE030000}"/>
    <cellStyle name="40% - アクセント 5 4 2 2 2" xfId="5462" xr:uid="{00000000-0005-0000-0000-0000FF030000}"/>
    <cellStyle name="40% - アクセント 5 4 2 2 2 2" xfId="10828" xr:uid="{00000000-0005-0000-0000-000000040000}"/>
    <cellStyle name="40% - アクセント 5 4 2 2 3" xfId="8156" xr:uid="{00000000-0005-0000-0000-000001040000}"/>
    <cellStyle name="40% - アクセント 5 4 2 3" xfId="2957" xr:uid="{00000000-0005-0000-0000-000002040000}"/>
    <cellStyle name="40% - アクセント 5 4 2 3 2" xfId="5798" xr:uid="{00000000-0005-0000-0000-000003040000}"/>
    <cellStyle name="40% - アクセント 5 4 2 3 2 2" xfId="11164" xr:uid="{00000000-0005-0000-0000-000004040000}"/>
    <cellStyle name="40% - アクセント 5 4 2 3 3" xfId="8505" xr:uid="{00000000-0005-0000-0000-000005040000}"/>
    <cellStyle name="40% - アクセント 5 4 2 4" xfId="3128" xr:uid="{00000000-0005-0000-0000-000006040000}"/>
    <cellStyle name="40% - アクセント 5 4 2 4 2" xfId="8676" xr:uid="{00000000-0005-0000-0000-000007040000}"/>
    <cellStyle name="40% - アクセント 5 4 2 5" xfId="7383" xr:uid="{00000000-0005-0000-0000-000008040000}"/>
    <cellStyle name="40% - アクセント 5 4 3" xfId="2324" xr:uid="{00000000-0005-0000-0000-000009040000}"/>
    <cellStyle name="40% - アクセント 5 4 3 2" xfId="5195" xr:uid="{00000000-0005-0000-0000-00000A040000}"/>
    <cellStyle name="40% - アクセント 5 4 3 2 2" xfId="10652" xr:uid="{00000000-0005-0000-0000-00000B040000}"/>
    <cellStyle name="40% - アクセント 5 4 3 3" xfId="7965" xr:uid="{00000000-0005-0000-0000-00000C040000}"/>
    <cellStyle name="40% - アクセント 5 4 4" xfId="2789" xr:uid="{00000000-0005-0000-0000-00000D040000}"/>
    <cellStyle name="40% - アクセント 5 4 4 2" xfId="5630" xr:uid="{00000000-0005-0000-0000-00000E040000}"/>
    <cellStyle name="40% - アクセント 5 4 4 2 2" xfId="10996" xr:uid="{00000000-0005-0000-0000-00000F040000}"/>
    <cellStyle name="40% - アクセント 5 4 4 3" xfId="8337" xr:uid="{00000000-0005-0000-0000-000010040000}"/>
    <cellStyle name="40% - アクセント 5 4 5" xfId="3127" xr:uid="{00000000-0005-0000-0000-000011040000}"/>
    <cellStyle name="40% - アクセント 5 4 5 2" xfId="8675" xr:uid="{00000000-0005-0000-0000-000012040000}"/>
    <cellStyle name="40% - アクセント 5 4 6" xfId="6373" xr:uid="{00000000-0005-0000-0000-000013040000}"/>
    <cellStyle name="40% - アクセント 5 5" xfId="1193" xr:uid="{00000000-0005-0000-0000-000014040000}"/>
    <cellStyle name="40% - アクセント 5 5 2" xfId="2542" xr:uid="{00000000-0005-0000-0000-000015040000}"/>
    <cellStyle name="40% - アクセント 5 5 2 2" xfId="5409" xr:uid="{00000000-0005-0000-0000-000016040000}"/>
    <cellStyle name="40% - アクセント 5 5 2 2 2" xfId="10776" xr:uid="{00000000-0005-0000-0000-000017040000}"/>
    <cellStyle name="40% - アクセント 5 5 2 3" xfId="8092" xr:uid="{00000000-0005-0000-0000-000018040000}"/>
    <cellStyle name="40% - アクセント 5 5 3" xfId="2909" xr:uid="{00000000-0005-0000-0000-000019040000}"/>
    <cellStyle name="40% - アクセント 5 5 3 2" xfId="5750" xr:uid="{00000000-0005-0000-0000-00001A040000}"/>
    <cellStyle name="40% - アクセント 5 5 3 2 2" xfId="11116" xr:uid="{00000000-0005-0000-0000-00001B040000}"/>
    <cellStyle name="40% - アクセント 5 5 3 3" xfId="8457" xr:uid="{00000000-0005-0000-0000-00001C040000}"/>
    <cellStyle name="40% - アクセント 5 5 4" xfId="3129" xr:uid="{00000000-0005-0000-0000-00001D040000}"/>
    <cellStyle name="40% - アクセント 5 5 4 2" xfId="8677" xr:uid="{00000000-0005-0000-0000-00001E040000}"/>
    <cellStyle name="40% - アクセント 5 5 5" xfId="6926" xr:uid="{00000000-0005-0000-0000-00001F040000}"/>
    <cellStyle name="40% - アクセント 5 6" xfId="2275" xr:uid="{00000000-0005-0000-0000-000020040000}"/>
    <cellStyle name="40% - アクセント 5 6 2" xfId="5146" xr:uid="{00000000-0005-0000-0000-000021040000}"/>
    <cellStyle name="40% - アクセント 5 6 2 2" xfId="10603" xr:uid="{00000000-0005-0000-0000-000022040000}"/>
    <cellStyle name="40% - アクセント 5 6 3" xfId="7916" xr:uid="{00000000-0005-0000-0000-000023040000}"/>
    <cellStyle name="40% - アクセント 5 7" xfId="2740" xr:uid="{00000000-0005-0000-0000-000024040000}"/>
    <cellStyle name="40% - アクセント 5 7 2" xfId="5581" xr:uid="{00000000-0005-0000-0000-000025040000}"/>
    <cellStyle name="40% - アクセント 5 7 2 2" xfId="10947" xr:uid="{00000000-0005-0000-0000-000026040000}"/>
    <cellStyle name="40% - アクセント 5 7 3" xfId="8288" xr:uid="{00000000-0005-0000-0000-000027040000}"/>
    <cellStyle name="40% - アクセント 5 8" xfId="3049" xr:uid="{00000000-0005-0000-0000-000028040000}"/>
    <cellStyle name="40% - アクセント 5 8 2" xfId="8597" xr:uid="{00000000-0005-0000-0000-000029040000}"/>
    <cellStyle name="40% - アクセント 5 9" xfId="5906" xr:uid="{00000000-0005-0000-0000-00002A040000}"/>
    <cellStyle name="40% - アクセント 6" xfId="40" builtinId="51" customBuiltin="1"/>
    <cellStyle name="40% - アクセント 6 2" xfId="61" xr:uid="{00000000-0005-0000-0000-00002C040000}"/>
    <cellStyle name="40% - アクセント 6 3" xfId="130" xr:uid="{00000000-0005-0000-0000-00002D040000}"/>
    <cellStyle name="40% - アクセント 6 3 2" xfId="620" xr:uid="{00000000-0005-0000-0000-00002E040000}"/>
    <cellStyle name="40% - アクセント 6 3 2 2" xfId="1726" xr:uid="{00000000-0005-0000-0000-00002F040000}"/>
    <cellStyle name="40% - アクセント 6 3 2 2 2" xfId="2636" xr:uid="{00000000-0005-0000-0000-000030040000}"/>
    <cellStyle name="40% - アクセント 6 3 2 2 2 2" xfId="5491" xr:uid="{00000000-0005-0000-0000-000031040000}"/>
    <cellStyle name="40% - アクセント 6 3 2 2 2 2 2" xfId="10857" xr:uid="{00000000-0005-0000-0000-000032040000}"/>
    <cellStyle name="40% - アクセント 6 3 2 2 2 3" xfId="8185" xr:uid="{00000000-0005-0000-0000-000033040000}"/>
    <cellStyle name="40% - アクセント 6 3 2 2 3" xfId="2986" xr:uid="{00000000-0005-0000-0000-000034040000}"/>
    <cellStyle name="40% - アクセント 6 3 2 2 3 2" xfId="5827" xr:uid="{00000000-0005-0000-0000-000035040000}"/>
    <cellStyle name="40% - アクセント 6 3 2 2 3 2 2" xfId="11193" xr:uid="{00000000-0005-0000-0000-000036040000}"/>
    <cellStyle name="40% - アクセント 6 3 2 2 3 3" xfId="8534" xr:uid="{00000000-0005-0000-0000-000037040000}"/>
    <cellStyle name="40% - アクセント 6 3 2 2 4" xfId="3132" xr:uid="{00000000-0005-0000-0000-000038040000}"/>
    <cellStyle name="40% - アクセント 6 3 2 2 4 2" xfId="8680" xr:uid="{00000000-0005-0000-0000-000039040000}"/>
    <cellStyle name="40% - アクセント 6 3 2 2 5" xfId="7413" xr:uid="{00000000-0005-0000-0000-00003A040000}"/>
    <cellStyle name="40% - アクセント 6 3 2 3" xfId="2354" xr:uid="{00000000-0005-0000-0000-00003B040000}"/>
    <cellStyle name="40% - アクセント 6 3 2 3 2" xfId="5225" xr:uid="{00000000-0005-0000-0000-00003C040000}"/>
    <cellStyle name="40% - アクセント 6 3 2 3 2 2" xfId="10682" xr:uid="{00000000-0005-0000-0000-00003D040000}"/>
    <cellStyle name="40% - アクセント 6 3 2 3 3" xfId="7995" xr:uid="{00000000-0005-0000-0000-00003E040000}"/>
    <cellStyle name="40% - アクセント 6 3 2 4" xfId="2819" xr:uid="{00000000-0005-0000-0000-00003F040000}"/>
    <cellStyle name="40% - アクセント 6 3 2 4 2" xfId="5660" xr:uid="{00000000-0005-0000-0000-000040040000}"/>
    <cellStyle name="40% - アクセント 6 3 2 4 2 2" xfId="11026" xr:uid="{00000000-0005-0000-0000-000041040000}"/>
    <cellStyle name="40% - アクセント 6 3 2 4 3" xfId="8367" xr:uid="{00000000-0005-0000-0000-000042040000}"/>
    <cellStyle name="40% - アクセント 6 3 2 5" xfId="3131" xr:uid="{00000000-0005-0000-0000-000043040000}"/>
    <cellStyle name="40% - アクセント 6 3 2 5 2" xfId="8679" xr:uid="{00000000-0005-0000-0000-000044040000}"/>
    <cellStyle name="40% - アクセント 6 3 2 6" xfId="6404" xr:uid="{00000000-0005-0000-0000-000045040000}"/>
    <cellStyle name="40% - アクセント 6 3 3" xfId="1239" xr:uid="{00000000-0005-0000-0000-000046040000}"/>
    <cellStyle name="40% - アクセント 6 3 3 2" xfId="2572" xr:uid="{00000000-0005-0000-0000-000047040000}"/>
    <cellStyle name="40% - アクセント 6 3 3 2 2" xfId="5437" xr:uid="{00000000-0005-0000-0000-000048040000}"/>
    <cellStyle name="40% - アクセント 6 3 3 2 2 2" xfId="10803" xr:uid="{00000000-0005-0000-0000-000049040000}"/>
    <cellStyle name="40% - アクセント 6 3 3 2 3" xfId="8121" xr:uid="{00000000-0005-0000-0000-00004A040000}"/>
    <cellStyle name="40% - アクセント 6 3 3 3" xfId="2932" xr:uid="{00000000-0005-0000-0000-00004B040000}"/>
    <cellStyle name="40% - アクセント 6 3 3 3 2" xfId="5773" xr:uid="{00000000-0005-0000-0000-00004C040000}"/>
    <cellStyle name="40% - アクセント 6 3 3 3 2 2" xfId="11139" xr:uid="{00000000-0005-0000-0000-00004D040000}"/>
    <cellStyle name="40% - アクセント 6 3 3 3 3" xfId="8480" xr:uid="{00000000-0005-0000-0000-00004E040000}"/>
    <cellStyle name="40% - アクセント 6 3 3 4" xfId="3133" xr:uid="{00000000-0005-0000-0000-00004F040000}"/>
    <cellStyle name="40% - アクセント 6 3 3 4 2" xfId="8681" xr:uid="{00000000-0005-0000-0000-000050040000}"/>
    <cellStyle name="40% - アクセント 6 3 3 5" xfId="6969" xr:uid="{00000000-0005-0000-0000-000051040000}"/>
    <cellStyle name="40% - アクセント 6 3 4" xfId="2299" xr:uid="{00000000-0005-0000-0000-000052040000}"/>
    <cellStyle name="40% - アクセント 6 3 4 2" xfId="5170" xr:uid="{00000000-0005-0000-0000-000053040000}"/>
    <cellStyle name="40% - アクセント 6 3 4 2 2" xfId="10627" xr:uid="{00000000-0005-0000-0000-000054040000}"/>
    <cellStyle name="40% - アクセント 6 3 4 3" xfId="7940" xr:uid="{00000000-0005-0000-0000-000055040000}"/>
    <cellStyle name="40% - アクセント 6 3 5" xfId="2764" xr:uid="{00000000-0005-0000-0000-000056040000}"/>
    <cellStyle name="40% - アクセント 6 3 5 2" xfId="5605" xr:uid="{00000000-0005-0000-0000-000057040000}"/>
    <cellStyle name="40% - アクセント 6 3 5 2 2" xfId="10971" xr:uid="{00000000-0005-0000-0000-000058040000}"/>
    <cellStyle name="40% - アクセント 6 3 5 3" xfId="8312" xr:uid="{00000000-0005-0000-0000-000059040000}"/>
    <cellStyle name="40% - アクセント 6 3 6" xfId="3130" xr:uid="{00000000-0005-0000-0000-00005A040000}"/>
    <cellStyle name="40% - アクセント 6 3 6 2" xfId="8678" xr:uid="{00000000-0005-0000-0000-00005B040000}"/>
    <cellStyle name="40% - アクセント 6 3 7" xfId="5957" xr:uid="{00000000-0005-0000-0000-00005C040000}"/>
    <cellStyle name="40% - アクセント 6 4" xfId="591" xr:uid="{00000000-0005-0000-0000-00005D040000}"/>
    <cellStyle name="40% - アクセント 6 4 2" xfId="1698" xr:uid="{00000000-0005-0000-0000-00005E040000}"/>
    <cellStyle name="40% - アクセント 6 4 2 2" xfId="2609" xr:uid="{00000000-0005-0000-0000-00005F040000}"/>
    <cellStyle name="40% - アクセント 6 4 2 2 2" xfId="5464" xr:uid="{00000000-0005-0000-0000-000060040000}"/>
    <cellStyle name="40% - アクセント 6 4 2 2 2 2" xfId="10830" xr:uid="{00000000-0005-0000-0000-000061040000}"/>
    <cellStyle name="40% - アクセント 6 4 2 2 3" xfId="8158" xr:uid="{00000000-0005-0000-0000-000062040000}"/>
    <cellStyle name="40% - アクセント 6 4 2 3" xfId="2959" xr:uid="{00000000-0005-0000-0000-000063040000}"/>
    <cellStyle name="40% - アクセント 6 4 2 3 2" xfId="5800" xr:uid="{00000000-0005-0000-0000-000064040000}"/>
    <cellStyle name="40% - アクセント 6 4 2 3 2 2" xfId="11166" xr:uid="{00000000-0005-0000-0000-000065040000}"/>
    <cellStyle name="40% - アクセント 6 4 2 3 3" xfId="8507" xr:uid="{00000000-0005-0000-0000-000066040000}"/>
    <cellStyle name="40% - アクセント 6 4 2 4" xfId="3135" xr:uid="{00000000-0005-0000-0000-000067040000}"/>
    <cellStyle name="40% - アクセント 6 4 2 4 2" xfId="8683" xr:uid="{00000000-0005-0000-0000-000068040000}"/>
    <cellStyle name="40% - アクセント 6 4 2 5" xfId="7385" xr:uid="{00000000-0005-0000-0000-000069040000}"/>
    <cellStyle name="40% - アクセント 6 4 3" xfId="2326" xr:uid="{00000000-0005-0000-0000-00006A040000}"/>
    <cellStyle name="40% - アクセント 6 4 3 2" xfId="5197" xr:uid="{00000000-0005-0000-0000-00006B040000}"/>
    <cellStyle name="40% - アクセント 6 4 3 2 2" xfId="10654" xr:uid="{00000000-0005-0000-0000-00006C040000}"/>
    <cellStyle name="40% - アクセント 6 4 3 3" xfId="7967" xr:uid="{00000000-0005-0000-0000-00006D040000}"/>
    <cellStyle name="40% - アクセント 6 4 4" xfId="2791" xr:uid="{00000000-0005-0000-0000-00006E040000}"/>
    <cellStyle name="40% - アクセント 6 4 4 2" xfId="5632" xr:uid="{00000000-0005-0000-0000-00006F040000}"/>
    <cellStyle name="40% - アクセント 6 4 4 2 2" xfId="10998" xr:uid="{00000000-0005-0000-0000-000070040000}"/>
    <cellStyle name="40% - アクセント 6 4 4 3" xfId="8339" xr:uid="{00000000-0005-0000-0000-000071040000}"/>
    <cellStyle name="40% - アクセント 6 4 5" xfId="3134" xr:uid="{00000000-0005-0000-0000-000072040000}"/>
    <cellStyle name="40% - アクセント 6 4 5 2" xfId="8682" xr:uid="{00000000-0005-0000-0000-000073040000}"/>
    <cellStyle name="40% - アクセント 6 4 6" xfId="6375" xr:uid="{00000000-0005-0000-0000-000074040000}"/>
    <cellStyle name="40% - アクセント 6 5" xfId="1195" xr:uid="{00000000-0005-0000-0000-000075040000}"/>
    <cellStyle name="40% - アクセント 6 5 2" xfId="2544" xr:uid="{00000000-0005-0000-0000-000076040000}"/>
    <cellStyle name="40% - アクセント 6 5 2 2" xfId="5411" xr:uid="{00000000-0005-0000-0000-000077040000}"/>
    <cellStyle name="40% - アクセント 6 5 2 2 2" xfId="10778" xr:uid="{00000000-0005-0000-0000-000078040000}"/>
    <cellStyle name="40% - アクセント 6 5 2 3" xfId="8094" xr:uid="{00000000-0005-0000-0000-000079040000}"/>
    <cellStyle name="40% - アクセント 6 5 3" xfId="2911" xr:uid="{00000000-0005-0000-0000-00007A040000}"/>
    <cellStyle name="40% - アクセント 6 5 3 2" xfId="5752" xr:uid="{00000000-0005-0000-0000-00007B040000}"/>
    <cellStyle name="40% - アクセント 6 5 3 2 2" xfId="11118" xr:uid="{00000000-0005-0000-0000-00007C040000}"/>
    <cellStyle name="40% - アクセント 6 5 3 3" xfId="8459" xr:uid="{00000000-0005-0000-0000-00007D040000}"/>
    <cellStyle name="40% - アクセント 6 5 4" xfId="3136" xr:uid="{00000000-0005-0000-0000-00007E040000}"/>
    <cellStyle name="40% - アクセント 6 5 4 2" xfId="8684" xr:uid="{00000000-0005-0000-0000-00007F040000}"/>
    <cellStyle name="40% - アクセント 6 5 5" xfId="6928" xr:uid="{00000000-0005-0000-0000-000080040000}"/>
    <cellStyle name="40% - アクセント 6 6" xfId="2277" xr:uid="{00000000-0005-0000-0000-000081040000}"/>
    <cellStyle name="40% - アクセント 6 6 2" xfId="5148" xr:uid="{00000000-0005-0000-0000-000082040000}"/>
    <cellStyle name="40% - アクセント 6 6 2 2" xfId="10605" xr:uid="{00000000-0005-0000-0000-000083040000}"/>
    <cellStyle name="40% - アクセント 6 6 3" xfId="7918" xr:uid="{00000000-0005-0000-0000-000084040000}"/>
    <cellStyle name="40% - アクセント 6 7" xfId="2742" xr:uid="{00000000-0005-0000-0000-000085040000}"/>
    <cellStyle name="40% - アクセント 6 7 2" xfId="5583" xr:uid="{00000000-0005-0000-0000-000086040000}"/>
    <cellStyle name="40% - アクセント 6 7 2 2" xfId="10949" xr:uid="{00000000-0005-0000-0000-000087040000}"/>
    <cellStyle name="40% - アクセント 6 7 3" xfId="8290" xr:uid="{00000000-0005-0000-0000-000088040000}"/>
    <cellStyle name="40% - アクセント 6 8" xfId="3051" xr:uid="{00000000-0005-0000-0000-000089040000}"/>
    <cellStyle name="40% - アクセント 6 8 2" xfId="8599" xr:uid="{00000000-0005-0000-0000-00008A040000}"/>
    <cellStyle name="40% - アクセント 6 9" xfId="5908" xr:uid="{00000000-0005-0000-0000-00008B040000}"/>
    <cellStyle name="60% - アクセント 1" xfId="21" builtinId="32" customBuiltin="1"/>
    <cellStyle name="60% - アクセント 1 2" xfId="62" xr:uid="{00000000-0005-0000-0000-00008D040000}"/>
    <cellStyle name="60% - アクセント 2" xfId="25" builtinId="36" customBuiltin="1"/>
    <cellStyle name="60% - アクセント 2 2" xfId="63" xr:uid="{00000000-0005-0000-0000-00008F040000}"/>
    <cellStyle name="60% - アクセント 3" xfId="29" builtinId="40" customBuiltin="1"/>
    <cellStyle name="60% - アクセント 3 2" xfId="64" xr:uid="{00000000-0005-0000-0000-000091040000}"/>
    <cellStyle name="60% - アクセント 4" xfId="33" builtinId="44" customBuiltin="1"/>
    <cellStyle name="60% - アクセント 4 2" xfId="65" xr:uid="{00000000-0005-0000-0000-000093040000}"/>
    <cellStyle name="60% - アクセント 5" xfId="37" builtinId="48" customBuiltin="1"/>
    <cellStyle name="60% - アクセント 5 2" xfId="66" xr:uid="{00000000-0005-0000-0000-000095040000}"/>
    <cellStyle name="60% - アクセント 6" xfId="41" builtinId="52" customBuiltin="1"/>
    <cellStyle name="60% - アクセント 6 2" xfId="67" xr:uid="{00000000-0005-0000-0000-000097040000}"/>
    <cellStyle name="アクセント 1" xfId="18" builtinId="29" customBuiltin="1"/>
    <cellStyle name="アクセント 1 2" xfId="68" xr:uid="{00000000-0005-0000-0000-000099040000}"/>
    <cellStyle name="アクセント 2" xfId="22" builtinId="33" customBuiltin="1"/>
    <cellStyle name="アクセント 2 2" xfId="69" xr:uid="{00000000-0005-0000-0000-00009B040000}"/>
    <cellStyle name="アクセント 3" xfId="26" builtinId="37" customBuiltin="1"/>
    <cellStyle name="アクセント 3 2" xfId="70" xr:uid="{00000000-0005-0000-0000-00009D040000}"/>
    <cellStyle name="アクセント 4" xfId="30" builtinId="41" customBuiltin="1"/>
    <cellStyle name="アクセント 4 2" xfId="71" xr:uid="{00000000-0005-0000-0000-00009F040000}"/>
    <cellStyle name="アクセント 5" xfId="34" builtinId="45" customBuiltin="1"/>
    <cellStyle name="アクセント 5 2" xfId="72" xr:uid="{00000000-0005-0000-0000-0000A1040000}"/>
    <cellStyle name="アクセント 6" xfId="38" builtinId="49" customBuiltin="1"/>
    <cellStyle name="アクセント 6 2" xfId="73" xr:uid="{00000000-0005-0000-0000-0000A3040000}"/>
    <cellStyle name="タイトル" xfId="2" builtinId="15" customBuiltin="1"/>
    <cellStyle name="タイトル 2" xfId="74" xr:uid="{00000000-0005-0000-0000-0000A5040000}"/>
    <cellStyle name="チェック セル" xfId="14" builtinId="23" customBuiltin="1"/>
    <cellStyle name="チェック セル 2" xfId="75" xr:uid="{00000000-0005-0000-0000-0000A7040000}"/>
    <cellStyle name="どちらでもない" xfId="9" builtinId="28" customBuiltin="1"/>
    <cellStyle name="どちらでもない 2" xfId="76" xr:uid="{00000000-0005-0000-0000-0000A9040000}"/>
    <cellStyle name="パーセント" xfId="11268" builtinId="5"/>
    <cellStyle name="パーセント 2" xfId="77" xr:uid="{00000000-0005-0000-0000-0000AB040000}"/>
    <cellStyle name="ハイパーリンク 2" xfId="2702" xr:uid="{00000000-0005-0000-0000-0000AC040000}"/>
    <cellStyle name="ハイパーリンク 3" xfId="2408" xr:uid="{00000000-0005-0000-0000-0000AD040000}"/>
    <cellStyle name="メモ 2" xfId="43" xr:uid="{00000000-0005-0000-0000-0000AE040000}"/>
    <cellStyle name="メモ 2 2" xfId="78" xr:uid="{00000000-0005-0000-0000-0000AF040000}"/>
    <cellStyle name="メモ 2 2 2" xfId="140" xr:uid="{00000000-0005-0000-0000-0000B0040000}"/>
    <cellStyle name="メモ 2 2 2 2" xfId="629" xr:uid="{00000000-0005-0000-0000-0000B1040000}"/>
    <cellStyle name="メモ 2 2 2 2 2" xfId="1735" xr:uid="{00000000-0005-0000-0000-0000B2040000}"/>
    <cellStyle name="メモ 2 2 2 2 2 2" xfId="2645" xr:uid="{00000000-0005-0000-0000-0000B3040000}"/>
    <cellStyle name="メモ 2 2 2 2 2 2 2" xfId="5500" xr:uid="{00000000-0005-0000-0000-0000B4040000}"/>
    <cellStyle name="メモ 2 2 2 2 2 2 2 2" xfId="10866" xr:uid="{00000000-0005-0000-0000-0000B5040000}"/>
    <cellStyle name="メモ 2 2 2 2 2 2 3" xfId="8194" xr:uid="{00000000-0005-0000-0000-0000B6040000}"/>
    <cellStyle name="メモ 2 2 2 2 2 3" xfId="2995" xr:uid="{00000000-0005-0000-0000-0000B7040000}"/>
    <cellStyle name="メモ 2 2 2 2 2 3 2" xfId="5836" xr:uid="{00000000-0005-0000-0000-0000B8040000}"/>
    <cellStyle name="メモ 2 2 2 2 2 3 2 2" xfId="11202" xr:uid="{00000000-0005-0000-0000-0000B9040000}"/>
    <cellStyle name="メモ 2 2 2 2 2 3 3" xfId="8543" xr:uid="{00000000-0005-0000-0000-0000BA040000}"/>
    <cellStyle name="メモ 2 2 2 2 2 4" xfId="3140" xr:uid="{00000000-0005-0000-0000-0000BB040000}"/>
    <cellStyle name="メモ 2 2 2 2 2 4 2" xfId="8688" xr:uid="{00000000-0005-0000-0000-0000BC040000}"/>
    <cellStyle name="メモ 2 2 2 2 2 5" xfId="7422" xr:uid="{00000000-0005-0000-0000-0000BD040000}"/>
    <cellStyle name="メモ 2 2 2 2 3" xfId="2363" xr:uid="{00000000-0005-0000-0000-0000BE040000}"/>
    <cellStyle name="メモ 2 2 2 2 3 2" xfId="5234" xr:uid="{00000000-0005-0000-0000-0000BF040000}"/>
    <cellStyle name="メモ 2 2 2 2 3 2 2" xfId="10691" xr:uid="{00000000-0005-0000-0000-0000C0040000}"/>
    <cellStyle name="メモ 2 2 2 2 3 3" xfId="8004" xr:uid="{00000000-0005-0000-0000-0000C1040000}"/>
    <cellStyle name="メモ 2 2 2 2 4" xfId="2828" xr:uid="{00000000-0005-0000-0000-0000C2040000}"/>
    <cellStyle name="メモ 2 2 2 2 4 2" xfId="5669" xr:uid="{00000000-0005-0000-0000-0000C3040000}"/>
    <cellStyle name="メモ 2 2 2 2 4 2 2" xfId="11035" xr:uid="{00000000-0005-0000-0000-0000C4040000}"/>
    <cellStyle name="メモ 2 2 2 2 4 3" xfId="8376" xr:uid="{00000000-0005-0000-0000-0000C5040000}"/>
    <cellStyle name="メモ 2 2 2 2 5" xfId="3139" xr:uid="{00000000-0005-0000-0000-0000C6040000}"/>
    <cellStyle name="メモ 2 2 2 2 5 2" xfId="8687" xr:uid="{00000000-0005-0000-0000-0000C7040000}"/>
    <cellStyle name="メモ 2 2 2 2 6" xfId="6413" xr:uid="{00000000-0005-0000-0000-0000C8040000}"/>
    <cellStyle name="メモ 2 2 2 3" xfId="1249" xr:uid="{00000000-0005-0000-0000-0000C9040000}"/>
    <cellStyle name="メモ 2 2 2 3 2" xfId="2581" xr:uid="{00000000-0005-0000-0000-0000CA040000}"/>
    <cellStyle name="メモ 2 2 2 3 2 2" xfId="5446" xr:uid="{00000000-0005-0000-0000-0000CB040000}"/>
    <cellStyle name="メモ 2 2 2 3 2 2 2" xfId="10812" xr:uid="{00000000-0005-0000-0000-0000CC040000}"/>
    <cellStyle name="メモ 2 2 2 3 2 3" xfId="8130" xr:uid="{00000000-0005-0000-0000-0000CD040000}"/>
    <cellStyle name="メモ 2 2 2 3 3" xfId="2941" xr:uid="{00000000-0005-0000-0000-0000CE040000}"/>
    <cellStyle name="メモ 2 2 2 3 3 2" xfId="5782" xr:uid="{00000000-0005-0000-0000-0000CF040000}"/>
    <cellStyle name="メモ 2 2 2 3 3 2 2" xfId="11148" xr:uid="{00000000-0005-0000-0000-0000D0040000}"/>
    <cellStyle name="メモ 2 2 2 3 3 3" xfId="8489" xr:uid="{00000000-0005-0000-0000-0000D1040000}"/>
    <cellStyle name="メモ 2 2 2 3 4" xfId="3141" xr:uid="{00000000-0005-0000-0000-0000D2040000}"/>
    <cellStyle name="メモ 2 2 2 3 4 2" xfId="8689" xr:uid="{00000000-0005-0000-0000-0000D3040000}"/>
    <cellStyle name="メモ 2 2 2 3 5" xfId="6978" xr:uid="{00000000-0005-0000-0000-0000D4040000}"/>
    <cellStyle name="メモ 2 2 2 4" xfId="2308" xr:uid="{00000000-0005-0000-0000-0000D5040000}"/>
    <cellStyle name="メモ 2 2 2 4 2" xfId="5179" xr:uid="{00000000-0005-0000-0000-0000D6040000}"/>
    <cellStyle name="メモ 2 2 2 4 2 2" xfId="10636" xr:uid="{00000000-0005-0000-0000-0000D7040000}"/>
    <cellStyle name="メモ 2 2 2 4 3" xfId="7949" xr:uid="{00000000-0005-0000-0000-0000D8040000}"/>
    <cellStyle name="メモ 2 2 2 5" xfId="2773" xr:uid="{00000000-0005-0000-0000-0000D9040000}"/>
    <cellStyle name="メモ 2 2 2 5 2" xfId="5614" xr:uid="{00000000-0005-0000-0000-0000DA040000}"/>
    <cellStyle name="メモ 2 2 2 5 2 2" xfId="10980" xr:uid="{00000000-0005-0000-0000-0000DB040000}"/>
    <cellStyle name="メモ 2 2 2 5 3" xfId="8321" xr:uid="{00000000-0005-0000-0000-0000DC040000}"/>
    <cellStyle name="メモ 2 2 2 6" xfId="3138" xr:uid="{00000000-0005-0000-0000-0000DD040000}"/>
    <cellStyle name="メモ 2 2 2 6 2" xfId="8686" xr:uid="{00000000-0005-0000-0000-0000DE040000}"/>
    <cellStyle name="メモ 2 2 2 7" xfId="5966" xr:uid="{00000000-0005-0000-0000-0000DF040000}"/>
    <cellStyle name="メモ 2 2 3" xfId="600" xr:uid="{00000000-0005-0000-0000-0000E0040000}"/>
    <cellStyle name="メモ 2 2 3 2" xfId="1707" xr:uid="{00000000-0005-0000-0000-0000E1040000}"/>
    <cellStyle name="メモ 2 2 3 2 2" xfId="2618" xr:uid="{00000000-0005-0000-0000-0000E2040000}"/>
    <cellStyle name="メモ 2 2 3 2 2 2" xfId="5473" xr:uid="{00000000-0005-0000-0000-0000E3040000}"/>
    <cellStyle name="メモ 2 2 3 2 2 2 2" xfId="10839" xr:uid="{00000000-0005-0000-0000-0000E4040000}"/>
    <cellStyle name="メモ 2 2 3 2 2 3" xfId="8167" xr:uid="{00000000-0005-0000-0000-0000E5040000}"/>
    <cellStyle name="メモ 2 2 3 2 3" xfId="2968" xr:uid="{00000000-0005-0000-0000-0000E6040000}"/>
    <cellStyle name="メモ 2 2 3 2 3 2" xfId="5809" xr:uid="{00000000-0005-0000-0000-0000E7040000}"/>
    <cellStyle name="メモ 2 2 3 2 3 2 2" xfId="11175" xr:uid="{00000000-0005-0000-0000-0000E8040000}"/>
    <cellStyle name="メモ 2 2 3 2 3 3" xfId="8516" xr:uid="{00000000-0005-0000-0000-0000E9040000}"/>
    <cellStyle name="メモ 2 2 3 2 4" xfId="3143" xr:uid="{00000000-0005-0000-0000-0000EA040000}"/>
    <cellStyle name="メモ 2 2 3 2 4 2" xfId="8691" xr:uid="{00000000-0005-0000-0000-0000EB040000}"/>
    <cellStyle name="メモ 2 2 3 2 5" xfId="7394" xr:uid="{00000000-0005-0000-0000-0000EC040000}"/>
    <cellStyle name="メモ 2 2 3 3" xfId="2335" xr:uid="{00000000-0005-0000-0000-0000ED040000}"/>
    <cellStyle name="メモ 2 2 3 3 2" xfId="5206" xr:uid="{00000000-0005-0000-0000-0000EE040000}"/>
    <cellStyle name="メモ 2 2 3 3 2 2" xfId="10663" xr:uid="{00000000-0005-0000-0000-0000EF040000}"/>
    <cellStyle name="メモ 2 2 3 3 3" xfId="7976" xr:uid="{00000000-0005-0000-0000-0000F0040000}"/>
    <cellStyle name="メモ 2 2 3 4" xfId="2800" xr:uid="{00000000-0005-0000-0000-0000F1040000}"/>
    <cellStyle name="メモ 2 2 3 4 2" xfId="5641" xr:uid="{00000000-0005-0000-0000-0000F2040000}"/>
    <cellStyle name="メモ 2 2 3 4 2 2" xfId="11007" xr:uid="{00000000-0005-0000-0000-0000F3040000}"/>
    <cellStyle name="メモ 2 2 3 4 3" xfId="8348" xr:uid="{00000000-0005-0000-0000-0000F4040000}"/>
    <cellStyle name="メモ 2 2 3 5" xfId="3142" xr:uid="{00000000-0005-0000-0000-0000F5040000}"/>
    <cellStyle name="メモ 2 2 3 5 2" xfId="8690" xr:uid="{00000000-0005-0000-0000-0000F6040000}"/>
    <cellStyle name="メモ 2 2 3 6" xfId="6384" xr:uid="{00000000-0005-0000-0000-0000F7040000}"/>
    <cellStyle name="メモ 2 2 4" xfId="1199" xr:uid="{00000000-0005-0000-0000-0000F8040000}"/>
    <cellStyle name="メモ 2 2 4 2" xfId="2546" xr:uid="{00000000-0005-0000-0000-0000F9040000}"/>
    <cellStyle name="メモ 2 2 4 2 2" xfId="5413" xr:uid="{00000000-0005-0000-0000-0000FA040000}"/>
    <cellStyle name="メモ 2 2 4 2 2 2" xfId="10780" xr:uid="{00000000-0005-0000-0000-0000FB040000}"/>
    <cellStyle name="メモ 2 2 4 2 3" xfId="8096" xr:uid="{00000000-0005-0000-0000-0000FC040000}"/>
    <cellStyle name="メモ 2 2 4 3" xfId="2913" xr:uid="{00000000-0005-0000-0000-0000FD040000}"/>
    <cellStyle name="メモ 2 2 4 3 2" xfId="5754" xr:uid="{00000000-0005-0000-0000-0000FE040000}"/>
    <cellStyle name="メモ 2 2 4 3 2 2" xfId="11120" xr:uid="{00000000-0005-0000-0000-0000FF040000}"/>
    <cellStyle name="メモ 2 2 4 3 3" xfId="8461" xr:uid="{00000000-0005-0000-0000-000000050000}"/>
    <cellStyle name="メモ 2 2 4 4" xfId="3144" xr:uid="{00000000-0005-0000-0000-000001050000}"/>
    <cellStyle name="メモ 2 2 4 4 2" xfId="8692" xr:uid="{00000000-0005-0000-0000-000002050000}"/>
    <cellStyle name="メモ 2 2 4 5" xfId="6931" xr:uid="{00000000-0005-0000-0000-000003050000}"/>
    <cellStyle name="メモ 2 2 5" xfId="2280" xr:uid="{00000000-0005-0000-0000-000004050000}"/>
    <cellStyle name="メモ 2 2 5 2" xfId="5151" xr:uid="{00000000-0005-0000-0000-000005050000}"/>
    <cellStyle name="メモ 2 2 5 2 2" xfId="10608" xr:uid="{00000000-0005-0000-0000-000006050000}"/>
    <cellStyle name="メモ 2 2 5 3" xfId="7921" xr:uid="{00000000-0005-0000-0000-000007050000}"/>
    <cellStyle name="メモ 2 2 6" xfId="2745" xr:uid="{00000000-0005-0000-0000-000008050000}"/>
    <cellStyle name="メモ 2 2 6 2" xfId="5586" xr:uid="{00000000-0005-0000-0000-000009050000}"/>
    <cellStyle name="メモ 2 2 6 2 2" xfId="10952" xr:uid="{00000000-0005-0000-0000-00000A050000}"/>
    <cellStyle name="メモ 2 2 6 3" xfId="8293" xr:uid="{00000000-0005-0000-0000-00000B050000}"/>
    <cellStyle name="メモ 2 2 7" xfId="3137" xr:uid="{00000000-0005-0000-0000-00000C050000}"/>
    <cellStyle name="メモ 2 2 7 2" xfId="8685" xr:uid="{00000000-0005-0000-0000-00000D050000}"/>
    <cellStyle name="メモ 2 2 8" xfId="5916" xr:uid="{00000000-0005-0000-0000-00000E050000}"/>
    <cellStyle name="メモ 2 3" xfId="79" xr:uid="{00000000-0005-0000-0000-00000F050000}"/>
    <cellStyle name="メモ 2 3 2" xfId="134" xr:uid="{00000000-0005-0000-0000-000010050000}"/>
    <cellStyle name="メモ 2 3 2 2" xfId="623" xr:uid="{00000000-0005-0000-0000-000011050000}"/>
    <cellStyle name="メモ 2 3 2 2 2" xfId="1729" xr:uid="{00000000-0005-0000-0000-000012050000}"/>
    <cellStyle name="メモ 2 3 2 2 2 2" xfId="2639" xr:uid="{00000000-0005-0000-0000-000013050000}"/>
    <cellStyle name="メモ 2 3 2 2 2 2 2" xfId="5494" xr:uid="{00000000-0005-0000-0000-000014050000}"/>
    <cellStyle name="メモ 2 3 2 2 2 2 2 2" xfId="10860" xr:uid="{00000000-0005-0000-0000-000015050000}"/>
    <cellStyle name="メモ 2 3 2 2 2 2 3" xfId="8188" xr:uid="{00000000-0005-0000-0000-000016050000}"/>
    <cellStyle name="メモ 2 3 2 2 2 3" xfId="2989" xr:uid="{00000000-0005-0000-0000-000017050000}"/>
    <cellStyle name="メモ 2 3 2 2 2 3 2" xfId="5830" xr:uid="{00000000-0005-0000-0000-000018050000}"/>
    <cellStyle name="メモ 2 3 2 2 2 3 2 2" xfId="11196" xr:uid="{00000000-0005-0000-0000-000019050000}"/>
    <cellStyle name="メモ 2 3 2 2 2 3 3" xfId="8537" xr:uid="{00000000-0005-0000-0000-00001A050000}"/>
    <cellStyle name="メモ 2 3 2 2 2 4" xfId="3148" xr:uid="{00000000-0005-0000-0000-00001B050000}"/>
    <cellStyle name="メモ 2 3 2 2 2 4 2" xfId="8696" xr:uid="{00000000-0005-0000-0000-00001C050000}"/>
    <cellStyle name="メモ 2 3 2 2 2 5" xfId="7416" xr:uid="{00000000-0005-0000-0000-00001D050000}"/>
    <cellStyle name="メモ 2 3 2 2 3" xfId="2357" xr:uid="{00000000-0005-0000-0000-00001E050000}"/>
    <cellStyle name="メモ 2 3 2 2 3 2" xfId="5228" xr:uid="{00000000-0005-0000-0000-00001F050000}"/>
    <cellStyle name="メモ 2 3 2 2 3 2 2" xfId="10685" xr:uid="{00000000-0005-0000-0000-000020050000}"/>
    <cellStyle name="メモ 2 3 2 2 3 3" xfId="7998" xr:uid="{00000000-0005-0000-0000-000021050000}"/>
    <cellStyle name="メモ 2 3 2 2 4" xfId="2822" xr:uid="{00000000-0005-0000-0000-000022050000}"/>
    <cellStyle name="メモ 2 3 2 2 4 2" xfId="5663" xr:uid="{00000000-0005-0000-0000-000023050000}"/>
    <cellStyle name="メモ 2 3 2 2 4 2 2" xfId="11029" xr:uid="{00000000-0005-0000-0000-000024050000}"/>
    <cellStyle name="メモ 2 3 2 2 4 3" xfId="8370" xr:uid="{00000000-0005-0000-0000-000025050000}"/>
    <cellStyle name="メモ 2 3 2 2 5" xfId="3147" xr:uid="{00000000-0005-0000-0000-000026050000}"/>
    <cellStyle name="メモ 2 3 2 2 5 2" xfId="8695" xr:uid="{00000000-0005-0000-0000-000027050000}"/>
    <cellStyle name="メモ 2 3 2 2 6" xfId="6407" xr:uid="{00000000-0005-0000-0000-000028050000}"/>
    <cellStyle name="メモ 2 3 2 3" xfId="1243" xr:uid="{00000000-0005-0000-0000-000029050000}"/>
    <cellStyle name="メモ 2 3 2 3 2" xfId="2575" xr:uid="{00000000-0005-0000-0000-00002A050000}"/>
    <cellStyle name="メモ 2 3 2 3 2 2" xfId="5440" xr:uid="{00000000-0005-0000-0000-00002B050000}"/>
    <cellStyle name="メモ 2 3 2 3 2 2 2" xfId="10806" xr:uid="{00000000-0005-0000-0000-00002C050000}"/>
    <cellStyle name="メモ 2 3 2 3 2 3" xfId="8124" xr:uid="{00000000-0005-0000-0000-00002D050000}"/>
    <cellStyle name="メモ 2 3 2 3 3" xfId="2935" xr:uid="{00000000-0005-0000-0000-00002E050000}"/>
    <cellStyle name="メモ 2 3 2 3 3 2" xfId="5776" xr:uid="{00000000-0005-0000-0000-00002F050000}"/>
    <cellStyle name="メモ 2 3 2 3 3 2 2" xfId="11142" xr:uid="{00000000-0005-0000-0000-000030050000}"/>
    <cellStyle name="メモ 2 3 2 3 3 3" xfId="8483" xr:uid="{00000000-0005-0000-0000-000031050000}"/>
    <cellStyle name="メモ 2 3 2 3 4" xfId="3149" xr:uid="{00000000-0005-0000-0000-000032050000}"/>
    <cellStyle name="メモ 2 3 2 3 4 2" xfId="8697" xr:uid="{00000000-0005-0000-0000-000033050000}"/>
    <cellStyle name="メモ 2 3 2 3 5" xfId="6972" xr:uid="{00000000-0005-0000-0000-000034050000}"/>
    <cellStyle name="メモ 2 3 2 4" xfId="2302" xr:uid="{00000000-0005-0000-0000-000035050000}"/>
    <cellStyle name="メモ 2 3 2 4 2" xfId="5173" xr:uid="{00000000-0005-0000-0000-000036050000}"/>
    <cellStyle name="メモ 2 3 2 4 2 2" xfId="10630" xr:uid="{00000000-0005-0000-0000-000037050000}"/>
    <cellStyle name="メモ 2 3 2 4 3" xfId="7943" xr:uid="{00000000-0005-0000-0000-000038050000}"/>
    <cellStyle name="メモ 2 3 2 5" xfId="2767" xr:uid="{00000000-0005-0000-0000-000039050000}"/>
    <cellStyle name="メモ 2 3 2 5 2" xfId="5608" xr:uid="{00000000-0005-0000-0000-00003A050000}"/>
    <cellStyle name="メモ 2 3 2 5 2 2" xfId="10974" xr:uid="{00000000-0005-0000-0000-00003B050000}"/>
    <cellStyle name="メモ 2 3 2 5 3" xfId="8315" xr:uid="{00000000-0005-0000-0000-00003C050000}"/>
    <cellStyle name="メモ 2 3 2 6" xfId="3146" xr:uid="{00000000-0005-0000-0000-00003D050000}"/>
    <cellStyle name="メモ 2 3 2 6 2" xfId="8694" xr:uid="{00000000-0005-0000-0000-00003E050000}"/>
    <cellStyle name="メモ 2 3 2 7" xfId="5960" xr:uid="{00000000-0005-0000-0000-00003F050000}"/>
    <cellStyle name="メモ 2 3 3" xfId="594" xr:uid="{00000000-0005-0000-0000-000040050000}"/>
    <cellStyle name="メモ 2 3 3 2" xfId="1701" xr:uid="{00000000-0005-0000-0000-000041050000}"/>
    <cellStyle name="メモ 2 3 3 2 2" xfId="2612" xr:uid="{00000000-0005-0000-0000-000042050000}"/>
    <cellStyle name="メモ 2 3 3 2 2 2" xfId="5467" xr:uid="{00000000-0005-0000-0000-000043050000}"/>
    <cellStyle name="メモ 2 3 3 2 2 2 2" xfId="10833" xr:uid="{00000000-0005-0000-0000-000044050000}"/>
    <cellStyle name="メモ 2 3 3 2 2 3" xfId="8161" xr:uid="{00000000-0005-0000-0000-000045050000}"/>
    <cellStyle name="メモ 2 3 3 2 3" xfId="2962" xr:uid="{00000000-0005-0000-0000-000046050000}"/>
    <cellStyle name="メモ 2 3 3 2 3 2" xfId="5803" xr:uid="{00000000-0005-0000-0000-000047050000}"/>
    <cellStyle name="メモ 2 3 3 2 3 2 2" xfId="11169" xr:uid="{00000000-0005-0000-0000-000048050000}"/>
    <cellStyle name="メモ 2 3 3 2 3 3" xfId="8510" xr:uid="{00000000-0005-0000-0000-000049050000}"/>
    <cellStyle name="メモ 2 3 3 2 4" xfId="3151" xr:uid="{00000000-0005-0000-0000-00004A050000}"/>
    <cellStyle name="メモ 2 3 3 2 4 2" xfId="8699" xr:uid="{00000000-0005-0000-0000-00004B050000}"/>
    <cellStyle name="メモ 2 3 3 2 5" xfId="7388" xr:uid="{00000000-0005-0000-0000-00004C050000}"/>
    <cellStyle name="メモ 2 3 3 3" xfId="2329" xr:uid="{00000000-0005-0000-0000-00004D050000}"/>
    <cellStyle name="メモ 2 3 3 3 2" xfId="5200" xr:uid="{00000000-0005-0000-0000-00004E050000}"/>
    <cellStyle name="メモ 2 3 3 3 2 2" xfId="10657" xr:uid="{00000000-0005-0000-0000-00004F050000}"/>
    <cellStyle name="メモ 2 3 3 3 3" xfId="7970" xr:uid="{00000000-0005-0000-0000-000050050000}"/>
    <cellStyle name="メモ 2 3 3 4" xfId="2794" xr:uid="{00000000-0005-0000-0000-000051050000}"/>
    <cellStyle name="メモ 2 3 3 4 2" xfId="5635" xr:uid="{00000000-0005-0000-0000-000052050000}"/>
    <cellStyle name="メモ 2 3 3 4 2 2" xfId="11001" xr:uid="{00000000-0005-0000-0000-000053050000}"/>
    <cellStyle name="メモ 2 3 3 4 3" xfId="8342" xr:uid="{00000000-0005-0000-0000-000054050000}"/>
    <cellStyle name="メモ 2 3 3 5" xfId="3150" xr:uid="{00000000-0005-0000-0000-000055050000}"/>
    <cellStyle name="メモ 2 3 3 5 2" xfId="8698" xr:uid="{00000000-0005-0000-0000-000056050000}"/>
    <cellStyle name="メモ 2 3 3 6" xfId="6378" xr:uid="{00000000-0005-0000-0000-000057050000}"/>
    <cellStyle name="メモ 2 3 4" xfId="1200" xr:uid="{00000000-0005-0000-0000-000058050000}"/>
    <cellStyle name="メモ 2 3 4 2" xfId="2547" xr:uid="{00000000-0005-0000-0000-000059050000}"/>
    <cellStyle name="メモ 2 3 4 2 2" xfId="5414" xr:uid="{00000000-0005-0000-0000-00005A050000}"/>
    <cellStyle name="メモ 2 3 4 2 2 2" xfId="10781" xr:uid="{00000000-0005-0000-0000-00005B050000}"/>
    <cellStyle name="メモ 2 3 4 2 3" xfId="8097" xr:uid="{00000000-0005-0000-0000-00005C050000}"/>
    <cellStyle name="メモ 2 3 4 3" xfId="2914" xr:uid="{00000000-0005-0000-0000-00005D050000}"/>
    <cellStyle name="メモ 2 3 4 3 2" xfId="5755" xr:uid="{00000000-0005-0000-0000-00005E050000}"/>
    <cellStyle name="メモ 2 3 4 3 2 2" xfId="11121" xr:uid="{00000000-0005-0000-0000-00005F050000}"/>
    <cellStyle name="メモ 2 3 4 3 3" xfId="8462" xr:uid="{00000000-0005-0000-0000-000060050000}"/>
    <cellStyle name="メモ 2 3 4 4" xfId="3152" xr:uid="{00000000-0005-0000-0000-000061050000}"/>
    <cellStyle name="メモ 2 3 4 4 2" xfId="8700" xr:uid="{00000000-0005-0000-0000-000062050000}"/>
    <cellStyle name="メモ 2 3 4 5" xfId="6932" xr:uid="{00000000-0005-0000-0000-000063050000}"/>
    <cellStyle name="メモ 2 3 5" xfId="2281" xr:uid="{00000000-0005-0000-0000-000064050000}"/>
    <cellStyle name="メモ 2 3 5 2" xfId="5152" xr:uid="{00000000-0005-0000-0000-000065050000}"/>
    <cellStyle name="メモ 2 3 5 2 2" xfId="10609" xr:uid="{00000000-0005-0000-0000-000066050000}"/>
    <cellStyle name="メモ 2 3 5 3" xfId="7922" xr:uid="{00000000-0005-0000-0000-000067050000}"/>
    <cellStyle name="メモ 2 3 6" xfId="2746" xr:uid="{00000000-0005-0000-0000-000068050000}"/>
    <cellStyle name="メモ 2 3 6 2" xfId="5587" xr:uid="{00000000-0005-0000-0000-000069050000}"/>
    <cellStyle name="メモ 2 3 6 2 2" xfId="10953" xr:uid="{00000000-0005-0000-0000-00006A050000}"/>
    <cellStyle name="メモ 2 3 6 3" xfId="8294" xr:uid="{00000000-0005-0000-0000-00006B050000}"/>
    <cellStyle name="メモ 2 3 7" xfId="3145" xr:uid="{00000000-0005-0000-0000-00006C050000}"/>
    <cellStyle name="メモ 2 3 7 2" xfId="8693" xr:uid="{00000000-0005-0000-0000-00006D050000}"/>
    <cellStyle name="メモ 2 3 8" xfId="5917" xr:uid="{00000000-0005-0000-0000-00006E050000}"/>
    <cellStyle name="メモ 2 4" xfId="106" xr:uid="{00000000-0005-0000-0000-00006F050000}"/>
    <cellStyle name="メモ 2 4 2" xfId="176" xr:uid="{00000000-0005-0000-0000-000070050000}"/>
    <cellStyle name="メモ 2 4 2 2" xfId="250" xr:uid="{00000000-0005-0000-0000-000071050000}"/>
    <cellStyle name="メモ 2 4 2 2 2" xfId="472" xr:uid="{00000000-0005-0000-0000-000072050000}"/>
    <cellStyle name="メモ 2 4 2 2 2 2" xfId="981" xr:uid="{00000000-0005-0000-0000-000073050000}"/>
    <cellStyle name="メモ 2 4 2 2 2 2 2" xfId="2087" xr:uid="{00000000-0005-0000-0000-000074050000}"/>
    <cellStyle name="メモ 2 4 2 2 2 2 2 2" xfId="2661" xr:uid="{00000000-0005-0000-0000-000075050000}"/>
    <cellStyle name="メモ 2 4 2 2 2 2 2 2 2" xfId="8210" xr:uid="{00000000-0005-0000-0000-000076050000}"/>
    <cellStyle name="メモ 2 4 2 2 2 2 2 3" xfId="4996" xr:uid="{00000000-0005-0000-0000-000077050000}"/>
    <cellStyle name="メモ 2 4 2 2 2 2 2 3 2" xfId="10466" xr:uid="{00000000-0005-0000-0000-000078050000}"/>
    <cellStyle name="メモ 2 4 2 2 2 2 2 4" xfId="7741" xr:uid="{00000000-0005-0000-0000-000079050000}"/>
    <cellStyle name="メモ 2 4 2 2 2 2 3" xfId="6732" xr:uid="{00000000-0005-0000-0000-00007A050000}"/>
    <cellStyle name="メモ 2 4 2 2 2 3" xfId="1580" xr:uid="{00000000-0005-0000-0000-00007B050000}"/>
    <cellStyle name="メモ 2 4 2 2 2 3 2" xfId="2595" xr:uid="{00000000-0005-0000-0000-00007C050000}"/>
    <cellStyle name="メモ 2 4 2 2 2 3 2 2" xfId="8144" xr:uid="{00000000-0005-0000-0000-00007D050000}"/>
    <cellStyle name="メモ 2 4 2 2 2 3 3" xfId="4544" xr:uid="{00000000-0005-0000-0000-00007E050000}"/>
    <cellStyle name="メモ 2 4 2 2 2 3 3 2" xfId="10058" xr:uid="{00000000-0005-0000-0000-00007F050000}"/>
    <cellStyle name="メモ 2 4 2 2 2 3 4" xfId="7278" xr:uid="{00000000-0005-0000-0000-000080050000}"/>
    <cellStyle name="メモ 2 4 2 2 2 4" xfId="6267" xr:uid="{00000000-0005-0000-0000-000081050000}"/>
    <cellStyle name="メモ 2 4 2 2 3" xfId="759" xr:uid="{00000000-0005-0000-0000-000082050000}"/>
    <cellStyle name="メモ 2 4 2 2 3 2" xfId="1865" xr:uid="{00000000-0005-0000-0000-000083050000}"/>
    <cellStyle name="メモ 2 4 2 2 3 2 2" xfId="2656" xr:uid="{00000000-0005-0000-0000-000084050000}"/>
    <cellStyle name="メモ 2 4 2 2 3 2 2 2" xfId="8205" xr:uid="{00000000-0005-0000-0000-000085050000}"/>
    <cellStyle name="メモ 2 4 2 2 3 2 3" xfId="4774" xr:uid="{00000000-0005-0000-0000-000086050000}"/>
    <cellStyle name="メモ 2 4 2 2 3 2 3 2" xfId="10266" xr:uid="{00000000-0005-0000-0000-000087050000}"/>
    <cellStyle name="メモ 2 4 2 2 3 2 4" xfId="7541" xr:uid="{00000000-0005-0000-0000-000088050000}"/>
    <cellStyle name="メモ 2 4 2 2 3 3" xfId="6532" xr:uid="{00000000-0005-0000-0000-000089050000}"/>
    <cellStyle name="メモ 2 4 2 2 4" xfId="1358" xr:uid="{00000000-0005-0000-0000-00008A050000}"/>
    <cellStyle name="メモ 2 4 2 2 4 2" xfId="2590" xr:uid="{00000000-0005-0000-0000-00008B050000}"/>
    <cellStyle name="メモ 2 4 2 2 4 2 2" xfId="8139" xr:uid="{00000000-0005-0000-0000-00008C050000}"/>
    <cellStyle name="メモ 2 4 2 2 4 3" xfId="4322" xr:uid="{00000000-0005-0000-0000-00008D050000}"/>
    <cellStyle name="メモ 2 4 2 2 4 3 2" xfId="9858" xr:uid="{00000000-0005-0000-0000-00008E050000}"/>
    <cellStyle name="メモ 2 4 2 2 4 4" xfId="7078" xr:uid="{00000000-0005-0000-0000-00008F050000}"/>
    <cellStyle name="メモ 2 4 2 2 5" xfId="6067" xr:uid="{00000000-0005-0000-0000-000090050000}"/>
    <cellStyle name="メモ 2 4 2 3" xfId="315" xr:uid="{00000000-0005-0000-0000-000091050000}"/>
    <cellStyle name="メモ 2 4 2 3 2" xfId="537" xr:uid="{00000000-0005-0000-0000-000092050000}"/>
    <cellStyle name="メモ 2 4 2 3 2 2" xfId="1046" xr:uid="{00000000-0005-0000-0000-000093050000}"/>
    <cellStyle name="メモ 2 4 2 3 2 2 2" xfId="2152" xr:uid="{00000000-0005-0000-0000-000094050000}"/>
    <cellStyle name="メモ 2 4 2 3 2 2 2 2" xfId="2662" xr:uid="{00000000-0005-0000-0000-000095050000}"/>
    <cellStyle name="メモ 2 4 2 3 2 2 2 2 2" xfId="8211" xr:uid="{00000000-0005-0000-0000-000096050000}"/>
    <cellStyle name="メモ 2 4 2 3 2 2 2 3" xfId="5061" xr:uid="{00000000-0005-0000-0000-000097050000}"/>
    <cellStyle name="メモ 2 4 2 3 2 2 2 3 2" xfId="10525" xr:uid="{00000000-0005-0000-0000-000098050000}"/>
    <cellStyle name="メモ 2 4 2 3 2 2 2 4" xfId="7800" xr:uid="{00000000-0005-0000-0000-000099050000}"/>
    <cellStyle name="メモ 2 4 2 3 2 2 3" xfId="6791" xr:uid="{00000000-0005-0000-0000-00009A050000}"/>
    <cellStyle name="メモ 2 4 2 3 2 3" xfId="1645" xr:uid="{00000000-0005-0000-0000-00009B050000}"/>
    <cellStyle name="メモ 2 4 2 3 2 3 2" xfId="2596" xr:uid="{00000000-0005-0000-0000-00009C050000}"/>
    <cellStyle name="メモ 2 4 2 3 2 3 2 2" xfId="8145" xr:uid="{00000000-0005-0000-0000-00009D050000}"/>
    <cellStyle name="メモ 2 4 2 3 2 3 3" xfId="4609" xr:uid="{00000000-0005-0000-0000-00009E050000}"/>
    <cellStyle name="メモ 2 4 2 3 2 3 3 2" xfId="10117" xr:uid="{00000000-0005-0000-0000-00009F050000}"/>
    <cellStyle name="メモ 2 4 2 3 2 3 4" xfId="7337" xr:uid="{00000000-0005-0000-0000-0000A0050000}"/>
    <cellStyle name="メモ 2 4 2 3 2 4" xfId="6326" xr:uid="{00000000-0005-0000-0000-0000A1050000}"/>
    <cellStyle name="メモ 2 4 2 3 3" xfId="824" xr:uid="{00000000-0005-0000-0000-0000A2050000}"/>
    <cellStyle name="メモ 2 4 2 3 3 2" xfId="1930" xr:uid="{00000000-0005-0000-0000-0000A3050000}"/>
    <cellStyle name="メモ 2 4 2 3 3 2 2" xfId="2657" xr:uid="{00000000-0005-0000-0000-0000A4050000}"/>
    <cellStyle name="メモ 2 4 2 3 3 2 2 2" xfId="8206" xr:uid="{00000000-0005-0000-0000-0000A5050000}"/>
    <cellStyle name="メモ 2 4 2 3 3 2 3" xfId="4839" xr:uid="{00000000-0005-0000-0000-0000A6050000}"/>
    <cellStyle name="メモ 2 4 2 3 3 2 3 2" xfId="10325" xr:uid="{00000000-0005-0000-0000-0000A7050000}"/>
    <cellStyle name="メモ 2 4 2 3 3 2 4" xfId="7600" xr:uid="{00000000-0005-0000-0000-0000A8050000}"/>
    <cellStyle name="メモ 2 4 2 3 3 3" xfId="6591" xr:uid="{00000000-0005-0000-0000-0000A9050000}"/>
    <cellStyle name="メモ 2 4 2 3 4" xfId="1423" xr:uid="{00000000-0005-0000-0000-0000AA050000}"/>
    <cellStyle name="メモ 2 4 2 3 4 2" xfId="2591" xr:uid="{00000000-0005-0000-0000-0000AB050000}"/>
    <cellStyle name="メモ 2 4 2 3 4 2 2" xfId="8140" xr:uid="{00000000-0005-0000-0000-0000AC050000}"/>
    <cellStyle name="メモ 2 4 2 3 4 3" xfId="4387" xr:uid="{00000000-0005-0000-0000-0000AD050000}"/>
    <cellStyle name="メモ 2 4 2 3 4 3 2" xfId="9917" xr:uid="{00000000-0005-0000-0000-0000AE050000}"/>
    <cellStyle name="メモ 2 4 2 3 4 4" xfId="7137" xr:uid="{00000000-0005-0000-0000-0000AF050000}"/>
    <cellStyle name="メモ 2 4 2 3 5" xfId="6126" xr:uid="{00000000-0005-0000-0000-0000B0050000}"/>
    <cellStyle name="メモ 2 4 2 4" xfId="399" xr:uid="{00000000-0005-0000-0000-0000B1050000}"/>
    <cellStyle name="メモ 2 4 2 4 2" xfId="908" xr:uid="{00000000-0005-0000-0000-0000B2050000}"/>
    <cellStyle name="メモ 2 4 2 4 2 2" xfId="2014" xr:uid="{00000000-0005-0000-0000-0000B3050000}"/>
    <cellStyle name="メモ 2 4 2 4 2 2 2" xfId="2659" xr:uid="{00000000-0005-0000-0000-0000B4050000}"/>
    <cellStyle name="メモ 2 4 2 4 2 2 2 2" xfId="8208" xr:uid="{00000000-0005-0000-0000-0000B5050000}"/>
    <cellStyle name="メモ 2 4 2 4 2 2 3" xfId="4923" xr:uid="{00000000-0005-0000-0000-0000B6050000}"/>
    <cellStyle name="メモ 2 4 2 4 2 2 3 2" xfId="10398" xr:uid="{00000000-0005-0000-0000-0000B7050000}"/>
    <cellStyle name="メモ 2 4 2 4 2 2 4" xfId="7673" xr:uid="{00000000-0005-0000-0000-0000B8050000}"/>
    <cellStyle name="メモ 2 4 2 4 2 3" xfId="6664" xr:uid="{00000000-0005-0000-0000-0000B9050000}"/>
    <cellStyle name="メモ 2 4 2 4 3" xfId="1507" xr:uid="{00000000-0005-0000-0000-0000BA050000}"/>
    <cellStyle name="メモ 2 4 2 4 3 2" xfId="2593" xr:uid="{00000000-0005-0000-0000-0000BB050000}"/>
    <cellStyle name="メモ 2 4 2 4 3 2 2" xfId="8142" xr:uid="{00000000-0005-0000-0000-0000BC050000}"/>
    <cellStyle name="メモ 2 4 2 4 3 3" xfId="4471" xr:uid="{00000000-0005-0000-0000-0000BD050000}"/>
    <cellStyle name="メモ 2 4 2 4 3 3 2" xfId="9990" xr:uid="{00000000-0005-0000-0000-0000BE050000}"/>
    <cellStyle name="メモ 2 4 2 4 3 4" xfId="7210" xr:uid="{00000000-0005-0000-0000-0000BF050000}"/>
    <cellStyle name="メモ 2 4 2 4 4" xfId="6199" xr:uid="{00000000-0005-0000-0000-0000C0050000}"/>
    <cellStyle name="メモ 2 4 2 5" xfId="685" xr:uid="{00000000-0005-0000-0000-0000C1050000}"/>
    <cellStyle name="メモ 2 4 2 5 2" xfId="1791" xr:uid="{00000000-0005-0000-0000-0000C2050000}"/>
    <cellStyle name="メモ 2 4 2 5 2 2" xfId="2654" xr:uid="{00000000-0005-0000-0000-0000C3050000}"/>
    <cellStyle name="メモ 2 4 2 5 2 2 2" xfId="8203" xr:uid="{00000000-0005-0000-0000-0000C4050000}"/>
    <cellStyle name="メモ 2 4 2 5 2 3" xfId="4700" xr:uid="{00000000-0005-0000-0000-0000C5050000}"/>
    <cellStyle name="メモ 2 4 2 5 2 3 2" xfId="10197" xr:uid="{00000000-0005-0000-0000-0000C6050000}"/>
    <cellStyle name="メモ 2 4 2 5 2 4" xfId="7472" xr:uid="{00000000-0005-0000-0000-0000C7050000}"/>
    <cellStyle name="メモ 2 4 2 5 3" xfId="6463" xr:uid="{00000000-0005-0000-0000-0000C8050000}"/>
    <cellStyle name="メモ 2 4 2 6" xfId="1284" xr:uid="{00000000-0005-0000-0000-0000C9050000}"/>
    <cellStyle name="メモ 2 4 2 6 2" xfId="2588" xr:uid="{00000000-0005-0000-0000-0000CA050000}"/>
    <cellStyle name="メモ 2 4 2 6 2 2" xfId="8137" xr:uid="{00000000-0005-0000-0000-0000CB050000}"/>
    <cellStyle name="メモ 2 4 2 6 3" xfId="4248" xr:uid="{00000000-0005-0000-0000-0000CC050000}"/>
    <cellStyle name="メモ 2 4 2 6 3 2" xfId="9789" xr:uid="{00000000-0005-0000-0000-0000CD050000}"/>
    <cellStyle name="メモ 2 4 2 6 4" xfId="7009" xr:uid="{00000000-0005-0000-0000-0000CE050000}"/>
    <cellStyle name="メモ 2 4 2 7" xfId="5998" xr:uid="{00000000-0005-0000-0000-0000CF050000}"/>
    <cellStyle name="メモ 2 4 3" xfId="221" xr:uid="{00000000-0005-0000-0000-0000D0050000}"/>
    <cellStyle name="メモ 2 4 3 2" xfId="443" xr:uid="{00000000-0005-0000-0000-0000D1050000}"/>
    <cellStyle name="メモ 2 4 3 2 2" xfId="952" xr:uid="{00000000-0005-0000-0000-0000D2050000}"/>
    <cellStyle name="メモ 2 4 3 2 2 2" xfId="2058" xr:uid="{00000000-0005-0000-0000-0000D3050000}"/>
    <cellStyle name="メモ 2 4 3 2 2 2 2" xfId="2660" xr:uid="{00000000-0005-0000-0000-0000D4050000}"/>
    <cellStyle name="メモ 2 4 3 2 2 2 2 2" xfId="8209" xr:uid="{00000000-0005-0000-0000-0000D5050000}"/>
    <cellStyle name="メモ 2 4 3 2 2 2 3" xfId="4967" xr:uid="{00000000-0005-0000-0000-0000D6050000}"/>
    <cellStyle name="メモ 2 4 3 2 2 2 3 2" xfId="10437" xr:uid="{00000000-0005-0000-0000-0000D7050000}"/>
    <cellStyle name="メモ 2 4 3 2 2 2 4" xfId="7712" xr:uid="{00000000-0005-0000-0000-0000D8050000}"/>
    <cellStyle name="メモ 2 4 3 2 2 3" xfId="6703" xr:uid="{00000000-0005-0000-0000-0000D9050000}"/>
    <cellStyle name="メモ 2 4 3 2 3" xfId="1551" xr:uid="{00000000-0005-0000-0000-0000DA050000}"/>
    <cellStyle name="メモ 2 4 3 2 3 2" xfId="2594" xr:uid="{00000000-0005-0000-0000-0000DB050000}"/>
    <cellStyle name="メモ 2 4 3 2 3 2 2" xfId="8143" xr:uid="{00000000-0005-0000-0000-0000DC050000}"/>
    <cellStyle name="メモ 2 4 3 2 3 3" xfId="4515" xr:uid="{00000000-0005-0000-0000-0000DD050000}"/>
    <cellStyle name="メモ 2 4 3 2 3 3 2" xfId="10029" xr:uid="{00000000-0005-0000-0000-0000DE050000}"/>
    <cellStyle name="メモ 2 4 3 2 3 4" xfId="7249" xr:uid="{00000000-0005-0000-0000-0000DF050000}"/>
    <cellStyle name="メモ 2 4 3 2 4" xfId="6238" xr:uid="{00000000-0005-0000-0000-0000E0050000}"/>
    <cellStyle name="メモ 2 4 3 3" xfId="730" xr:uid="{00000000-0005-0000-0000-0000E1050000}"/>
    <cellStyle name="メモ 2 4 3 3 2" xfId="1836" xr:uid="{00000000-0005-0000-0000-0000E2050000}"/>
    <cellStyle name="メモ 2 4 3 3 2 2" xfId="2655" xr:uid="{00000000-0005-0000-0000-0000E3050000}"/>
    <cellStyle name="メモ 2 4 3 3 2 2 2" xfId="8204" xr:uid="{00000000-0005-0000-0000-0000E4050000}"/>
    <cellStyle name="メモ 2 4 3 3 2 3" xfId="4745" xr:uid="{00000000-0005-0000-0000-0000E5050000}"/>
    <cellStyle name="メモ 2 4 3 3 2 3 2" xfId="10237" xr:uid="{00000000-0005-0000-0000-0000E6050000}"/>
    <cellStyle name="メモ 2 4 3 3 2 4" xfId="7512" xr:uid="{00000000-0005-0000-0000-0000E7050000}"/>
    <cellStyle name="メモ 2 4 3 3 3" xfId="6503" xr:uid="{00000000-0005-0000-0000-0000E8050000}"/>
    <cellStyle name="メモ 2 4 3 4" xfId="1329" xr:uid="{00000000-0005-0000-0000-0000E9050000}"/>
    <cellStyle name="メモ 2 4 3 4 2" xfId="2589" xr:uid="{00000000-0005-0000-0000-0000EA050000}"/>
    <cellStyle name="メモ 2 4 3 4 2 2" xfId="8138" xr:uid="{00000000-0005-0000-0000-0000EB050000}"/>
    <cellStyle name="メモ 2 4 3 4 3" xfId="4293" xr:uid="{00000000-0005-0000-0000-0000EC050000}"/>
    <cellStyle name="メモ 2 4 3 4 3 2" xfId="9829" xr:uid="{00000000-0005-0000-0000-0000ED050000}"/>
    <cellStyle name="メモ 2 4 3 4 4" xfId="7049" xr:uid="{00000000-0005-0000-0000-0000EE050000}"/>
    <cellStyle name="メモ 2 4 3 5" xfId="6038" xr:uid="{00000000-0005-0000-0000-0000EF050000}"/>
    <cellStyle name="メモ 2 4 4" xfId="105" xr:uid="{00000000-0005-0000-0000-0000F0050000}"/>
    <cellStyle name="メモ 2 4 4 2" xfId="358" xr:uid="{00000000-0005-0000-0000-0000F1050000}"/>
    <cellStyle name="メモ 2 4 4 2 2" xfId="867" xr:uid="{00000000-0005-0000-0000-0000F2050000}"/>
    <cellStyle name="メモ 2 4 4 2 2 2" xfId="1973" xr:uid="{00000000-0005-0000-0000-0000F3050000}"/>
    <cellStyle name="メモ 2 4 4 2 2 2 2" xfId="2658" xr:uid="{00000000-0005-0000-0000-0000F4050000}"/>
    <cellStyle name="メモ 2 4 4 2 2 2 2 2" xfId="8207" xr:uid="{00000000-0005-0000-0000-0000F5050000}"/>
    <cellStyle name="メモ 2 4 4 2 2 2 3" xfId="4882" xr:uid="{00000000-0005-0000-0000-0000F6050000}"/>
    <cellStyle name="メモ 2 4 4 2 2 2 3 2" xfId="10363" xr:uid="{00000000-0005-0000-0000-0000F7050000}"/>
    <cellStyle name="メモ 2 4 4 2 2 2 4" xfId="7638" xr:uid="{00000000-0005-0000-0000-0000F8050000}"/>
    <cellStyle name="メモ 2 4 4 2 2 3" xfId="6629" xr:uid="{00000000-0005-0000-0000-0000F9050000}"/>
    <cellStyle name="メモ 2 4 4 2 3" xfId="1466" xr:uid="{00000000-0005-0000-0000-0000FA050000}"/>
    <cellStyle name="メモ 2 4 4 2 3 2" xfId="2592" xr:uid="{00000000-0005-0000-0000-0000FB050000}"/>
    <cellStyle name="メモ 2 4 4 2 3 2 2" xfId="8141" xr:uid="{00000000-0005-0000-0000-0000FC050000}"/>
    <cellStyle name="メモ 2 4 4 2 3 3" xfId="4430" xr:uid="{00000000-0005-0000-0000-0000FD050000}"/>
    <cellStyle name="メモ 2 4 4 2 3 3 2" xfId="9955" xr:uid="{00000000-0005-0000-0000-0000FE050000}"/>
    <cellStyle name="メモ 2 4 4 2 3 4" xfId="7175" xr:uid="{00000000-0005-0000-0000-0000FF050000}"/>
    <cellStyle name="メモ 2 4 4 2 4" xfId="6164" xr:uid="{00000000-0005-0000-0000-000000060000}"/>
    <cellStyle name="メモ 2 4 4 3" xfId="642" xr:uid="{00000000-0005-0000-0000-000001060000}"/>
    <cellStyle name="メモ 2 4 4 3 2" xfId="1748" xr:uid="{00000000-0005-0000-0000-000002060000}"/>
    <cellStyle name="メモ 2 4 4 3 2 2" xfId="2651" xr:uid="{00000000-0005-0000-0000-000003060000}"/>
    <cellStyle name="メモ 2 4 4 3 2 2 2" xfId="8200" xr:uid="{00000000-0005-0000-0000-000004060000}"/>
    <cellStyle name="メモ 2 4 4 3 2 3" xfId="4657" xr:uid="{00000000-0005-0000-0000-000005060000}"/>
    <cellStyle name="メモ 2 4 4 3 2 3 2" xfId="10159" xr:uid="{00000000-0005-0000-0000-000006060000}"/>
    <cellStyle name="メモ 2 4 4 3 2 4" xfId="7434" xr:uid="{00000000-0005-0000-0000-000007060000}"/>
    <cellStyle name="メモ 2 4 4 3 3" xfId="6425" xr:uid="{00000000-0005-0000-0000-000008060000}"/>
    <cellStyle name="メモ 2 4 4 4" xfId="1214" xr:uid="{00000000-0005-0000-0000-000009060000}"/>
    <cellStyle name="メモ 2 4 4 4 2" xfId="2559" xr:uid="{00000000-0005-0000-0000-00000A060000}"/>
    <cellStyle name="メモ 2 4 4 4 2 2" xfId="8108" xr:uid="{00000000-0005-0000-0000-00000B060000}"/>
    <cellStyle name="メモ 2 4 4 4 3" xfId="4205" xr:uid="{00000000-0005-0000-0000-00000C060000}"/>
    <cellStyle name="メモ 2 4 4 4 3 2" xfId="9751" xr:uid="{00000000-0005-0000-0000-00000D060000}"/>
    <cellStyle name="メモ 2 4 4 4 4" xfId="6945" xr:uid="{00000000-0005-0000-0000-00000E060000}"/>
    <cellStyle name="メモ 2 4 4 5" xfId="5933" xr:uid="{00000000-0005-0000-0000-00000F060000}"/>
    <cellStyle name="メモ 2 4 5" xfId="169" xr:uid="{00000000-0005-0000-0000-000010060000}"/>
    <cellStyle name="メモ 2 4 5 2" xfId="678" xr:uid="{00000000-0005-0000-0000-000011060000}"/>
    <cellStyle name="メモ 2 4 5 2 2" xfId="1784" xr:uid="{00000000-0005-0000-0000-000012060000}"/>
    <cellStyle name="メモ 2 4 5 2 2 2" xfId="2653" xr:uid="{00000000-0005-0000-0000-000013060000}"/>
    <cellStyle name="メモ 2 4 5 2 2 2 2" xfId="8202" xr:uid="{00000000-0005-0000-0000-000014060000}"/>
    <cellStyle name="メモ 2 4 5 2 2 3" xfId="4693" xr:uid="{00000000-0005-0000-0000-000015060000}"/>
    <cellStyle name="メモ 2 4 5 2 2 3 2" xfId="10191" xr:uid="{00000000-0005-0000-0000-000016060000}"/>
    <cellStyle name="メモ 2 4 5 2 2 4" xfId="7466" xr:uid="{00000000-0005-0000-0000-000017060000}"/>
    <cellStyle name="メモ 2 4 5 2 3" xfId="6457" xr:uid="{00000000-0005-0000-0000-000018060000}"/>
    <cellStyle name="メモ 2 4 5 3" xfId="1277" xr:uid="{00000000-0005-0000-0000-000019060000}"/>
    <cellStyle name="メモ 2 4 5 3 2" xfId="2587" xr:uid="{00000000-0005-0000-0000-00001A060000}"/>
    <cellStyle name="メモ 2 4 5 3 2 2" xfId="8136" xr:uid="{00000000-0005-0000-0000-00001B060000}"/>
    <cellStyle name="メモ 2 4 5 3 3" xfId="4241" xr:uid="{00000000-0005-0000-0000-00001C060000}"/>
    <cellStyle name="メモ 2 4 5 3 3 2" xfId="9783" xr:uid="{00000000-0005-0000-0000-00001D060000}"/>
    <cellStyle name="メモ 2 4 5 3 4" xfId="7003" xr:uid="{00000000-0005-0000-0000-00001E060000}"/>
    <cellStyle name="メモ 2 4 5 4" xfId="5992" xr:uid="{00000000-0005-0000-0000-00001F060000}"/>
    <cellStyle name="メモ 2 4 6" xfId="643" xr:uid="{00000000-0005-0000-0000-000020060000}"/>
    <cellStyle name="メモ 2 4 6 2" xfId="1749" xr:uid="{00000000-0005-0000-0000-000021060000}"/>
    <cellStyle name="メモ 2 4 6 2 2" xfId="2652" xr:uid="{00000000-0005-0000-0000-000022060000}"/>
    <cellStyle name="メモ 2 4 6 2 2 2" xfId="8201" xr:uid="{00000000-0005-0000-0000-000023060000}"/>
    <cellStyle name="メモ 2 4 6 2 3" xfId="4658" xr:uid="{00000000-0005-0000-0000-000024060000}"/>
    <cellStyle name="メモ 2 4 6 2 3 2" xfId="10160" xr:uid="{00000000-0005-0000-0000-000025060000}"/>
    <cellStyle name="メモ 2 4 6 2 4" xfId="7435" xr:uid="{00000000-0005-0000-0000-000026060000}"/>
    <cellStyle name="メモ 2 4 6 3" xfId="6426" xr:uid="{00000000-0005-0000-0000-000027060000}"/>
    <cellStyle name="メモ 2 4 7" xfId="1215" xr:uid="{00000000-0005-0000-0000-000028060000}"/>
    <cellStyle name="メモ 2 4 7 2" xfId="2560" xr:uid="{00000000-0005-0000-0000-000029060000}"/>
    <cellStyle name="メモ 2 4 7 2 2" xfId="8109" xr:uid="{00000000-0005-0000-0000-00002A060000}"/>
    <cellStyle name="メモ 2 4 7 3" xfId="4206" xr:uid="{00000000-0005-0000-0000-00002B060000}"/>
    <cellStyle name="メモ 2 4 7 3 2" xfId="9752" xr:uid="{00000000-0005-0000-0000-00002C060000}"/>
    <cellStyle name="メモ 2 4 7 4" xfId="6946" xr:uid="{00000000-0005-0000-0000-00002D060000}"/>
    <cellStyle name="メモ 2 4 8" xfId="5934" xr:uid="{00000000-0005-0000-0000-00002E060000}"/>
    <cellStyle name="メモ 2 5" xfId="1099" xr:uid="{00000000-0005-0000-0000-00002F060000}"/>
    <cellStyle name="メモ 2 5 2" xfId="2203" xr:uid="{00000000-0005-0000-0000-000030060000}"/>
    <cellStyle name="メモ 2 5 2 2" xfId="2673" xr:uid="{00000000-0005-0000-0000-000031060000}"/>
    <cellStyle name="メモ 2 5 2 2 2" xfId="8222" xr:uid="{00000000-0005-0000-0000-000032060000}"/>
    <cellStyle name="メモ 2 5 2 3" xfId="5102" xr:uid="{00000000-0005-0000-0000-000033060000}"/>
    <cellStyle name="メモ 2 5 2 3 2" xfId="10561" xr:uid="{00000000-0005-0000-0000-000034060000}"/>
    <cellStyle name="メモ 2 5 2 4" xfId="7846" xr:uid="{00000000-0005-0000-0000-000035060000}"/>
    <cellStyle name="メモ 2 5 3" xfId="2497" xr:uid="{00000000-0005-0000-0000-000036060000}"/>
    <cellStyle name="メモ 2 5 3 2" xfId="8049" xr:uid="{00000000-0005-0000-0000-000037060000}"/>
    <cellStyle name="メモ 2 5 4" xfId="2379" xr:uid="{00000000-0005-0000-0000-000038060000}"/>
    <cellStyle name="メモ 2 5 4 2" xfId="8020" xr:uid="{00000000-0005-0000-0000-000039060000}"/>
    <cellStyle name="メモ 2 5 5" xfId="4187" xr:uid="{00000000-0005-0000-0000-00003A060000}"/>
    <cellStyle name="メモ 2 5 5 2" xfId="9735" xr:uid="{00000000-0005-0000-0000-00003B060000}"/>
    <cellStyle name="メモ 2 5 6" xfId="6839" xr:uid="{00000000-0005-0000-0000-00003C060000}"/>
    <cellStyle name="メモ 2 6" xfId="1196" xr:uid="{00000000-0005-0000-0000-00003D060000}"/>
    <cellStyle name="メモ 2 6 2" xfId="2278" xr:uid="{00000000-0005-0000-0000-00003E060000}"/>
    <cellStyle name="メモ 2 6 2 2" xfId="5149" xr:uid="{00000000-0005-0000-0000-00003F060000}"/>
    <cellStyle name="メモ 2 6 2 2 2" xfId="10606" xr:uid="{00000000-0005-0000-0000-000040060000}"/>
    <cellStyle name="メモ 2 6 2 3" xfId="7919" xr:uid="{00000000-0005-0000-0000-000041060000}"/>
    <cellStyle name="メモ 2 6 3" xfId="2743" xr:uid="{00000000-0005-0000-0000-000042060000}"/>
    <cellStyle name="メモ 2 6 3 2" xfId="5584" xr:uid="{00000000-0005-0000-0000-000043060000}"/>
    <cellStyle name="メモ 2 6 3 2 2" xfId="10950" xr:uid="{00000000-0005-0000-0000-000044060000}"/>
    <cellStyle name="メモ 2 6 3 3" xfId="8291" xr:uid="{00000000-0005-0000-0000-000045060000}"/>
    <cellStyle name="メモ 2 6 4" xfId="3153" xr:uid="{00000000-0005-0000-0000-000046060000}"/>
    <cellStyle name="メモ 2 6 4 2" xfId="8701" xr:uid="{00000000-0005-0000-0000-000047060000}"/>
    <cellStyle name="メモ 2 6 5" xfId="6929" xr:uid="{00000000-0005-0000-0000-000048060000}"/>
    <cellStyle name="メモ 2 7" xfId="1151" xr:uid="{00000000-0005-0000-0000-000049060000}"/>
    <cellStyle name="メモ 2 7 2" xfId="2505" xr:uid="{00000000-0005-0000-0000-00004A060000}"/>
    <cellStyle name="メモ 2 7 2 2" xfId="8055" xr:uid="{00000000-0005-0000-0000-00004B060000}"/>
    <cellStyle name="メモ 2 7 3" xfId="4192" xr:uid="{00000000-0005-0000-0000-00004C060000}"/>
    <cellStyle name="メモ 2 7 3 2" xfId="9740" xr:uid="{00000000-0005-0000-0000-00004D060000}"/>
    <cellStyle name="メモ 2 7 4" xfId="6885" xr:uid="{00000000-0005-0000-0000-00004E060000}"/>
    <cellStyle name="メモ 2 8" xfId="5910" xr:uid="{00000000-0005-0000-0000-00004F060000}"/>
    <cellStyle name="リンク セル" xfId="13" builtinId="24" customBuiltin="1"/>
    <cellStyle name="リンク セル 2" xfId="80" xr:uid="{00000000-0005-0000-0000-000051060000}"/>
    <cellStyle name="悪い" xfId="8" builtinId="27" customBuiltin="1"/>
    <cellStyle name="悪い 2" xfId="81" xr:uid="{00000000-0005-0000-0000-000053060000}"/>
    <cellStyle name="計算" xfId="12" builtinId="22" customBuiltin="1"/>
    <cellStyle name="計算 2" xfId="82" xr:uid="{00000000-0005-0000-0000-000055060000}"/>
    <cellStyle name="計算 2 10" xfId="368" xr:uid="{00000000-0005-0000-0000-000056060000}"/>
    <cellStyle name="計算 2 10 2" xfId="877" xr:uid="{00000000-0005-0000-0000-000057060000}"/>
    <cellStyle name="計算 2 10 2 2" xfId="1983" xr:uid="{00000000-0005-0000-0000-000058060000}"/>
    <cellStyle name="計算 2 10 2 2 2" xfId="4892" xr:uid="{00000000-0005-0000-0000-000059060000}"/>
    <cellStyle name="計算 2 10 2 2 2 2" xfId="10372" xr:uid="{00000000-0005-0000-0000-00005A060000}"/>
    <cellStyle name="計算 2 10 2 2 3" xfId="3154" xr:uid="{00000000-0005-0000-0000-00005B060000}"/>
    <cellStyle name="計算 2 10 2 2 3 2" xfId="8702" xr:uid="{00000000-0005-0000-0000-00005C060000}"/>
    <cellStyle name="計算 2 10 2 2 4" xfId="7647" xr:uid="{00000000-0005-0000-0000-00005D060000}"/>
    <cellStyle name="計算 2 10 2 3" xfId="6638" xr:uid="{00000000-0005-0000-0000-00005E060000}"/>
    <cellStyle name="計算 2 10 3" xfId="1476" xr:uid="{00000000-0005-0000-0000-00005F060000}"/>
    <cellStyle name="計算 2 10 3 2" xfId="4440" xr:uid="{00000000-0005-0000-0000-000060060000}"/>
    <cellStyle name="計算 2 10 3 2 2" xfId="9964" xr:uid="{00000000-0005-0000-0000-000061060000}"/>
    <cellStyle name="計算 2 10 3 3" xfId="3155" xr:uid="{00000000-0005-0000-0000-000062060000}"/>
    <cellStyle name="計算 2 10 3 3 2" xfId="8703" xr:uid="{00000000-0005-0000-0000-000063060000}"/>
    <cellStyle name="計算 2 10 3 4" xfId="7184" xr:uid="{00000000-0005-0000-0000-000064060000}"/>
    <cellStyle name="計算 2 10 4" xfId="6173" xr:uid="{00000000-0005-0000-0000-000065060000}"/>
    <cellStyle name="計算 2 11" xfId="635" xr:uid="{00000000-0005-0000-0000-000066060000}"/>
    <cellStyle name="計算 2 11 2" xfId="1741" xr:uid="{00000000-0005-0000-0000-000067060000}"/>
    <cellStyle name="計算 2 11 2 2" xfId="4650" xr:uid="{00000000-0005-0000-0000-000068060000}"/>
    <cellStyle name="計算 2 11 2 2 2" xfId="10153" xr:uid="{00000000-0005-0000-0000-000069060000}"/>
    <cellStyle name="計算 2 11 2 3" xfId="3156" xr:uid="{00000000-0005-0000-0000-00006A060000}"/>
    <cellStyle name="計算 2 11 2 3 2" xfId="8704" xr:uid="{00000000-0005-0000-0000-00006B060000}"/>
    <cellStyle name="計算 2 11 2 4" xfId="7428" xr:uid="{00000000-0005-0000-0000-00006C060000}"/>
    <cellStyle name="計算 2 11 3" xfId="6419" xr:uid="{00000000-0005-0000-0000-00006D060000}"/>
    <cellStyle name="計算 2 12" xfId="1100" xr:uid="{00000000-0005-0000-0000-00006E060000}"/>
    <cellStyle name="計算 2 12 2" xfId="2204" xr:uid="{00000000-0005-0000-0000-00006F060000}"/>
    <cellStyle name="計算 2 12 2 2" xfId="5103" xr:uid="{00000000-0005-0000-0000-000070060000}"/>
    <cellStyle name="計算 2 12 2 2 2" xfId="10562" xr:uid="{00000000-0005-0000-0000-000071060000}"/>
    <cellStyle name="計算 2 12 2 3" xfId="3158" xr:uid="{00000000-0005-0000-0000-000072060000}"/>
    <cellStyle name="計算 2 12 2 3 2" xfId="8706" xr:uid="{00000000-0005-0000-0000-000073060000}"/>
    <cellStyle name="計算 2 12 2 4" xfId="7847" xr:uid="{00000000-0005-0000-0000-000074060000}"/>
    <cellStyle name="計算 2 12 3" xfId="2498" xr:uid="{00000000-0005-0000-0000-000075060000}"/>
    <cellStyle name="計算 2 12 3 2" xfId="5366" xr:uid="{00000000-0005-0000-0000-000076060000}"/>
    <cellStyle name="計算 2 12 3 2 2" xfId="10735" xr:uid="{00000000-0005-0000-0000-000077060000}"/>
    <cellStyle name="計算 2 12 3 3" xfId="3159" xr:uid="{00000000-0005-0000-0000-000078060000}"/>
    <cellStyle name="計算 2 12 3 3 2" xfId="8707" xr:uid="{00000000-0005-0000-0000-000079060000}"/>
    <cellStyle name="計算 2 12 3 4" xfId="8050" xr:uid="{00000000-0005-0000-0000-00007A060000}"/>
    <cellStyle name="計算 2 12 4" xfId="4188" xr:uid="{00000000-0005-0000-0000-00007B060000}"/>
    <cellStyle name="計算 2 12 4 2" xfId="9736" xr:uid="{00000000-0005-0000-0000-00007C060000}"/>
    <cellStyle name="計算 2 12 5" xfId="3157" xr:uid="{00000000-0005-0000-0000-00007D060000}"/>
    <cellStyle name="計算 2 12 5 2" xfId="8705" xr:uid="{00000000-0005-0000-0000-00007E060000}"/>
    <cellStyle name="計算 2 12 6" xfId="6840" xr:uid="{00000000-0005-0000-0000-00007F060000}"/>
    <cellStyle name="計算 2 13" xfId="1201" xr:uid="{00000000-0005-0000-0000-000080060000}"/>
    <cellStyle name="計算 2 13 2" xfId="2548" xr:uid="{00000000-0005-0000-0000-000081060000}"/>
    <cellStyle name="計算 2 13 2 2" xfId="5415" xr:uid="{00000000-0005-0000-0000-000082060000}"/>
    <cellStyle name="計算 2 13 2 2 2" xfId="10782" xr:uid="{00000000-0005-0000-0000-000083060000}"/>
    <cellStyle name="計算 2 13 2 3" xfId="3161" xr:uid="{00000000-0005-0000-0000-000084060000}"/>
    <cellStyle name="計算 2 13 2 3 2" xfId="8709" xr:uid="{00000000-0005-0000-0000-000085060000}"/>
    <cellStyle name="計算 2 13 2 4" xfId="8098" xr:uid="{00000000-0005-0000-0000-000086060000}"/>
    <cellStyle name="計算 2 13 3" xfId="4198" xr:uid="{00000000-0005-0000-0000-000087060000}"/>
    <cellStyle name="計算 2 13 3 2" xfId="9745" xr:uid="{00000000-0005-0000-0000-000088060000}"/>
    <cellStyle name="計算 2 13 4" xfId="3160" xr:uid="{00000000-0005-0000-0000-000089060000}"/>
    <cellStyle name="計算 2 13 4 2" xfId="8708" xr:uid="{00000000-0005-0000-0000-00008A060000}"/>
    <cellStyle name="計算 2 13 5" xfId="6933" xr:uid="{00000000-0005-0000-0000-00008B060000}"/>
    <cellStyle name="計算 2 14" xfId="1152" xr:uid="{00000000-0005-0000-0000-00008C060000}"/>
    <cellStyle name="計算 2 14 2" xfId="4193" xr:uid="{00000000-0005-0000-0000-00008D060000}"/>
    <cellStyle name="計算 2 14 2 2" xfId="9741" xr:uid="{00000000-0005-0000-0000-00008E060000}"/>
    <cellStyle name="計算 2 14 3" xfId="3162" xr:uid="{00000000-0005-0000-0000-00008F060000}"/>
    <cellStyle name="計算 2 14 3 2" xfId="8710" xr:uid="{00000000-0005-0000-0000-000090060000}"/>
    <cellStyle name="計算 2 14 4" xfId="6886" xr:uid="{00000000-0005-0000-0000-000091060000}"/>
    <cellStyle name="計算 2 15" xfId="5918" xr:uid="{00000000-0005-0000-0000-000092060000}"/>
    <cellStyle name="計算 2 2" xfId="161" xr:uid="{00000000-0005-0000-0000-000093060000}"/>
    <cellStyle name="計算 2 2 2" xfId="192" xr:uid="{00000000-0005-0000-0000-000094060000}"/>
    <cellStyle name="計算 2 2 2 2" xfId="263" xr:uid="{00000000-0005-0000-0000-000095060000}"/>
    <cellStyle name="計算 2 2 2 2 2" xfId="485" xr:uid="{00000000-0005-0000-0000-000096060000}"/>
    <cellStyle name="計算 2 2 2 2 2 2" xfId="994" xr:uid="{00000000-0005-0000-0000-000097060000}"/>
    <cellStyle name="計算 2 2 2 2 2 2 2" xfId="2100" xr:uid="{00000000-0005-0000-0000-000098060000}"/>
    <cellStyle name="計算 2 2 2 2 2 2 2 2" xfId="5009" xr:uid="{00000000-0005-0000-0000-000099060000}"/>
    <cellStyle name="計算 2 2 2 2 2 2 2 2 2" xfId="10478" xr:uid="{00000000-0005-0000-0000-00009A060000}"/>
    <cellStyle name="計算 2 2 2 2 2 2 2 3" xfId="3163" xr:uid="{00000000-0005-0000-0000-00009B060000}"/>
    <cellStyle name="計算 2 2 2 2 2 2 2 3 2" xfId="8711" xr:uid="{00000000-0005-0000-0000-00009C060000}"/>
    <cellStyle name="計算 2 2 2 2 2 2 2 4" xfId="7753" xr:uid="{00000000-0005-0000-0000-00009D060000}"/>
    <cellStyle name="計算 2 2 2 2 2 2 3" xfId="6744" xr:uid="{00000000-0005-0000-0000-00009E060000}"/>
    <cellStyle name="計算 2 2 2 2 2 3" xfId="1593" xr:uid="{00000000-0005-0000-0000-00009F060000}"/>
    <cellStyle name="計算 2 2 2 2 2 3 2" xfId="4557" xr:uid="{00000000-0005-0000-0000-0000A0060000}"/>
    <cellStyle name="計算 2 2 2 2 2 3 2 2" xfId="10070" xr:uid="{00000000-0005-0000-0000-0000A1060000}"/>
    <cellStyle name="計算 2 2 2 2 2 3 3" xfId="3164" xr:uid="{00000000-0005-0000-0000-0000A2060000}"/>
    <cellStyle name="計算 2 2 2 2 2 3 3 2" xfId="8712" xr:uid="{00000000-0005-0000-0000-0000A3060000}"/>
    <cellStyle name="計算 2 2 2 2 2 3 4" xfId="7290" xr:uid="{00000000-0005-0000-0000-0000A4060000}"/>
    <cellStyle name="計算 2 2 2 2 2 4" xfId="6279" xr:uid="{00000000-0005-0000-0000-0000A5060000}"/>
    <cellStyle name="計算 2 2 2 2 3" xfId="772" xr:uid="{00000000-0005-0000-0000-0000A6060000}"/>
    <cellStyle name="計算 2 2 2 2 3 2" xfId="1878" xr:uid="{00000000-0005-0000-0000-0000A7060000}"/>
    <cellStyle name="計算 2 2 2 2 3 2 2" xfId="4787" xr:uid="{00000000-0005-0000-0000-0000A8060000}"/>
    <cellStyle name="計算 2 2 2 2 3 2 2 2" xfId="10278" xr:uid="{00000000-0005-0000-0000-0000A9060000}"/>
    <cellStyle name="計算 2 2 2 2 3 2 3" xfId="3165" xr:uid="{00000000-0005-0000-0000-0000AA060000}"/>
    <cellStyle name="計算 2 2 2 2 3 2 3 2" xfId="8713" xr:uid="{00000000-0005-0000-0000-0000AB060000}"/>
    <cellStyle name="計算 2 2 2 2 3 2 4" xfId="7553" xr:uid="{00000000-0005-0000-0000-0000AC060000}"/>
    <cellStyle name="計算 2 2 2 2 3 3" xfId="6544" xr:uid="{00000000-0005-0000-0000-0000AD060000}"/>
    <cellStyle name="計算 2 2 2 2 4" xfId="1371" xr:uid="{00000000-0005-0000-0000-0000AE060000}"/>
    <cellStyle name="計算 2 2 2 2 4 2" xfId="4335" xr:uid="{00000000-0005-0000-0000-0000AF060000}"/>
    <cellStyle name="計算 2 2 2 2 4 2 2" xfId="9870" xr:uid="{00000000-0005-0000-0000-0000B0060000}"/>
    <cellStyle name="計算 2 2 2 2 4 3" xfId="3166" xr:uid="{00000000-0005-0000-0000-0000B1060000}"/>
    <cellStyle name="計算 2 2 2 2 4 3 2" xfId="8714" xr:uid="{00000000-0005-0000-0000-0000B2060000}"/>
    <cellStyle name="計算 2 2 2 2 4 4" xfId="7090" xr:uid="{00000000-0005-0000-0000-0000B3060000}"/>
    <cellStyle name="計算 2 2 2 2 5" xfId="6079" xr:uid="{00000000-0005-0000-0000-0000B4060000}"/>
    <cellStyle name="計算 2 2 2 3" xfId="328" xr:uid="{00000000-0005-0000-0000-0000B5060000}"/>
    <cellStyle name="計算 2 2 2 3 2" xfId="550" xr:uid="{00000000-0005-0000-0000-0000B6060000}"/>
    <cellStyle name="計算 2 2 2 3 2 2" xfId="1059" xr:uid="{00000000-0005-0000-0000-0000B7060000}"/>
    <cellStyle name="計算 2 2 2 3 2 2 2" xfId="2165" xr:uid="{00000000-0005-0000-0000-0000B8060000}"/>
    <cellStyle name="計算 2 2 2 3 2 2 2 2" xfId="5074" xr:uid="{00000000-0005-0000-0000-0000B9060000}"/>
    <cellStyle name="計算 2 2 2 3 2 2 2 2 2" xfId="10537" xr:uid="{00000000-0005-0000-0000-0000BA060000}"/>
    <cellStyle name="計算 2 2 2 3 2 2 2 3" xfId="3167" xr:uid="{00000000-0005-0000-0000-0000BB060000}"/>
    <cellStyle name="計算 2 2 2 3 2 2 2 3 2" xfId="8715" xr:uid="{00000000-0005-0000-0000-0000BC060000}"/>
    <cellStyle name="計算 2 2 2 3 2 2 2 4" xfId="7812" xr:uid="{00000000-0005-0000-0000-0000BD060000}"/>
    <cellStyle name="計算 2 2 2 3 2 2 3" xfId="6803" xr:uid="{00000000-0005-0000-0000-0000BE060000}"/>
    <cellStyle name="計算 2 2 2 3 2 3" xfId="1658" xr:uid="{00000000-0005-0000-0000-0000BF060000}"/>
    <cellStyle name="計算 2 2 2 3 2 3 2" xfId="4622" xr:uid="{00000000-0005-0000-0000-0000C0060000}"/>
    <cellStyle name="計算 2 2 2 3 2 3 2 2" xfId="10129" xr:uid="{00000000-0005-0000-0000-0000C1060000}"/>
    <cellStyle name="計算 2 2 2 3 2 3 3" xfId="3168" xr:uid="{00000000-0005-0000-0000-0000C2060000}"/>
    <cellStyle name="計算 2 2 2 3 2 3 3 2" xfId="8716" xr:uid="{00000000-0005-0000-0000-0000C3060000}"/>
    <cellStyle name="計算 2 2 2 3 2 3 4" xfId="7349" xr:uid="{00000000-0005-0000-0000-0000C4060000}"/>
    <cellStyle name="計算 2 2 2 3 2 4" xfId="6338" xr:uid="{00000000-0005-0000-0000-0000C5060000}"/>
    <cellStyle name="計算 2 2 2 3 3" xfId="837" xr:uid="{00000000-0005-0000-0000-0000C6060000}"/>
    <cellStyle name="計算 2 2 2 3 3 2" xfId="1943" xr:uid="{00000000-0005-0000-0000-0000C7060000}"/>
    <cellStyle name="計算 2 2 2 3 3 2 2" xfId="4852" xr:uid="{00000000-0005-0000-0000-0000C8060000}"/>
    <cellStyle name="計算 2 2 2 3 3 2 2 2" xfId="10337" xr:uid="{00000000-0005-0000-0000-0000C9060000}"/>
    <cellStyle name="計算 2 2 2 3 3 2 3" xfId="3169" xr:uid="{00000000-0005-0000-0000-0000CA060000}"/>
    <cellStyle name="計算 2 2 2 3 3 2 3 2" xfId="8717" xr:uid="{00000000-0005-0000-0000-0000CB060000}"/>
    <cellStyle name="計算 2 2 2 3 3 2 4" xfId="7612" xr:uid="{00000000-0005-0000-0000-0000CC060000}"/>
    <cellStyle name="計算 2 2 2 3 3 3" xfId="6603" xr:uid="{00000000-0005-0000-0000-0000CD060000}"/>
    <cellStyle name="計算 2 2 2 3 4" xfId="1436" xr:uid="{00000000-0005-0000-0000-0000CE060000}"/>
    <cellStyle name="計算 2 2 2 3 4 2" xfId="4400" xr:uid="{00000000-0005-0000-0000-0000CF060000}"/>
    <cellStyle name="計算 2 2 2 3 4 2 2" xfId="9929" xr:uid="{00000000-0005-0000-0000-0000D0060000}"/>
    <cellStyle name="計算 2 2 2 3 4 3" xfId="3170" xr:uid="{00000000-0005-0000-0000-0000D1060000}"/>
    <cellStyle name="計算 2 2 2 3 4 3 2" xfId="8718" xr:uid="{00000000-0005-0000-0000-0000D2060000}"/>
    <cellStyle name="計算 2 2 2 3 4 4" xfId="7149" xr:uid="{00000000-0005-0000-0000-0000D3060000}"/>
    <cellStyle name="計算 2 2 2 3 5" xfId="6138" xr:uid="{00000000-0005-0000-0000-0000D4060000}"/>
    <cellStyle name="計算 2 2 2 4" xfId="414" xr:uid="{00000000-0005-0000-0000-0000D5060000}"/>
    <cellStyle name="計算 2 2 2 4 2" xfId="923" xr:uid="{00000000-0005-0000-0000-0000D6060000}"/>
    <cellStyle name="計算 2 2 2 4 2 2" xfId="2029" xr:uid="{00000000-0005-0000-0000-0000D7060000}"/>
    <cellStyle name="計算 2 2 2 4 2 2 2" xfId="4938" xr:uid="{00000000-0005-0000-0000-0000D8060000}"/>
    <cellStyle name="計算 2 2 2 4 2 2 2 2" xfId="10412" xr:uid="{00000000-0005-0000-0000-0000D9060000}"/>
    <cellStyle name="計算 2 2 2 4 2 2 3" xfId="3171" xr:uid="{00000000-0005-0000-0000-0000DA060000}"/>
    <cellStyle name="計算 2 2 2 4 2 2 3 2" xfId="8719" xr:uid="{00000000-0005-0000-0000-0000DB060000}"/>
    <cellStyle name="計算 2 2 2 4 2 2 4" xfId="7687" xr:uid="{00000000-0005-0000-0000-0000DC060000}"/>
    <cellStyle name="計算 2 2 2 4 2 3" xfId="6678" xr:uid="{00000000-0005-0000-0000-0000DD060000}"/>
    <cellStyle name="計算 2 2 2 4 3" xfId="1522" xr:uid="{00000000-0005-0000-0000-0000DE060000}"/>
    <cellStyle name="計算 2 2 2 4 3 2" xfId="4486" xr:uid="{00000000-0005-0000-0000-0000DF060000}"/>
    <cellStyle name="計算 2 2 2 4 3 2 2" xfId="10004" xr:uid="{00000000-0005-0000-0000-0000E0060000}"/>
    <cellStyle name="計算 2 2 2 4 3 3" xfId="3172" xr:uid="{00000000-0005-0000-0000-0000E1060000}"/>
    <cellStyle name="計算 2 2 2 4 3 3 2" xfId="8720" xr:uid="{00000000-0005-0000-0000-0000E2060000}"/>
    <cellStyle name="計算 2 2 2 4 3 4" xfId="7224" xr:uid="{00000000-0005-0000-0000-0000E3060000}"/>
    <cellStyle name="計算 2 2 2 4 4" xfId="6213" xr:uid="{00000000-0005-0000-0000-0000E4060000}"/>
    <cellStyle name="計算 2 2 2 5" xfId="701" xr:uid="{00000000-0005-0000-0000-0000E5060000}"/>
    <cellStyle name="計算 2 2 2 5 2" xfId="1807" xr:uid="{00000000-0005-0000-0000-0000E6060000}"/>
    <cellStyle name="計算 2 2 2 5 2 2" xfId="4716" xr:uid="{00000000-0005-0000-0000-0000E7060000}"/>
    <cellStyle name="計算 2 2 2 5 2 2 2" xfId="10212" xr:uid="{00000000-0005-0000-0000-0000E8060000}"/>
    <cellStyle name="計算 2 2 2 5 2 3" xfId="3173" xr:uid="{00000000-0005-0000-0000-0000E9060000}"/>
    <cellStyle name="計算 2 2 2 5 2 3 2" xfId="8721" xr:uid="{00000000-0005-0000-0000-0000EA060000}"/>
    <cellStyle name="計算 2 2 2 5 2 4" xfId="7487" xr:uid="{00000000-0005-0000-0000-0000EB060000}"/>
    <cellStyle name="計算 2 2 2 5 3" xfId="6478" xr:uid="{00000000-0005-0000-0000-0000EC060000}"/>
    <cellStyle name="計算 2 2 2 6" xfId="1300" xr:uid="{00000000-0005-0000-0000-0000ED060000}"/>
    <cellStyle name="計算 2 2 2 6 2" xfId="4264" xr:uid="{00000000-0005-0000-0000-0000EE060000}"/>
    <cellStyle name="計算 2 2 2 6 2 2" xfId="9804" xr:uid="{00000000-0005-0000-0000-0000EF060000}"/>
    <cellStyle name="計算 2 2 2 6 3" xfId="3174" xr:uid="{00000000-0005-0000-0000-0000F0060000}"/>
    <cellStyle name="計算 2 2 2 6 3 2" xfId="8722" xr:uid="{00000000-0005-0000-0000-0000F1060000}"/>
    <cellStyle name="計算 2 2 2 6 4" xfId="7024" xr:uid="{00000000-0005-0000-0000-0000F2060000}"/>
    <cellStyle name="計算 2 2 2 7" xfId="6013" xr:uid="{00000000-0005-0000-0000-0000F3060000}"/>
    <cellStyle name="計算 2 2 3" xfId="213" xr:uid="{00000000-0005-0000-0000-0000F4060000}"/>
    <cellStyle name="計算 2 2 3 2" xfId="282" xr:uid="{00000000-0005-0000-0000-0000F5060000}"/>
    <cellStyle name="計算 2 2 3 2 2" xfId="504" xr:uid="{00000000-0005-0000-0000-0000F6060000}"/>
    <cellStyle name="計算 2 2 3 2 2 2" xfId="1013" xr:uid="{00000000-0005-0000-0000-0000F7060000}"/>
    <cellStyle name="計算 2 2 3 2 2 2 2" xfId="2119" xr:uid="{00000000-0005-0000-0000-0000F8060000}"/>
    <cellStyle name="計算 2 2 3 2 2 2 2 2" xfId="5028" xr:uid="{00000000-0005-0000-0000-0000F9060000}"/>
    <cellStyle name="計算 2 2 3 2 2 2 2 2 2" xfId="10496" xr:uid="{00000000-0005-0000-0000-0000FA060000}"/>
    <cellStyle name="計算 2 2 3 2 2 2 2 3" xfId="3175" xr:uid="{00000000-0005-0000-0000-0000FB060000}"/>
    <cellStyle name="計算 2 2 3 2 2 2 2 3 2" xfId="8723" xr:uid="{00000000-0005-0000-0000-0000FC060000}"/>
    <cellStyle name="計算 2 2 3 2 2 2 2 4" xfId="7771" xr:uid="{00000000-0005-0000-0000-0000FD060000}"/>
    <cellStyle name="計算 2 2 3 2 2 2 3" xfId="6762" xr:uid="{00000000-0005-0000-0000-0000FE060000}"/>
    <cellStyle name="計算 2 2 3 2 2 3" xfId="1612" xr:uid="{00000000-0005-0000-0000-0000FF060000}"/>
    <cellStyle name="計算 2 2 3 2 2 3 2" xfId="4576" xr:uid="{00000000-0005-0000-0000-000000070000}"/>
    <cellStyle name="計算 2 2 3 2 2 3 2 2" xfId="10088" xr:uid="{00000000-0005-0000-0000-000001070000}"/>
    <cellStyle name="計算 2 2 3 2 2 3 3" xfId="3176" xr:uid="{00000000-0005-0000-0000-000002070000}"/>
    <cellStyle name="計算 2 2 3 2 2 3 3 2" xfId="8724" xr:uid="{00000000-0005-0000-0000-000003070000}"/>
    <cellStyle name="計算 2 2 3 2 2 3 4" xfId="7308" xr:uid="{00000000-0005-0000-0000-000004070000}"/>
    <cellStyle name="計算 2 2 3 2 2 4" xfId="6297" xr:uid="{00000000-0005-0000-0000-000005070000}"/>
    <cellStyle name="計算 2 2 3 2 3" xfId="791" xr:uid="{00000000-0005-0000-0000-000006070000}"/>
    <cellStyle name="計算 2 2 3 2 3 2" xfId="1897" xr:uid="{00000000-0005-0000-0000-000007070000}"/>
    <cellStyle name="計算 2 2 3 2 3 2 2" xfId="4806" xr:uid="{00000000-0005-0000-0000-000008070000}"/>
    <cellStyle name="計算 2 2 3 2 3 2 2 2" xfId="10296" xr:uid="{00000000-0005-0000-0000-000009070000}"/>
    <cellStyle name="計算 2 2 3 2 3 2 3" xfId="3177" xr:uid="{00000000-0005-0000-0000-00000A070000}"/>
    <cellStyle name="計算 2 2 3 2 3 2 3 2" xfId="8725" xr:uid="{00000000-0005-0000-0000-00000B070000}"/>
    <cellStyle name="計算 2 2 3 2 3 2 4" xfId="7571" xr:uid="{00000000-0005-0000-0000-00000C070000}"/>
    <cellStyle name="計算 2 2 3 2 3 3" xfId="6562" xr:uid="{00000000-0005-0000-0000-00000D070000}"/>
    <cellStyle name="計算 2 2 3 2 4" xfId="1390" xr:uid="{00000000-0005-0000-0000-00000E070000}"/>
    <cellStyle name="計算 2 2 3 2 4 2" xfId="4354" xr:uid="{00000000-0005-0000-0000-00000F070000}"/>
    <cellStyle name="計算 2 2 3 2 4 2 2" xfId="9888" xr:uid="{00000000-0005-0000-0000-000010070000}"/>
    <cellStyle name="計算 2 2 3 2 4 3" xfId="3178" xr:uid="{00000000-0005-0000-0000-000011070000}"/>
    <cellStyle name="計算 2 2 3 2 4 3 2" xfId="8726" xr:uid="{00000000-0005-0000-0000-000012070000}"/>
    <cellStyle name="計算 2 2 3 2 4 4" xfId="7108" xr:uid="{00000000-0005-0000-0000-000013070000}"/>
    <cellStyle name="計算 2 2 3 2 5" xfId="6097" xr:uid="{00000000-0005-0000-0000-000014070000}"/>
    <cellStyle name="計算 2 2 3 3" xfId="349" xr:uid="{00000000-0005-0000-0000-000015070000}"/>
    <cellStyle name="計算 2 2 3 3 2" xfId="571" xr:uid="{00000000-0005-0000-0000-000016070000}"/>
    <cellStyle name="計算 2 2 3 3 2 2" xfId="1080" xr:uid="{00000000-0005-0000-0000-000017070000}"/>
    <cellStyle name="計算 2 2 3 3 2 2 2" xfId="2186" xr:uid="{00000000-0005-0000-0000-000018070000}"/>
    <cellStyle name="計算 2 2 3 3 2 2 2 2" xfId="5095" xr:uid="{00000000-0005-0000-0000-000019070000}"/>
    <cellStyle name="計算 2 2 3 3 2 2 2 2 2" xfId="10555" xr:uid="{00000000-0005-0000-0000-00001A070000}"/>
    <cellStyle name="計算 2 2 3 3 2 2 2 3" xfId="3179" xr:uid="{00000000-0005-0000-0000-00001B070000}"/>
    <cellStyle name="計算 2 2 3 3 2 2 2 3 2" xfId="8727" xr:uid="{00000000-0005-0000-0000-00001C070000}"/>
    <cellStyle name="計算 2 2 3 3 2 2 2 4" xfId="7830" xr:uid="{00000000-0005-0000-0000-00001D070000}"/>
    <cellStyle name="計算 2 2 3 3 2 2 3" xfId="6821" xr:uid="{00000000-0005-0000-0000-00001E070000}"/>
    <cellStyle name="計算 2 2 3 3 2 3" xfId="1679" xr:uid="{00000000-0005-0000-0000-00001F070000}"/>
    <cellStyle name="計算 2 2 3 3 2 3 2" xfId="4643" xr:uid="{00000000-0005-0000-0000-000020070000}"/>
    <cellStyle name="計算 2 2 3 3 2 3 2 2" xfId="10147" xr:uid="{00000000-0005-0000-0000-000021070000}"/>
    <cellStyle name="計算 2 2 3 3 2 3 3" xfId="3180" xr:uid="{00000000-0005-0000-0000-000022070000}"/>
    <cellStyle name="計算 2 2 3 3 2 3 3 2" xfId="8728" xr:uid="{00000000-0005-0000-0000-000023070000}"/>
    <cellStyle name="計算 2 2 3 3 2 3 4" xfId="7367" xr:uid="{00000000-0005-0000-0000-000024070000}"/>
    <cellStyle name="計算 2 2 3 3 2 4" xfId="6356" xr:uid="{00000000-0005-0000-0000-000025070000}"/>
    <cellStyle name="計算 2 2 3 3 3" xfId="858" xr:uid="{00000000-0005-0000-0000-000026070000}"/>
    <cellStyle name="計算 2 2 3 3 3 2" xfId="1964" xr:uid="{00000000-0005-0000-0000-000027070000}"/>
    <cellStyle name="計算 2 2 3 3 3 2 2" xfId="4873" xr:uid="{00000000-0005-0000-0000-000028070000}"/>
    <cellStyle name="計算 2 2 3 3 3 2 2 2" xfId="10355" xr:uid="{00000000-0005-0000-0000-000029070000}"/>
    <cellStyle name="計算 2 2 3 3 3 2 3" xfId="3181" xr:uid="{00000000-0005-0000-0000-00002A070000}"/>
    <cellStyle name="計算 2 2 3 3 3 2 3 2" xfId="8729" xr:uid="{00000000-0005-0000-0000-00002B070000}"/>
    <cellStyle name="計算 2 2 3 3 3 2 4" xfId="7630" xr:uid="{00000000-0005-0000-0000-00002C070000}"/>
    <cellStyle name="計算 2 2 3 3 3 3" xfId="6621" xr:uid="{00000000-0005-0000-0000-00002D070000}"/>
    <cellStyle name="計算 2 2 3 3 4" xfId="1457" xr:uid="{00000000-0005-0000-0000-00002E070000}"/>
    <cellStyle name="計算 2 2 3 3 4 2" xfId="4421" xr:uid="{00000000-0005-0000-0000-00002F070000}"/>
    <cellStyle name="計算 2 2 3 3 4 2 2" xfId="9947" xr:uid="{00000000-0005-0000-0000-000030070000}"/>
    <cellStyle name="計算 2 2 3 3 4 3" xfId="3182" xr:uid="{00000000-0005-0000-0000-000031070000}"/>
    <cellStyle name="計算 2 2 3 3 4 3 2" xfId="8730" xr:uid="{00000000-0005-0000-0000-000032070000}"/>
    <cellStyle name="計算 2 2 3 3 4 4" xfId="7167" xr:uid="{00000000-0005-0000-0000-000033070000}"/>
    <cellStyle name="計算 2 2 3 3 5" xfId="6156" xr:uid="{00000000-0005-0000-0000-000034070000}"/>
    <cellStyle name="計算 2 2 3 4" xfId="435" xr:uid="{00000000-0005-0000-0000-000035070000}"/>
    <cellStyle name="計算 2 2 3 4 2" xfId="944" xr:uid="{00000000-0005-0000-0000-000036070000}"/>
    <cellStyle name="計算 2 2 3 4 2 2" xfId="2050" xr:uid="{00000000-0005-0000-0000-000037070000}"/>
    <cellStyle name="計算 2 2 3 4 2 2 2" xfId="4959" xr:uid="{00000000-0005-0000-0000-000038070000}"/>
    <cellStyle name="計算 2 2 3 4 2 2 2 2" xfId="10430" xr:uid="{00000000-0005-0000-0000-000039070000}"/>
    <cellStyle name="計算 2 2 3 4 2 2 3" xfId="3183" xr:uid="{00000000-0005-0000-0000-00003A070000}"/>
    <cellStyle name="計算 2 2 3 4 2 2 3 2" xfId="8731" xr:uid="{00000000-0005-0000-0000-00003B070000}"/>
    <cellStyle name="計算 2 2 3 4 2 2 4" xfId="7705" xr:uid="{00000000-0005-0000-0000-00003C070000}"/>
    <cellStyle name="計算 2 2 3 4 2 3" xfId="6696" xr:uid="{00000000-0005-0000-0000-00003D070000}"/>
    <cellStyle name="計算 2 2 3 4 3" xfId="1543" xr:uid="{00000000-0005-0000-0000-00003E070000}"/>
    <cellStyle name="計算 2 2 3 4 3 2" xfId="4507" xr:uid="{00000000-0005-0000-0000-00003F070000}"/>
    <cellStyle name="計算 2 2 3 4 3 2 2" xfId="10022" xr:uid="{00000000-0005-0000-0000-000040070000}"/>
    <cellStyle name="計算 2 2 3 4 3 3" xfId="3184" xr:uid="{00000000-0005-0000-0000-000041070000}"/>
    <cellStyle name="計算 2 2 3 4 3 3 2" xfId="8732" xr:uid="{00000000-0005-0000-0000-000042070000}"/>
    <cellStyle name="計算 2 2 3 4 3 4" xfId="7242" xr:uid="{00000000-0005-0000-0000-000043070000}"/>
    <cellStyle name="計算 2 2 3 4 4" xfId="6231" xr:uid="{00000000-0005-0000-0000-000044070000}"/>
    <cellStyle name="計算 2 2 3 5" xfId="722" xr:uid="{00000000-0005-0000-0000-000045070000}"/>
    <cellStyle name="計算 2 2 3 5 2" xfId="1828" xr:uid="{00000000-0005-0000-0000-000046070000}"/>
    <cellStyle name="計算 2 2 3 5 2 2" xfId="4737" xr:uid="{00000000-0005-0000-0000-000047070000}"/>
    <cellStyle name="計算 2 2 3 5 2 2 2" xfId="10230" xr:uid="{00000000-0005-0000-0000-000048070000}"/>
    <cellStyle name="計算 2 2 3 5 2 3" xfId="3185" xr:uid="{00000000-0005-0000-0000-000049070000}"/>
    <cellStyle name="計算 2 2 3 5 2 3 2" xfId="8733" xr:uid="{00000000-0005-0000-0000-00004A070000}"/>
    <cellStyle name="計算 2 2 3 5 2 4" xfId="7505" xr:uid="{00000000-0005-0000-0000-00004B070000}"/>
    <cellStyle name="計算 2 2 3 5 3" xfId="6496" xr:uid="{00000000-0005-0000-0000-00004C070000}"/>
    <cellStyle name="計算 2 2 3 6" xfId="1321" xr:uid="{00000000-0005-0000-0000-00004D070000}"/>
    <cellStyle name="計算 2 2 3 6 2" xfId="4285" xr:uid="{00000000-0005-0000-0000-00004E070000}"/>
    <cellStyle name="計算 2 2 3 6 2 2" xfId="9822" xr:uid="{00000000-0005-0000-0000-00004F070000}"/>
    <cellStyle name="計算 2 2 3 6 3" xfId="3186" xr:uid="{00000000-0005-0000-0000-000050070000}"/>
    <cellStyle name="計算 2 2 3 6 3 2" xfId="8734" xr:uid="{00000000-0005-0000-0000-000051070000}"/>
    <cellStyle name="計算 2 2 3 6 4" xfId="7042" xr:uid="{00000000-0005-0000-0000-000052070000}"/>
    <cellStyle name="計算 2 2 3 7" xfId="6031" xr:uid="{00000000-0005-0000-0000-000053070000}"/>
    <cellStyle name="計算 2 2 4" xfId="239" xr:uid="{00000000-0005-0000-0000-000054070000}"/>
    <cellStyle name="計算 2 2 4 2" xfId="461" xr:uid="{00000000-0005-0000-0000-000055070000}"/>
    <cellStyle name="計算 2 2 4 2 2" xfId="970" xr:uid="{00000000-0005-0000-0000-000056070000}"/>
    <cellStyle name="計算 2 2 4 2 2 2" xfId="2076" xr:uid="{00000000-0005-0000-0000-000057070000}"/>
    <cellStyle name="計算 2 2 4 2 2 2 2" xfId="4985" xr:uid="{00000000-0005-0000-0000-000058070000}"/>
    <cellStyle name="計算 2 2 4 2 2 2 2 2" xfId="10455" xr:uid="{00000000-0005-0000-0000-000059070000}"/>
    <cellStyle name="計算 2 2 4 2 2 2 3" xfId="3187" xr:uid="{00000000-0005-0000-0000-00005A070000}"/>
    <cellStyle name="計算 2 2 4 2 2 2 3 2" xfId="8735" xr:uid="{00000000-0005-0000-0000-00005B070000}"/>
    <cellStyle name="計算 2 2 4 2 2 2 4" xfId="7730" xr:uid="{00000000-0005-0000-0000-00005C070000}"/>
    <cellStyle name="計算 2 2 4 2 2 3" xfId="6721" xr:uid="{00000000-0005-0000-0000-00005D070000}"/>
    <cellStyle name="計算 2 2 4 2 3" xfId="1569" xr:uid="{00000000-0005-0000-0000-00005E070000}"/>
    <cellStyle name="計算 2 2 4 2 3 2" xfId="4533" xr:uid="{00000000-0005-0000-0000-00005F070000}"/>
    <cellStyle name="計算 2 2 4 2 3 2 2" xfId="10047" xr:uid="{00000000-0005-0000-0000-000060070000}"/>
    <cellStyle name="計算 2 2 4 2 3 3" xfId="3188" xr:uid="{00000000-0005-0000-0000-000061070000}"/>
    <cellStyle name="計算 2 2 4 2 3 3 2" xfId="8736" xr:uid="{00000000-0005-0000-0000-000062070000}"/>
    <cellStyle name="計算 2 2 4 2 3 4" xfId="7267" xr:uid="{00000000-0005-0000-0000-000063070000}"/>
    <cellStyle name="計算 2 2 4 2 4" xfId="6256" xr:uid="{00000000-0005-0000-0000-000064070000}"/>
    <cellStyle name="計算 2 2 4 3" xfId="748" xr:uid="{00000000-0005-0000-0000-000065070000}"/>
    <cellStyle name="計算 2 2 4 3 2" xfId="1854" xr:uid="{00000000-0005-0000-0000-000066070000}"/>
    <cellStyle name="計算 2 2 4 3 2 2" xfId="4763" xr:uid="{00000000-0005-0000-0000-000067070000}"/>
    <cellStyle name="計算 2 2 4 3 2 2 2" xfId="10255" xr:uid="{00000000-0005-0000-0000-000068070000}"/>
    <cellStyle name="計算 2 2 4 3 2 3" xfId="3189" xr:uid="{00000000-0005-0000-0000-000069070000}"/>
    <cellStyle name="計算 2 2 4 3 2 3 2" xfId="8737" xr:uid="{00000000-0005-0000-0000-00006A070000}"/>
    <cellStyle name="計算 2 2 4 3 2 4" xfId="7530" xr:uid="{00000000-0005-0000-0000-00006B070000}"/>
    <cellStyle name="計算 2 2 4 3 3" xfId="6521" xr:uid="{00000000-0005-0000-0000-00006C070000}"/>
    <cellStyle name="計算 2 2 4 4" xfId="1347" xr:uid="{00000000-0005-0000-0000-00006D070000}"/>
    <cellStyle name="計算 2 2 4 4 2" xfId="4311" xr:uid="{00000000-0005-0000-0000-00006E070000}"/>
    <cellStyle name="計算 2 2 4 4 2 2" xfId="9847" xr:uid="{00000000-0005-0000-0000-00006F070000}"/>
    <cellStyle name="計算 2 2 4 4 3" xfId="3190" xr:uid="{00000000-0005-0000-0000-000070070000}"/>
    <cellStyle name="計算 2 2 4 4 3 2" xfId="8738" xr:uid="{00000000-0005-0000-0000-000071070000}"/>
    <cellStyle name="計算 2 2 4 4 4" xfId="7067" xr:uid="{00000000-0005-0000-0000-000072070000}"/>
    <cellStyle name="計算 2 2 4 5" xfId="6056" xr:uid="{00000000-0005-0000-0000-000073070000}"/>
    <cellStyle name="計算 2 2 5" xfId="302" xr:uid="{00000000-0005-0000-0000-000074070000}"/>
    <cellStyle name="計算 2 2 5 2" xfId="524" xr:uid="{00000000-0005-0000-0000-000075070000}"/>
    <cellStyle name="計算 2 2 5 2 2" xfId="1033" xr:uid="{00000000-0005-0000-0000-000076070000}"/>
    <cellStyle name="計算 2 2 5 2 2 2" xfId="2139" xr:uid="{00000000-0005-0000-0000-000077070000}"/>
    <cellStyle name="計算 2 2 5 2 2 2 2" xfId="5048" xr:uid="{00000000-0005-0000-0000-000078070000}"/>
    <cellStyle name="計算 2 2 5 2 2 2 2 2" xfId="10514" xr:uid="{00000000-0005-0000-0000-000079070000}"/>
    <cellStyle name="計算 2 2 5 2 2 2 3" xfId="3191" xr:uid="{00000000-0005-0000-0000-00007A070000}"/>
    <cellStyle name="計算 2 2 5 2 2 2 3 2" xfId="8739" xr:uid="{00000000-0005-0000-0000-00007B070000}"/>
    <cellStyle name="計算 2 2 5 2 2 2 4" xfId="7789" xr:uid="{00000000-0005-0000-0000-00007C070000}"/>
    <cellStyle name="計算 2 2 5 2 2 3" xfId="6780" xr:uid="{00000000-0005-0000-0000-00007D070000}"/>
    <cellStyle name="計算 2 2 5 2 3" xfId="1632" xr:uid="{00000000-0005-0000-0000-00007E070000}"/>
    <cellStyle name="計算 2 2 5 2 3 2" xfId="4596" xr:uid="{00000000-0005-0000-0000-00007F070000}"/>
    <cellStyle name="計算 2 2 5 2 3 2 2" xfId="10106" xr:uid="{00000000-0005-0000-0000-000080070000}"/>
    <cellStyle name="計算 2 2 5 2 3 3" xfId="3192" xr:uid="{00000000-0005-0000-0000-000081070000}"/>
    <cellStyle name="計算 2 2 5 2 3 3 2" xfId="8740" xr:uid="{00000000-0005-0000-0000-000082070000}"/>
    <cellStyle name="計算 2 2 5 2 3 4" xfId="7326" xr:uid="{00000000-0005-0000-0000-000083070000}"/>
    <cellStyle name="計算 2 2 5 2 4" xfId="6315" xr:uid="{00000000-0005-0000-0000-000084070000}"/>
    <cellStyle name="計算 2 2 5 3" xfId="811" xr:uid="{00000000-0005-0000-0000-000085070000}"/>
    <cellStyle name="計算 2 2 5 3 2" xfId="1917" xr:uid="{00000000-0005-0000-0000-000086070000}"/>
    <cellStyle name="計算 2 2 5 3 2 2" xfId="4826" xr:uid="{00000000-0005-0000-0000-000087070000}"/>
    <cellStyle name="計算 2 2 5 3 2 2 2" xfId="10314" xr:uid="{00000000-0005-0000-0000-000088070000}"/>
    <cellStyle name="計算 2 2 5 3 2 3" xfId="3193" xr:uid="{00000000-0005-0000-0000-000089070000}"/>
    <cellStyle name="計算 2 2 5 3 2 3 2" xfId="8741" xr:uid="{00000000-0005-0000-0000-00008A070000}"/>
    <cellStyle name="計算 2 2 5 3 2 4" xfId="7589" xr:uid="{00000000-0005-0000-0000-00008B070000}"/>
    <cellStyle name="計算 2 2 5 3 3" xfId="6580" xr:uid="{00000000-0005-0000-0000-00008C070000}"/>
    <cellStyle name="計算 2 2 5 4" xfId="1410" xr:uid="{00000000-0005-0000-0000-00008D070000}"/>
    <cellStyle name="計算 2 2 5 4 2" xfId="4374" xr:uid="{00000000-0005-0000-0000-00008E070000}"/>
    <cellStyle name="計算 2 2 5 4 2 2" xfId="9906" xr:uid="{00000000-0005-0000-0000-00008F070000}"/>
    <cellStyle name="計算 2 2 5 4 3" xfId="3194" xr:uid="{00000000-0005-0000-0000-000090070000}"/>
    <cellStyle name="計算 2 2 5 4 3 2" xfId="8742" xr:uid="{00000000-0005-0000-0000-000091070000}"/>
    <cellStyle name="計算 2 2 5 4 4" xfId="7126" xr:uid="{00000000-0005-0000-0000-000092070000}"/>
    <cellStyle name="計算 2 2 5 5" xfId="6115" xr:uid="{00000000-0005-0000-0000-000093070000}"/>
    <cellStyle name="計算 2 2 6" xfId="385" xr:uid="{00000000-0005-0000-0000-000094070000}"/>
    <cellStyle name="計算 2 2 6 2" xfId="894" xr:uid="{00000000-0005-0000-0000-000095070000}"/>
    <cellStyle name="計算 2 2 6 2 2" xfId="2000" xr:uid="{00000000-0005-0000-0000-000096070000}"/>
    <cellStyle name="計算 2 2 6 2 2 2" xfId="4909" xr:uid="{00000000-0005-0000-0000-000097070000}"/>
    <cellStyle name="計算 2 2 6 2 2 2 2" xfId="10386" xr:uid="{00000000-0005-0000-0000-000098070000}"/>
    <cellStyle name="計算 2 2 6 2 2 3" xfId="3195" xr:uid="{00000000-0005-0000-0000-000099070000}"/>
    <cellStyle name="計算 2 2 6 2 2 3 2" xfId="8743" xr:uid="{00000000-0005-0000-0000-00009A070000}"/>
    <cellStyle name="計算 2 2 6 2 2 4" xfId="7661" xr:uid="{00000000-0005-0000-0000-00009B070000}"/>
    <cellStyle name="計算 2 2 6 2 3" xfId="6652" xr:uid="{00000000-0005-0000-0000-00009C070000}"/>
    <cellStyle name="計算 2 2 6 3" xfId="1493" xr:uid="{00000000-0005-0000-0000-00009D070000}"/>
    <cellStyle name="計算 2 2 6 3 2" xfId="4457" xr:uid="{00000000-0005-0000-0000-00009E070000}"/>
    <cellStyle name="計算 2 2 6 3 2 2" xfId="9978" xr:uid="{00000000-0005-0000-0000-00009F070000}"/>
    <cellStyle name="計算 2 2 6 3 3" xfId="3196" xr:uid="{00000000-0005-0000-0000-0000A0070000}"/>
    <cellStyle name="計算 2 2 6 3 3 2" xfId="8744" xr:uid="{00000000-0005-0000-0000-0000A1070000}"/>
    <cellStyle name="計算 2 2 6 3 4" xfId="7198" xr:uid="{00000000-0005-0000-0000-0000A2070000}"/>
    <cellStyle name="計算 2 2 6 4" xfId="6187" xr:uid="{00000000-0005-0000-0000-0000A3070000}"/>
    <cellStyle name="計算 2 2 7" xfId="670" xr:uid="{00000000-0005-0000-0000-0000A4070000}"/>
    <cellStyle name="計算 2 2 7 2" xfId="1776" xr:uid="{00000000-0005-0000-0000-0000A5070000}"/>
    <cellStyle name="計算 2 2 7 2 2" xfId="4685" xr:uid="{00000000-0005-0000-0000-0000A6070000}"/>
    <cellStyle name="計算 2 2 7 2 2 2" xfId="10184" xr:uid="{00000000-0005-0000-0000-0000A7070000}"/>
    <cellStyle name="計算 2 2 7 2 3" xfId="3197" xr:uid="{00000000-0005-0000-0000-0000A8070000}"/>
    <cellStyle name="計算 2 2 7 2 3 2" xfId="8745" xr:uid="{00000000-0005-0000-0000-0000A9070000}"/>
    <cellStyle name="計算 2 2 7 2 4" xfId="7459" xr:uid="{00000000-0005-0000-0000-0000AA070000}"/>
    <cellStyle name="計算 2 2 7 3" xfId="6450" xr:uid="{00000000-0005-0000-0000-0000AB070000}"/>
    <cellStyle name="計算 2 2 8" xfId="1269" xr:uid="{00000000-0005-0000-0000-0000AC070000}"/>
    <cellStyle name="計算 2 2 8 2" xfId="4233" xr:uid="{00000000-0005-0000-0000-0000AD070000}"/>
    <cellStyle name="計算 2 2 8 2 2" xfId="9776" xr:uid="{00000000-0005-0000-0000-0000AE070000}"/>
    <cellStyle name="計算 2 2 8 3" xfId="3198" xr:uid="{00000000-0005-0000-0000-0000AF070000}"/>
    <cellStyle name="計算 2 2 8 3 2" xfId="8746" xr:uid="{00000000-0005-0000-0000-0000B0070000}"/>
    <cellStyle name="計算 2 2 8 4" xfId="6996" xr:uid="{00000000-0005-0000-0000-0000B1070000}"/>
    <cellStyle name="計算 2 2 9" xfId="5985" xr:uid="{00000000-0005-0000-0000-0000B2070000}"/>
    <cellStyle name="計算 2 3" xfId="150" xr:uid="{00000000-0005-0000-0000-0000B3070000}"/>
    <cellStyle name="計算 2 3 2" xfId="185" xr:uid="{00000000-0005-0000-0000-0000B4070000}"/>
    <cellStyle name="計算 2 3 2 2" xfId="256" xr:uid="{00000000-0005-0000-0000-0000B5070000}"/>
    <cellStyle name="計算 2 3 2 2 2" xfId="478" xr:uid="{00000000-0005-0000-0000-0000B6070000}"/>
    <cellStyle name="計算 2 3 2 2 2 2" xfId="987" xr:uid="{00000000-0005-0000-0000-0000B7070000}"/>
    <cellStyle name="計算 2 3 2 2 2 2 2" xfId="2093" xr:uid="{00000000-0005-0000-0000-0000B8070000}"/>
    <cellStyle name="計算 2 3 2 2 2 2 2 2" xfId="5002" xr:uid="{00000000-0005-0000-0000-0000B9070000}"/>
    <cellStyle name="計算 2 3 2 2 2 2 2 2 2" xfId="10472" xr:uid="{00000000-0005-0000-0000-0000BA070000}"/>
    <cellStyle name="計算 2 3 2 2 2 2 2 3" xfId="3199" xr:uid="{00000000-0005-0000-0000-0000BB070000}"/>
    <cellStyle name="計算 2 3 2 2 2 2 2 3 2" xfId="8747" xr:uid="{00000000-0005-0000-0000-0000BC070000}"/>
    <cellStyle name="計算 2 3 2 2 2 2 2 4" xfId="7747" xr:uid="{00000000-0005-0000-0000-0000BD070000}"/>
    <cellStyle name="計算 2 3 2 2 2 2 3" xfId="6738" xr:uid="{00000000-0005-0000-0000-0000BE070000}"/>
    <cellStyle name="計算 2 3 2 2 2 3" xfId="1586" xr:uid="{00000000-0005-0000-0000-0000BF070000}"/>
    <cellStyle name="計算 2 3 2 2 2 3 2" xfId="4550" xr:uid="{00000000-0005-0000-0000-0000C0070000}"/>
    <cellStyle name="計算 2 3 2 2 2 3 2 2" xfId="10064" xr:uid="{00000000-0005-0000-0000-0000C1070000}"/>
    <cellStyle name="計算 2 3 2 2 2 3 3" xfId="3200" xr:uid="{00000000-0005-0000-0000-0000C2070000}"/>
    <cellStyle name="計算 2 3 2 2 2 3 3 2" xfId="8748" xr:uid="{00000000-0005-0000-0000-0000C3070000}"/>
    <cellStyle name="計算 2 3 2 2 2 3 4" xfId="7284" xr:uid="{00000000-0005-0000-0000-0000C4070000}"/>
    <cellStyle name="計算 2 3 2 2 2 4" xfId="6273" xr:uid="{00000000-0005-0000-0000-0000C5070000}"/>
    <cellStyle name="計算 2 3 2 2 3" xfId="765" xr:uid="{00000000-0005-0000-0000-0000C6070000}"/>
    <cellStyle name="計算 2 3 2 2 3 2" xfId="1871" xr:uid="{00000000-0005-0000-0000-0000C7070000}"/>
    <cellStyle name="計算 2 3 2 2 3 2 2" xfId="4780" xr:uid="{00000000-0005-0000-0000-0000C8070000}"/>
    <cellStyle name="計算 2 3 2 2 3 2 2 2" xfId="10272" xr:uid="{00000000-0005-0000-0000-0000C9070000}"/>
    <cellStyle name="計算 2 3 2 2 3 2 3" xfId="3201" xr:uid="{00000000-0005-0000-0000-0000CA070000}"/>
    <cellStyle name="計算 2 3 2 2 3 2 3 2" xfId="8749" xr:uid="{00000000-0005-0000-0000-0000CB070000}"/>
    <cellStyle name="計算 2 3 2 2 3 2 4" xfId="7547" xr:uid="{00000000-0005-0000-0000-0000CC070000}"/>
    <cellStyle name="計算 2 3 2 2 3 3" xfId="6538" xr:uid="{00000000-0005-0000-0000-0000CD070000}"/>
    <cellStyle name="計算 2 3 2 2 4" xfId="1364" xr:uid="{00000000-0005-0000-0000-0000CE070000}"/>
    <cellStyle name="計算 2 3 2 2 4 2" xfId="4328" xr:uid="{00000000-0005-0000-0000-0000CF070000}"/>
    <cellStyle name="計算 2 3 2 2 4 2 2" xfId="9864" xr:uid="{00000000-0005-0000-0000-0000D0070000}"/>
    <cellStyle name="計算 2 3 2 2 4 3" xfId="3202" xr:uid="{00000000-0005-0000-0000-0000D1070000}"/>
    <cellStyle name="計算 2 3 2 2 4 3 2" xfId="8750" xr:uid="{00000000-0005-0000-0000-0000D2070000}"/>
    <cellStyle name="計算 2 3 2 2 4 4" xfId="7084" xr:uid="{00000000-0005-0000-0000-0000D3070000}"/>
    <cellStyle name="計算 2 3 2 2 5" xfId="6073" xr:uid="{00000000-0005-0000-0000-0000D4070000}"/>
    <cellStyle name="計算 2 3 2 3" xfId="321" xr:uid="{00000000-0005-0000-0000-0000D5070000}"/>
    <cellStyle name="計算 2 3 2 3 2" xfId="543" xr:uid="{00000000-0005-0000-0000-0000D6070000}"/>
    <cellStyle name="計算 2 3 2 3 2 2" xfId="1052" xr:uid="{00000000-0005-0000-0000-0000D7070000}"/>
    <cellStyle name="計算 2 3 2 3 2 2 2" xfId="2158" xr:uid="{00000000-0005-0000-0000-0000D8070000}"/>
    <cellStyle name="計算 2 3 2 3 2 2 2 2" xfId="5067" xr:uid="{00000000-0005-0000-0000-0000D9070000}"/>
    <cellStyle name="計算 2 3 2 3 2 2 2 2 2" xfId="10531" xr:uid="{00000000-0005-0000-0000-0000DA070000}"/>
    <cellStyle name="計算 2 3 2 3 2 2 2 3" xfId="3203" xr:uid="{00000000-0005-0000-0000-0000DB070000}"/>
    <cellStyle name="計算 2 3 2 3 2 2 2 3 2" xfId="8751" xr:uid="{00000000-0005-0000-0000-0000DC070000}"/>
    <cellStyle name="計算 2 3 2 3 2 2 2 4" xfId="7806" xr:uid="{00000000-0005-0000-0000-0000DD070000}"/>
    <cellStyle name="計算 2 3 2 3 2 2 3" xfId="6797" xr:uid="{00000000-0005-0000-0000-0000DE070000}"/>
    <cellStyle name="計算 2 3 2 3 2 3" xfId="1651" xr:uid="{00000000-0005-0000-0000-0000DF070000}"/>
    <cellStyle name="計算 2 3 2 3 2 3 2" xfId="4615" xr:uid="{00000000-0005-0000-0000-0000E0070000}"/>
    <cellStyle name="計算 2 3 2 3 2 3 2 2" xfId="10123" xr:uid="{00000000-0005-0000-0000-0000E1070000}"/>
    <cellStyle name="計算 2 3 2 3 2 3 3" xfId="3204" xr:uid="{00000000-0005-0000-0000-0000E2070000}"/>
    <cellStyle name="計算 2 3 2 3 2 3 3 2" xfId="8752" xr:uid="{00000000-0005-0000-0000-0000E3070000}"/>
    <cellStyle name="計算 2 3 2 3 2 3 4" xfId="7343" xr:uid="{00000000-0005-0000-0000-0000E4070000}"/>
    <cellStyle name="計算 2 3 2 3 2 4" xfId="6332" xr:uid="{00000000-0005-0000-0000-0000E5070000}"/>
    <cellStyle name="計算 2 3 2 3 3" xfId="830" xr:uid="{00000000-0005-0000-0000-0000E6070000}"/>
    <cellStyle name="計算 2 3 2 3 3 2" xfId="1936" xr:uid="{00000000-0005-0000-0000-0000E7070000}"/>
    <cellStyle name="計算 2 3 2 3 3 2 2" xfId="4845" xr:uid="{00000000-0005-0000-0000-0000E8070000}"/>
    <cellStyle name="計算 2 3 2 3 3 2 2 2" xfId="10331" xr:uid="{00000000-0005-0000-0000-0000E9070000}"/>
    <cellStyle name="計算 2 3 2 3 3 2 3" xfId="3205" xr:uid="{00000000-0005-0000-0000-0000EA070000}"/>
    <cellStyle name="計算 2 3 2 3 3 2 3 2" xfId="8753" xr:uid="{00000000-0005-0000-0000-0000EB070000}"/>
    <cellStyle name="計算 2 3 2 3 3 2 4" xfId="7606" xr:uid="{00000000-0005-0000-0000-0000EC070000}"/>
    <cellStyle name="計算 2 3 2 3 3 3" xfId="6597" xr:uid="{00000000-0005-0000-0000-0000ED070000}"/>
    <cellStyle name="計算 2 3 2 3 4" xfId="1429" xr:uid="{00000000-0005-0000-0000-0000EE070000}"/>
    <cellStyle name="計算 2 3 2 3 4 2" xfId="4393" xr:uid="{00000000-0005-0000-0000-0000EF070000}"/>
    <cellStyle name="計算 2 3 2 3 4 2 2" xfId="9923" xr:uid="{00000000-0005-0000-0000-0000F0070000}"/>
    <cellStyle name="計算 2 3 2 3 4 3" xfId="3206" xr:uid="{00000000-0005-0000-0000-0000F1070000}"/>
    <cellStyle name="計算 2 3 2 3 4 3 2" xfId="8754" xr:uid="{00000000-0005-0000-0000-0000F2070000}"/>
    <cellStyle name="計算 2 3 2 3 4 4" xfId="7143" xr:uid="{00000000-0005-0000-0000-0000F3070000}"/>
    <cellStyle name="計算 2 3 2 3 5" xfId="6132" xr:uid="{00000000-0005-0000-0000-0000F4070000}"/>
    <cellStyle name="計算 2 3 2 4" xfId="407" xr:uid="{00000000-0005-0000-0000-0000F5070000}"/>
    <cellStyle name="計算 2 3 2 4 2" xfId="916" xr:uid="{00000000-0005-0000-0000-0000F6070000}"/>
    <cellStyle name="計算 2 3 2 4 2 2" xfId="2022" xr:uid="{00000000-0005-0000-0000-0000F7070000}"/>
    <cellStyle name="計算 2 3 2 4 2 2 2" xfId="4931" xr:uid="{00000000-0005-0000-0000-0000F8070000}"/>
    <cellStyle name="計算 2 3 2 4 2 2 2 2" xfId="10406" xr:uid="{00000000-0005-0000-0000-0000F9070000}"/>
    <cellStyle name="計算 2 3 2 4 2 2 3" xfId="3207" xr:uid="{00000000-0005-0000-0000-0000FA070000}"/>
    <cellStyle name="計算 2 3 2 4 2 2 3 2" xfId="8755" xr:uid="{00000000-0005-0000-0000-0000FB070000}"/>
    <cellStyle name="計算 2 3 2 4 2 2 4" xfId="7681" xr:uid="{00000000-0005-0000-0000-0000FC070000}"/>
    <cellStyle name="計算 2 3 2 4 2 3" xfId="6672" xr:uid="{00000000-0005-0000-0000-0000FD070000}"/>
    <cellStyle name="計算 2 3 2 4 3" xfId="1515" xr:uid="{00000000-0005-0000-0000-0000FE070000}"/>
    <cellStyle name="計算 2 3 2 4 3 2" xfId="4479" xr:uid="{00000000-0005-0000-0000-0000FF070000}"/>
    <cellStyle name="計算 2 3 2 4 3 2 2" xfId="9998" xr:uid="{00000000-0005-0000-0000-000000080000}"/>
    <cellStyle name="計算 2 3 2 4 3 3" xfId="3208" xr:uid="{00000000-0005-0000-0000-000001080000}"/>
    <cellStyle name="計算 2 3 2 4 3 3 2" xfId="8756" xr:uid="{00000000-0005-0000-0000-000002080000}"/>
    <cellStyle name="計算 2 3 2 4 3 4" xfId="7218" xr:uid="{00000000-0005-0000-0000-000003080000}"/>
    <cellStyle name="計算 2 3 2 4 4" xfId="6207" xr:uid="{00000000-0005-0000-0000-000004080000}"/>
    <cellStyle name="計算 2 3 2 5" xfId="694" xr:uid="{00000000-0005-0000-0000-000005080000}"/>
    <cellStyle name="計算 2 3 2 5 2" xfId="1800" xr:uid="{00000000-0005-0000-0000-000006080000}"/>
    <cellStyle name="計算 2 3 2 5 2 2" xfId="4709" xr:uid="{00000000-0005-0000-0000-000007080000}"/>
    <cellStyle name="計算 2 3 2 5 2 2 2" xfId="10206" xr:uid="{00000000-0005-0000-0000-000008080000}"/>
    <cellStyle name="計算 2 3 2 5 2 3" xfId="3209" xr:uid="{00000000-0005-0000-0000-000009080000}"/>
    <cellStyle name="計算 2 3 2 5 2 3 2" xfId="8757" xr:uid="{00000000-0005-0000-0000-00000A080000}"/>
    <cellStyle name="計算 2 3 2 5 2 4" xfId="7481" xr:uid="{00000000-0005-0000-0000-00000B080000}"/>
    <cellStyle name="計算 2 3 2 5 3" xfId="6472" xr:uid="{00000000-0005-0000-0000-00000C080000}"/>
    <cellStyle name="計算 2 3 2 6" xfId="1293" xr:uid="{00000000-0005-0000-0000-00000D080000}"/>
    <cellStyle name="計算 2 3 2 6 2" xfId="4257" xr:uid="{00000000-0005-0000-0000-00000E080000}"/>
    <cellStyle name="計算 2 3 2 6 2 2" xfId="9798" xr:uid="{00000000-0005-0000-0000-00000F080000}"/>
    <cellStyle name="計算 2 3 2 6 3" xfId="3210" xr:uid="{00000000-0005-0000-0000-000010080000}"/>
    <cellStyle name="計算 2 3 2 6 3 2" xfId="8758" xr:uid="{00000000-0005-0000-0000-000011080000}"/>
    <cellStyle name="計算 2 3 2 6 4" xfId="7018" xr:uid="{00000000-0005-0000-0000-000012080000}"/>
    <cellStyle name="計算 2 3 2 7" xfId="6007" xr:uid="{00000000-0005-0000-0000-000013080000}"/>
    <cellStyle name="計算 2 3 3" xfId="203" xr:uid="{00000000-0005-0000-0000-000014080000}"/>
    <cellStyle name="計算 2 3 3 2" xfId="274" xr:uid="{00000000-0005-0000-0000-000015080000}"/>
    <cellStyle name="計算 2 3 3 2 2" xfId="496" xr:uid="{00000000-0005-0000-0000-000016080000}"/>
    <cellStyle name="計算 2 3 3 2 2 2" xfId="1005" xr:uid="{00000000-0005-0000-0000-000017080000}"/>
    <cellStyle name="計算 2 3 3 2 2 2 2" xfId="2111" xr:uid="{00000000-0005-0000-0000-000018080000}"/>
    <cellStyle name="計算 2 3 3 2 2 2 2 2" xfId="5020" xr:uid="{00000000-0005-0000-0000-000019080000}"/>
    <cellStyle name="計算 2 3 3 2 2 2 2 2 2" xfId="10488" xr:uid="{00000000-0005-0000-0000-00001A080000}"/>
    <cellStyle name="計算 2 3 3 2 2 2 2 3" xfId="3211" xr:uid="{00000000-0005-0000-0000-00001B080000}"/>
    <cellStyle name="計算 2 3 3 2 2 2 2 3 2" xfId="8759" xr:uid="{00000000-0005-0000-0000-00001C080000}"/>
    <cellStyle name="計算 2 3 3 2 2 2 2 4" xfId="7763" xr:uid="{00000000-0005-0000-0000-00001D080000}"/>
    <cellStyle name="計算 2 3 3 2 2 2 3" xfId="6754" xr:uid="{00000000-0005-0000-0000-00001E080000}"/>
    <cellStyle name="計算 2 3 3 2 2 3" xfId="1604" xr:uid="{00000000-0005-0000-0000-00001F080000}"/>
    <cellStyle name="計算 2 3 3 2 2 3 2" xfId="4568" xr:uid="{00000000-0005-0000-0000-000020080000}"/>
    <cellStyle name="計算 2 3 3 2 2 3 2 2" xfId="10080" xr:uid="{00000000-0005-0000-0000-000021080000}"/>
    <cellStyle name="計算 2 3 3 2 2 3 3" xfId="3212" xr:uid="{00000000-0005-0000-0000-000022080000}"/>
    <cellStyle name="計算 2 3 3 2 2 3 3 2" xfId="8760" xr:uid="{00000000-0005-0000-0000-000023080000}"/>
    <cellStyle name="計算 2 3 3 2 2 3 4" xfId="7300" xr:uid="{00000000-0005-0000-0000-000024080000}"/>
    <cellStyle name="計算 2 3 3 2 2 4" xfId="6289" xr:uid="{00000000-0005-0000-0000-000025080000}"/>
    <cellStyle name="計算 2 3 3 2 3" xfId="783" xr:uid="{00000000-0005-0000-0000-000026080000}"/>
    <cellStyle name="計算 2 3 3 2 3 2" xfId="1889" xr:uid="{00000000-0005-0000-0000-000027080000}"/>
    <cellStyle name="計算 2 3 3 2 3 2 2" xfId="4798" xr:uid="{00000000-0005-0000-0000-000028080000}"/>
    <cellStyle name="計算 2 3 3 2 3 2 2 2" xfId="10288" xr:uid="{00000000-0005-0000-0000-000029080000}"/>
    <cellStyle name="計算 2 3 3 2 3 2 3" xfId="3213" xr:uid="{00000000-0005-0000-0000-00002A080000}"/>
    <cellStyle name="計算 2 3 3 2 3 2 3 2" xfId="8761" xr:uid="{00000000-0005-0000-0000-00002B080000}"/>
    <cellStyle name="計算 2 3 3 2 3 2 4" xfId="7563" xr:uid="{00000000-0005-0000-0000-00002C080000}"/>
    <cellStyle name="計算 2 3 3 2 3 3" xfId="6554" xr:uid="{00000000-0005-0000-0000-00002D080000}"/>
    <cellStyle name="計算 2 3 3 2 4" xfId="1382" xr:uid="{00000000-0005-0000-0000-00002E080000}"/>
    <cellStyle name="計算 2 3 3 2 4 2" xfId="4346" xr:uid="{00000000-0005-0000-0000-00002F080000}"/>
    <cellStyle name="計算 2 3 3 2 4 2 2" xfId="9880" xr:uid="{00000000-0005-0000-0000-000030080000}"/>
    <cellStyle name="計算 2 3 3 2 4 3" xfId="3214" xr:uid="{00000000-0005-0000-0000-000031080000}"/>
    <cellStyle name="計算 2 3 3 2 4 3 2" xfId="8762" xr:uid="{00000000-0005-0000-0000-000032080000}"/>
    <cellStyle name="計算 2 3 3 2 4 4" xfId="7100" xr:uid="{00000000-0005-0000-0000-000033080000}"/>
    <cellStyle name="計算 2 3 3 2 5" xfId="6089" xr:uid="{00000000-0005-0000-0000-000034080000}"/>
    <cellStyle name="計算 2 3 3 3" xfId="339" xr:uid="{00000000-0005-0000-0000-000035080000}"/>
    <cellStyle name="計算 2 3 3 3 2" xfId="561" xr:uid="{00000000-0005-0000-0000-000036080000}"/>
    <cellStyle name="計算 2 3 3 3 2 2" xfId="1070" xr:uid="{00000000-0005-0000-0000-000037080000}"/>
    <cellStyle name="計算 2 3 3 3 2 2 2" xfId="2176" xr:uid="{00000000-0005-0000-0000-000038080000}"/>
    <cellStyle name="計算 2 3 3 3 2 2 2 2" xfId="5085" xr:uid="{00000000-0005-0000-0000-000039080000}"/>
    <cellStyle name="計算 2 3 3 3 2 2 2 2 2" xfId="10547" xr:uid="{00000000-0005-0000-0000-00003A080000}"/>
    <cellStyle name="計算 2 3 3 3 2 2 2 3" xfId="3215" xr:uid="{00000000-0005-0000-0000-00003B080000}"/>
    <cellStyle name="計算 2 3 3 3 2 2 2 3 2" xfId="8763" xr:uid="{00000000-0005-0000-0000-00003C080000}"/>
    <cellStyle name="計算 2 3 3 3 2 2 2 4" xfId="7822" xr:uid="{00000000-0005-0000-0000-00003D080000}"/>
    <cellStyle name="計算 2 3 3 3 2 2 3" xfId="6813" xr:uid="{00000000-0005-0000-0000-00003E080000}"/>
    <cellStyle name="計算 2 3 3 3 2 3" xfId="1669" xr:uid="{00000000-0005-0000-0000-00003F080000}"/>
    <cellStyle name="計算 2 3 3 3 2 3 2" xfId="4633" xr:uid="{00000000-0005-0000-0000-000040080000}"/>
    <cellStyle name="計算 2 3 3 3 2 3 2 2" xfId="10139" xr:uid="{00000000-0005-0000-0000-000041080000}"/>
    <cellStyle name="計算 2 3 3 3 2 3 3" xfId="3216" xr:uid="{00000000-0005-0000-0000-000042080000}"/>
    <cellStyle name="計算 2 3 3 3 2 3 3 2" xfId="8764" xr:uid="{00000000-0005-0000-0000-000043080000}"/>
    <cellStyle name="計算 2 3 3 3 2 3 4" xfId="7359" xr:uid="{00000000-0005-0000-0000-000044080000}"/>
    <cellStyle name="計算 2 3 3 3 2 4" xfId="6348" xr:uid="{00000000-0005-0000-0000-000045080000}"/>
    <cellStyle name="計算 2 3 3 3 3" xfId="848" xr:uid="{00000000-0005-0000-0000-000046080000}"/>
    <cellStyle name="計算 2 3 3 3 3 2" xfId="1954" xr:uid="{00000000-0005-0000-0000-000047080000}"/>
    <cellStyle name="計算 2 3 3 3 3 2 2" xfId="4863" xr:uid="{00000000-0005-0000-0000-000048080000}"/>
    <cellStyle name="計算 2 3 3 3 3 2 2 2" xfId="10347" xr:uid="{00000000-0005-0000-0000-000049080000}"/>
    <cellStyle name="計算 2 3 3 3 3 2 3" xfId="3217" xr:uid="{00000000-0005-0000-0000-00004A080000}"/>
    <cellStyle name="計算 2 3 3 3 3 2 3 2" xfId="8765" xr:uid="{00000000-0005-0000-0000-00004B080000}"/>
    <cellStyle name="計算 2 3 3 3 3 2 4" xfId="7622" xr:uid="{00000000-0005-0000-0000-00004C080000}"/>
    <cellStyle name="計算 2 3 3 3 3 3" xfId="6613" xr:uid="{00000000-0005-0000-0000-00004D080000}"/>
    <cellStyle name="計算 2 3 3 3 4" xfId="1447" xr:uid="{00000000-0005-0000-0000-00004E080000}"/>
    <cellStyle name="計算 2 3 3 3 4 2" xfId="4411" xr:uid="{00000000-0005-0000-0000-00004F080000}"/>
    <cellStyle name="計算 2 3 3 3 4 2 2" xfId="9939" xr:uid="{00000000-0005-0000-0000-000050080000}"/>
    <cellStyle name="計算 2 3 3 3 4 3" xfId="3218" xr:uid="{00000000-0005-0000-0000-000051080000}"/>
    <cellStyle name="計算 2 3 3 3 4 3 2" xfId="8766" xr:uid="{00000000-0005-0000-0000-000052080000}"/>
    <cellStyle name="計算 2 3 3 3 4 4" xfId="7159" xr:uid="{00000000-0005-0000-0000-000053080000}"/>
    <cellStyle name="計算 2 3 3 3 5" xfId="6148" xr:uid="{00000000-0005-0000-0000-000054080000}"/>
    <cellStyle name="計算 2 3 3 4" xfId="425" xr:uid="{00000000-0005-0000-0000-000055080000}"/>
    <cellStyle name="計算 2 3 3 4 2" xfId="934" xr:uid="{00000000-0005-0000-0000-000056080000}"/>
    <cellStyle name="計算 2 3 3 4 2 2" xfId="2040" xr:uid="{00000000-0005-0000-0000-000057080000}"/>
    <cellStyle name="計算 2 3 3 4 2 2 2" xfId="4949" xr:uid="{00000000-0005-0000-0000-000058080000}"/>
    <cellStyle name="計算 2 3 3 4 2 2 2 2" xfId="10422" xr:uid="{00000000-0005-0000-0000-000059080000}"/>
    <cellStyle name="計算 2 3 3 4 2 2 3" xfId="3219" xr:uid="{00000000-0005-0000-0000-00005A080000}"/>
    <cellStyle name="計算 2 3 3 4 2 2 3 2" xfId="8767" xr:uid="{00000000-0005-0000-0000-00005B080000}"/>
    <cellStyle name="計算 2 3 3 4 2 2 4" xfId="7697" xr:uid="{00000000-0005-0000-0000-00005C080000}"/>
    <cellStyle name="計算 2 3 3 4 2 3" xfId="6688" xr:uid="{00000000-0005-0000-0000-00005D080000}"/>
    <cellStyle name="計算 2 3 3 4 3" xfId="1533" xr:uid="{00000000-0005-0000-0000-00005E080000}"/>
    <cellStyle name="計算 2 3 3 4 3 2" xfId="4497" xr:uid="{00000000-0005-0000-0000-00005F080000}"/>
    <cellStyle name="計算 2 3 3 4 3 2 2" xfId="10014" xr:uid="{00000000-0005-0000-0000-000060080000}"/>
    <cellStyle name="計算 2 3 3 4 3 3" xfId="3220" xr:uid="{00000000-0005-0000-0000-000061080000}"/>
    <cellStyle name="計算 2 3 3 4 3 3 2" xfId="8768" xr:uid="{00000000-0005-0000-0000-000062080000}"/>
    <cellStyle name="計算 2 3 3 4 3 4" xfId="7234" xr:uid="{00000000-0005-0000-0000-000063080000}"/>
    <cellStyle name="計算 2 3 3 4 4" xfId="6223" xr:uid="{00000000-0005-0000-0000-000064080000}"/>
    <cellStyle name="計算 2 3 3 5" xfId="712" xr:uid="{00000000-0005-0000-0000-000065080000}"/>
    <cellStyle name="計算 2 3 3 5 2" xfId="1818" xr:uid="{00000000-0005-0000-0000-000066080000}"/>
    <cellStyle name="計算 2 3 3 5 2 2" xfId="4727" xr:uid="{00000000-0005-0000-0000-000067080000}"/>
    <cellStyle name="計算 2 3 3 5 2 2 2" xfId="10222" xr:uid="{00000000-0005-0000-0000-000068080000}"/>
    <cellStyle name="計算 2 3 3 5 2 3" xfId="3221" xr:uid="{00000000-0005-0000-0000-000069080000}"/>
    <cellStyle name="計算 2 3 3 5 2 3 2" xfId="8769" xr:uid="{00000000-0005-0000-0000-00006A080000}"/>
    <cellStyle name="計算 2 3 3 5 2 4" xfId="7497" xr:uid="{00000000-0005-0000-0000-00006B080000}"/>
    <cellStyle name="計算 2 3 3 5 3" xfId="6488" xr:uid="{00000000-0005-0000-0000-00006C080000}"/>
    <cellStyle name="計算 2 3 3 6" xfId="1311" xr:uid="{00000000-0005-0000-0000-00006D080000}"/>
    <cellStyle name="計算 2 3 3 6 2" xfId="4275" xr:uid="{00000000-0005-0000-0000-00006E080000}"/>
    <cellStyle name="計算 2 3 3 6 2 2" xfId="9814" xr:uid="{00000000-0005-0000-0000-00006F080000}"/>
    <cellStyle name="計算 2 3 3 6 3" xfId="3222" xr:uid="{00000000-0005-0000-0000-000070080000}"/>
    <cellStyle name="計算 2 3 3 6 3 2" xfId="8770" xr:uid="{00000000-0005-0000-0000-000071080000}"/>
    <cellStyle name="計算 2 3 3 6 4" xfId="7034" xr:uid="{00000000-0005-0000-0000-000072080000}"/>
    <cellStyle name="計算 2 3 3 7" xfId="6023" xr:uid="{00000000-0005-0000-0000-000073080000}"/>
    <cellStyle name="計算 2 3 4" xfId="231" xr:uid="{00000000-0005-0000-0000-000074080000}"/>
    <cellStyle name="計算 2 3 4 2" xfId="453" xr:uid="{00000000-0005-0000-0000-000075080000}"/>
    <cellStyle name="計算 2 3 4 2 2" xfId="962" xr:uid="{00000000-0005-0000-0000-000076080000}"/>
    <cellStyle name="計算 2 3 4 2 2 2" xfId="2068" xr:uid="{00000000-0005-0000-0000-000077080000}"/>
    <cellStyle name="計算 2 3 4 2 2 2 2" xfId="4977" xr:uid="{00000000-0005-0000-0000-000078080000}"/>
    <cellStyle name="計算 2 3 4 2 2 2 2 2" xfId="10447" xr:uid="{00000000-0005-0000-0000-000079080000}"/>
    <cellStyle name="計算 2 3 4 2 2 2 3" xfId="3223" xr:uid="{00000000-0005-0000-0000-00007A080000}"/>
    <cellStyle name="計算 2 3 4 2 2 2 3 2" xfId="8771" xr:uid="{00000000-0005-0000-0000-00007B080000}"/>
    <cellStyle name="計算 2 3 4 2 2 2 4" xfId="7722" xr:uid="{00000000-0005-0000-0000-00007C080000}"/>
    <cellStyle name="計算 2 3 4 2 2 3" xfId="6713" xr:uid="{00000000-0005-0000-0000-00007D080000}"/>
    <cellStyle name="計算 2 3 4 2 3" xfId="1561" xr:uid="{00000000-0005-0000-0000-00007E080000}"/>
    <cellStyle name="計算 2 3 4 2 3 2" xfId="4525" xr:uid="{00000000-0005-0000-0000-00007F080000}"/>
    <cellStyle name="計算 2 3 4 2 3 2 2" xfId="10039" xr:uid="{00000000-0005-0000-0000-000080080000}"/>
    <cellStyle name="計算 2 3 4 2 3 3" xfId="3224" xr:uid="{00000000-0005-0000-0000-000081080000}"/>
    <cellStyle name="計算 2 3 4 2 3 3 2" xfId="8772" xr:uid="{00000000-0005-0000-0000-000082080000}"/>
    <cellStyle name="計算 2 3 4 2 3 4" xfId="7259" xr:uid="{00000000-0005-0000-0000-000083080000}"/>
    <cellStyle name="計算 2 3 4 2 4" xfId="6248" xr:uid="{00000000-0005-0000-0000-000084080000}"/>
    <cellStyle name="計算 2 3 4 3" xfId="740" xr:uid="{00000000-0005-0000-0000-000085080000}"/>
    <cellStyle name="計算 2 3 4 3 2" xfId="1846" xr:uid="{00000000-0005-0000-0000-000086080000}"/>
    <cellStyle name="計算 2 3 4 3 2 2" xfId="4755" xr:uid="{00000000-0005-0000-0000-000087080000}"/>
    <cellStyle name="計算 2 3 4 3 2 2 2" xfId="10247" xr:uid="{00000000-0005-0000-0000-000088080000}"/>
    <cellStyle name="計算 2 3 4 3 2 3" xfId="3225" xr:uid="{00000000-0005-0000-0000-000089080000}"/>
    <cellStyle name="計算 2 3 4 3 2 3 2" xfId="8773" xr:uid="{00000000-0005-0000-0000-00008A080000}"/>
    <cellStyle name="計算 2 3 4 3 2 4" xfId="7522" xr:uid="{00000000-0005-0000-0000-00008B080000}"/>
    <cellStyle name="計算 2 3 4 3 3" xfId="6513" xr:uid="{00000000-0005-0000-0000-00008C080000}"/>
    <cellStyle name="計算 2 3 4 4" xfId="1339" xr:uid="{00000000-0005-0000-0000-00008D080000}"/>
    <cellStyle name="計算 2 3 4 4 2" xfId="4303" xr:uid="{00000000-0005-0000-0000-00008E080000}"/>
    <cellStyle name="計算 2 3 4 4 2 2" xfId="9839" xr:uid="{00000000-0005-0000-0000-00008F080000}"/>
    <cellStyle name="計算 2 3 4 4 3" xfId="3226" xr:uid="{00000000-0005-0000-0000-000090080000}"/>
    <cellStyle name="計算 2 3 4 4 3 2" xfId="8774" xr:uid="{00000000-0005-0000-0000-000091080000}"/>
    <cellStyle name="計算 2 3 4 4 4" xfId="7059" xr:uid="{00000000-0005-0000-0000-000092080000}"/>
    <cellStyle name="計算 2 3 4 5" xfId="6048" xr:uid="{00000000-0005-0000-0000-000093080000}"/>
    <cellStyle name="計算 2 3 5" xfId="292" xr:uid="{00000000-0005-0000-0000-000094080000}"/>
    <cellStyle name="計算 2 3 5 2" xfId="514" xr:uid="{00000000-0005-0000-0000-000095080000}"/>
    <cellStyle name="計算 2 3 5 2 2" xfId="1023" xr:uid="{00000000-0005-0000-0000-000096080000}"/>
    <cellStyle name="計算 2 3 5 2 2 2" xfId="2129" xr:uid="{00000000-0005-0000-0000-000097080000}"/>
    <cellStyle name="計算 2 3 5 2 2 2 2" xfId="5038" xr:uid="{00000000-0005-0000-0000-000098080000}"/>
    <cellStyle name="計算 2 3 5 2 2 2 2 2" xfId="10506" xr:uid="{00000000-0005-0000-0000-000099080000}"/>
    <cellStyle name="計算 2 3 5 2 2 2 3" xfId="3227" xr:uid="{00000000-0005-0000-0000-00009A080000}"/>
    <cellStyle name="計算 2 3 5 2 2 2 3 2" xfId="8775" xr:uid="{00000000-0005-0000-0000-00009B080000}"/>
    <cellStyle name="計算 2 3 5 2 2 2 4" xfId="7781" xr:uid="{00000000-0005-0000-0000-00009C080000}"/>
    <cellStyle name="計算 2 3 5 2 2 3" xfId="6772" xr:uid="{00000000-0005-0000-0000-00009D080000}"/>
    <cellStyle name="計算 2 3 5 2 3" xfId="1622" xr:uid="{00000000-0005-0000-0000-00009E080000}"/>
    <cellStyle name="計算 2 3 5 2 3 2" xfId="4586" xr:uid="{00000000-0005-0000-0000-00009F080000}"/>
    <cellStyle name="計算 2 3 5 2 3 2 2" xfId="10098" xr:uid="{00000000-0005-0000-0000-0000A0080000}"/>
    <cellStyle name="計算 2 3 5 2 3 3" xfId="3228" xr:uid="{00000000-0005-0000-0000-0000A1080000}"/>
    <cellStyle name="計算 2 3 5 2 3 3 2" xfId="8776" xr:uid="{00000000-0005-0000-0000-0000A2080000}"/>
    <cellStyle name="計算 2 3 5 2 3 4" xfId="7318" xr:uid="{00000000-0005-0000-0000-0000A3080000}"/>
    <cellStyle name="計算 2 3 5 2 4" xfId="6307" xr:uid="{00000000-0005-0000-0000-0000A4080000}"/>
    <cellStyle name="計算 2 3 5 3" xfId="801" xr:uid="{00000000-0005-0000-0000-0000A5080000}"/>
    <cellStyle name="計算 2 3 5 3 2" xfId="1907" xr:uid="{00000000-0005-0000-0000-0000A6080000}"/>
    <cellStyle name="計算 2 3 5 3 2 2" xfId="4816" xr:uid="{00000000-0005-0000-0000-0000A7080000}"/>
    <cellStyle name="計算 2 3 5 3 2 2 2" xfId="10306" xr:uid="{00000000-0005-0000-0000-0000A8080000}"/>
    <cellStyle name="計算 2 3 5 3 2 3" xfId="3229" xr:uid="{00000000-0005-0000-0000-0000A9080000}"/>
    <cellStyle name="計算 2 3 5 3 2 3 2" xfId="8777" xr:uid="{00000000-0005-0000-0000-0000AA080000}"/>
    <cellStyle name="計算 2 3 5 3 2 4" xfId="7581" xr:uid="{00000000-0005-0000-0000-0000AB080000}"/>
    <cellStyle name="計算 2 3 5 3 3" xfId="6572" xr:uid="{00000000-0005-0000-0000-0000AC080000}"/>
    <cellStyle name="計算 2 3 5 4" xfId="1400" xr:uid="{00000000-0005-0000-0000-0000AD080000}"/>
    <cellStyle name="計算 2 3 5 4 2" xfId="4364" xr:uid="{00000000-0005-0000-0000-0000AE080000}"/>
    <cellStyle name="計算 2 3 5 4 2 2" xfId="9898" xr:uid="{00000000-0005-0000-0000-0000AF080000}"/>
    <cellStyle name="計算 2 3 5 4 3" xfId="3230" xr:uid="{00000000-0005-0000-0000-0000B0080000}"/>
    <cellStyle name="計算 2 3 5 4 3 2" xfId="8778" xr:uid="{00000000-0005-0000-0000-0000B1080000}"/>
    <cellStyle name="計算 2 3 5 4 4" xfId="7118" xr:uid="{00000000-0005-0000-0000-0000B2080000}"/>
    <cellStyle name="計算 2 3 5 5" xfId="6107" xr:uid="{00000000-0005-0000-0000-0000B3080000}"/>
    <cellStyle name="計算 2 3 6" xfId="375" xr:uid="{00000000-0005-0000-0000-0000B4080000}"/>
    <cellStyle name="計算 2 3 6 2" xfId="884" xr:uid="{00000000-0005-0000-0000-0000B5080000}"/>
    <cellStyle name="計算 2 3 6 2 2" xfId="1990" xr:uid="{00000000-0005-0000-0000-0000B6080000}"/>
    <cellStyle name="計算 2 3 6 2 2 2" xfId="4899" xr:uid="{00000000-0005-0000-0000-0000B7080000}"/>
    <cellStyle name="計算 2 3 6 2 2 2 2" xfId="10378" xr:uid="{00000000-0005-0000-0000-0000B8080000}"/>
    <cellStyle name="計算 2 3 6 2 2 3" xfId="3231" xr:uid="{00000000-0005-0000-0000-0000B9080000}"/>
    <cellStyle name="計算 2 3 6 2 2 3 2" xfId="8779" xr:uid="{00000000-0005-0000-0000-0000BA080000}"/>
    <cellStyle name="計算 2 3 6 2 2 4" xfId="7653" xr:uid="{00000000-0005-0000-0000-0000BB080000}"/>
    <cellStyle name="計算 2 3 6 2 3" xfId="6644" xr:uid="{00000000-0005-0000-0000-0000BC080000}"/>
    <cellStyle name="計算 2 3 6 3" xfId="1483" xr:uid="{00000000-0005-0000-0000-0000BD080000}"/>
    <cellStyle name="計算 2 3 6 3 2" xfId="4447" xr:uid="{00000000-0005-0000-0000-0000BE080000}"/>
    <cellStyle name="計算 2 3 6 3 2 2" xfId="9970" xr:uid="{00000000-0005-0000-0000-0000BF080000}"/>
    <cellStyle name="計算 2 3 6 3 3" xfId="3232" xr:uid="{00000000-0005-0000-0000-0000C0080000}"/>
    <cellStyle name="計算 2 3 6 3 3 2" xfId="8780" xr:uid="{00000000-0005-0000-0000-0000C1080000}"/>
    <cellStyle name="計算 2 3 6 3 4" xfId="7190" xr:uid="{00000000-0005-0000-0000-0000C2080000}"/>
    <cellStyle name="計算 2 3 6 4" xfId="6179" xr:uid="{00000000-0005-0000-0000-0000C3080000}"/>
    <cellStyle name="計算 2 3 7" xfId="660" xr:uid="{00000000-0005-0000-0000-0000C4080000}"/>
    <cellStyle name="計算 2 3 7 2" xfId="1766" xr:uid="{00000000-0005-0000-0000-0000C5080000}"/>
    <cellStyle name="計算 2 3 7 2 2" xfId="4675" xr:uid="{00000000-0005-0000-0000-0000C6080000}"/>
    <cellStyle name="計算 2 3 7 2 2 2" xfId="10176" xr:uid="{00000000-0005-0000-0000-0000C7080000}"/>
    <cellStyle name="計算 2 3 7 2 3" xfId="3233" xr:uid="{00000000-0005-0000-0000-0000C8080000}"/>
    <cellStyle name="計算 2 3 7 2 3 2" xfId="8781" xr:uid="{00000000-0005-0000-0000-0000C9080000}"/>
    <cellStyle name="計算 2 3 7 2 4" xfId="7451" xr:uid="{00000000-0005-0000-0000-0000CA080000}"/>
    <cellStyle name="計算 2 3 7 3" xfId="6442" xr:uid="{00000000-0005-0000-0000-0000CB080000}"/>
    <cellStyle name="計算 2 3 8" xfId="1259" xr:uid="{00000000-0005-0000-0000-0000CC080000}"/>
    <cellStyle name="計算 2 3 8 2" xfId="4223" xr:uid="{00000000-0005-0000-0000-0000CD080000}"/>
    <cellStyle name="計算 2 3 8 2 2" xfId="9768" xr:uid="{00000000-0005-0000-0000-0000CE080000}"/>
    <cellStyle name="計算 2 3 8 3" xfId="3234" xr:uid="{00000000-0005-0000-0000-0000CF080000}"/>
    <cellStyle name="計算 2 3 8 3 2" xfId="8782" xr:uid="{00000000-0005-0000-0000-0000D0080000}"/>
    <cellStyle name="計算 2 3 8 4" xfId="6988" xr:uid="{00000000-0005-0000-0000-0000D1080000}"/>
    <cellStyle name="計算 2 3 9" xfId="5976" xr:uid="{00000000-0005-0000-0000-0000D2080000}"/>
    <cellStyle name="計算 2 4" xfId="146" xr:uid="{00000000-0005-0000-0000-0000D3080000}"/>
    <cellStyle name="計算 2 4 2" xfId="182" xr:uid="{00000000-0005-0000-0000-0000D4080000}"/>
    <cellStyle name="計算 2 4 2 2" xfId="253" xr:uid="{00000000-0005-0000-0000-0000D5080000}"/>
    <cellStyle name="計算 2 4 2 2 2" xfId="475" xr:uid="{00000000-0005-0000-0000-0000D6080000}"/>
    <cellStyle name="計算 2 4 2 2 2 2" xfId="984" xr:uid="{00000000-0005-0000-0000-0000D7080000}"/>
    <cellStyle name="計算 2 4 2 2 2 2 2" xfId="2090" xr:uid="{00000000-0005-0000-0000-0000D8080000}"/>
    <cellStyle name="計算 2 4 2 2 2 2 2 2" xfId="4999" xr:uid="{00000000-0005-0000-0000-0000D9080000}"/>
    <cellStyle name="計算 2 4 2 2 2 2 2 2 2" xfId="10469" xr:uid="{00000000-0005-0000-0000-0000DA080000}"/>
    <cellStyle name="計算 2 4 2 2 2 2 2 3" xfId="3235" xr:uid="{00000000-0005-0000-0000-0000DB080000}"/>
    <cellStyle name="計算 2 4 2 2 2 2 2 3 2" xfId="8783" xr:uid="{00000000-0005-0000-0000-0000DC080000}"/>
    <cellStyle name="計算 2 4 2 2 2 2 2 4" xfId="7744" xr:uid="{00000000-0005-0000-0000-0000DD080000}"/>
    <cellStyle name="計算 2 4 2 2 2 2 3" xfId="6735" xr:uid="{00000000-0005-0000-0000-0000DE080000}"/>
    <cellStyle name="計算 2 4 2 2 2 3" xfId="1583" xr:uid="{00000000-0005-0000-0000-0000DF080000}"/>
    <cellStyle name="計算 2 4 2 2 2 3 2" xfId="4547" xr:uid="{00000000-0005-0000-0000-0000E0080000}"/>
    <cellStyle name="計算 2 4 2 2 2 3 2 2" xfId="10061" xr:uid="{00000000-0005-0000-0000-0000E1080000}"/>
    <cellStyle name="計算 2 4 2 2 2 3 3" xfId="3236" xr:uid="{00000000-0005-0000-0000-0000E2080000}"/>
    <cellStyle name="計算 2 4 2 2 2 3 3 2" xfId="8784" xr:uid="{00000000-0005-0000-0000-0000E3080000}"/>
    <cellStyle name="計算 2 4 2 2 2 3 4" xfId="7281" xr:uid="{00000000-0005-0000-0000-0000E4080000}"/>
    <cellStyle name="計算 2 4 2 2 2 4" xfId="6270" xr:uid="{00000000-0005-0000-0000-0000E5080000}"/>
    <cellStyle name="計算 2 4 2 2 3" xfId="762" xr:uid="{00000000-0005-0000-0000-0000E6080000}"/>
    <cellStyle name="計算 2 4 2 2 3 2" xfId="1868" xr:uid="{00000000-0005-0000-0000-0000E7080000}"/>
    <cellStyle name="計算 2 4 2 2 3 2 2" xfId="4777" xr:uid="{00000000-0005-0000-0000-0000E8080000}"/>
    <cellStyle name="計算 2 4 2 2 3 2 2 2" xfId="10269" xr:uid="{00000000-0005-0000-0000-0000E9080000}"/>
    <cellStyle name="計算 2 4 2 2 3 2 3" xfId="3237" xr:uid="{00000000-0005-0000-0000-0000EA080000}"/>
    <cellStyle name="計算 2 4 2 2 3 2 3 2" xfId="8785" xr:uid="{00000000-0005-0000-0000-0000EB080000}"/>
    <cellStyle name="計算 2 4 2 2 3 2 4" xfId="7544" xr:uid="{00000000-0005-0000-0000-0000EC080000}"/>
    <cellStyle name="計算 2 4 2 2 3 3" xfId="6535" xr:uid="{00000000-0005-0000-0000-0000ED080000}"/>
    <cellStyle name="計算 2 4 2 2 4" xfId="1361" xr:uid="{00000000-0005-0000-0000-0000EE080000}"/>
    <cellStyle name="計算 2 4 2 2 4 2" xfId="4325" xr:uid="{00000000-0005-0000-0000-0000EF080000}"/>
    <cellStyle name="計算 2 4 2 2 4 2 2" xfId="9861" xr:uid="{00000000-0005-0000-0000-0000F0080000}"/>
    <cellStyle name="計算 2 4 2 2 4 3" xfId="3238" xr:uid="{00000000-0005-0000-0000-0000F1080000}"/>
    <cellStyle name="計算 2 4 2 2 4 3 2" xfId="8786" xr:uid="{00000000-0005-0000-0000-0000F2080000}"/>
    <cellStyle name="計算 2 4 2 2 4 4" xfId="7081" xr:uid="{00000000-0005-0000-0000-0000F3080000}"/>
    <cellStyle name="計算 2 4 2 2 5" xfId="6070" xr:uid="{00000000-0005-0000-0000-0000F4080000}"/>
    <cellStyle name="計算 2 4 2 3" xfId="318" xr:uid="{00000000-0005-0000-0000-0000F5080000}"/>
    <cellStyle name="計算 2 4 2 3 2" xfId="540" xr:uid="{00000000-0005-0000-0000-0000F6080000}"/>
    <cellStyle name="計算 2 4 2 3 2 2" xfId="1049" xr:uid="{00000000-0005-0000-0000-0000F7080000}"/>
    <cellStyle name="計算 2 4 2 3 2 2 2" xfId="2155" xr:uid="{00000000-0005-0000-0000-0000F8080000}"/>
    <cellStyle name="計算 2 4 2 3 2 2 2 2" xfId="5064" xr:uid="{00000000-0005-0000-0000-0000F9080000}"/>
    <cellStyle name="計算 2 4 2 3 2 2 2 2 2" xfId="10528" xr:uid="{00000000-0005-0000-0000-0000FA080000}"/>
    <cellStyle name="計算 2 4 2 3 2 2 2 3" xfId="3239" xr:uid="{00000000-0005-0000-0000-0000FB080000}"/>
    <cellStyle name="計算 2 4 2 3 2 2 2 3 2" xfId="8787" xr:uid="{00000000-0005-0000-0000-0000FC080000}"/>
    <cellStyle name="計算 2 4 2 3 2 2 2 4" xfId="7803" xr:uid="{00000000-0005-0000-0000-0000FD080000}"/>
    <cellStyle name="計算 2 4 2 3 2 2 3" xfId="6794" xr:uid="{00000000-0005-0000-0000-0000FE080000}"/>
    <cellStyle name="計算 2 4 2 3 2 3" xfId="1648" xr:uid="{00000000-0005-0000-0000-0000FF080000}"/>
    <cellStyle name="計算 2 4 2 3 2 3 2" xfId="4612" xr:uid="{00000000-0005-0000-0000-000000090000}"/>
    <cellStyle name="計算 2 4 2 3 2 3 2 2" xfId="10120" xr:uid="{00000000-0005-0000-0000-000001090000}"/>
    <cellStyle name="計算 2 4 2 3 2 3 3" xfId="3240" xr:uid="{00000000-0005-0000-0000-000002090000}"/>
    <cellStyle name="計算 2 4 2 3 2 3 3 2" xfId="8788" xr:uid="{00000000-0005-0000-0000-000003090000}"/>
    <cellStyle name="計算 2 4 2 3 2 3 4" xfId="7340" xr:uid="{00000000-0005-0000-0000-000004090000}"/>
    <cellStyle name="計算 2 4 2 3 2 4" xfId="6329" xr:uid="{00000000-0005-0000-0000-000005090000}"/>
    <cellStyle name="計算 2 4 2 3 3" xfId="827" xr:uid="{00000000-0005-0000-0000-000006090000}"/>
    <cellStyle name="計算 2 4 2 3 3 2" xfId="1933" xr:uid="{00000000-0005-0000-0000-000007090000}"/>
    <cellStyle name="計算 2 4 2 3 3 2 2" xfId="4842" xr:uid="{00000000-0005-0000-0000-000008090000}"/>
    <cellStyle name="計算 2 4 2 3 3 2 2 2" xfId="10328" xr:uid="{00000000-0005-0000-0000-000009090000}"/>
    <cellStyle name="計算 2 4 2 3 3 2 3" xfId="3241" xr:uid="{00000000-0005-0000-0000-00000A090000}"/>
    <cellStyle name="計算 2 4 2 3 3 2 3 2" xfId="8789" xr:uid="{00000000-0005-0000-0000-00000B090000}"/>
    <cellStyle name="計算 2 4 2 3 3 2 4" xfId="7603" xr:uid="{00000000-0005-0000-0000-00000C090000}"/>
    <cellStyle name="計算 2 4 2 3 3 3" xfId="6594" xr:uid="{00000000-0005-0000-0000-00000D090000}"/>
    <cellStyle name="計算 2 4 2 3 4" xfId="1426" xr:uid="{00000000-0005-0000-0000-00000E090000}"/>
    <cellStyle name="計算 2 4 2 3 4 2" xfId="4390" xr:uid="{00000000-0005-0000-0000-00000F090000}"/>
    <cellStyle name="計算 2 4 2 3 4 2 2" xfId="9920" xr:uid="{00000000-0005-0000-0000-000010090000}"/>
    <cellStyle name="計算 2 4 2 3 4 3" xfId="3242" xr:uid="{00000000-0005-0000-0000-000011090000}"/>
    <cellStyle name="計算 2 4 2 3 4 3 2" xfId="8790" xr:uid="{00000000-0005-0000-0000-000012090000}"/>
    <cellStyle name="計算 2 4 2 3 4 4" xfId="7140" xr:uid="{00000000-0005-0000-0000-000013090000}"/>
    <cellStyle name="計算 2 4 2 3 5" xfId="6129" xr:uid="{00000000-0005-0000-0000-000014090000}"/>
    <cellStyle name="計算 2 4 2 4" xfId="404" xr:uid="{00000000-0005-0000-0000-000015090000}"/>
    <cellStyle name="計算 2 4 2 4 2" xfId="913" xr:uid="{00000000-0005-0000-0000-000016090000}"/>
    <cellStyle name="計算 2 4 2 4 2 2" xfId="2019" xr:uid="{00000000-0005-0000-0000-000017090000}"/>
    <cellStyle name="計算 2 4 2 4 2 2 2" xfId="4928" xr:uid="{00000000-0005-0000-0000-000018090000}"/>
    <cellStyle name="計算 2 4 2 4 2 2 2 2" xfId="10403" xr:uid="{00000000-0005-0000-0000-000019090000}"/>
    <cellStyle name="計算 2 4 2 4 2 2 3" xfId="3243" xr:uid="{00000000-0005-0000-0000-00001A090000}"/>
    <cellStyle name="計算 2 4 2 4 2 2 3 2" xfId="8791" xr:uid="{00000000-0005-0000-0000-00001B090000}"/>
    <cellStyle name="計算 2 4 2 4 2 2 4" xfId="7678" xr:uid="{00000000-0005-0000-0000-00001C090000}"/>
    <cellStyle name="計算 2 4 2 4 2 3" xfId="6669" xr:uid="{00000000-0005-0000-0000-00001D090000}"/>
    <cellStyle name="計算 2 4 2 4 3" xfId="1512" xr:uid="{00000000-0005-0000-0000-00001E090000}"/>
    <cellStyle name="計算 2 4 2 4 3 2" xfId="4476" xr:uid="{00000000-0005-0000-0000-00001F090000}"/>
    <cellStyle name="計算 2 4 2 4 3 2 2" xfId="9995" xr:uid="{00000000-0005-0000-0000-000020090000}"/>
    <cellStyle name="計算 2 4 2 4 3 3" xfId="3244" xr:uid="{00000000-0005-0000-0000-000021090000}"/>
    <cellStyle name="計算 2 4 2 4 3 3 2" xfId="8792" xr:uid="{00000000-0005-0000-0000-000022090000}"/>
    <cellStyle name="計算 2 4 2 4 3 4" xfId="7215" xr:uid="{00000000-0005-0000-0000-000023090000}"/>
    <cellStyle name="計算 2 4 2 4 4" xfId="6204" xr:uid="{00000000-0005-0000-0000-000024090000}"/>
    <cellStyle name="計算 2 4 2 5" xfId="691" xr:uid="{00000000-0005-0000-0000-000025090000}"/>
    <cellStyle name="計算 2 4 2 5 2" xfId="1797" xr:uid="{00000000-0005-0000-0000-000026090000}"/>
    <cellStyle name="計算 2 4 2 5 2 2" xfId="4706" xr:uid="{00000000-0005-0000-0000-000027090000}"/>
    <cellStyle name="計算 2 4 2 5 2 2 2" xfId="10203" xr:uid="{00000000-0005-0000-0000-000028090000}"/>
    <cellStyle name="計算 2 4 2 5 2 3" xfId="3245" xr:uid="{00000000-0005-0000-0000-000029090000}"/>
    <cellStyle name="計算 2 4 2 5 2 3 2" xfId="8793" xr:uid="{00000000-0005-0000-0000-00002A090000}"/>
    <cellStyle name="計算 2 4 2 5 2 4" xfId="7478" xr:uid="{00000000-0005-0000-0000-00002B090000}"/>
    <cellStyle name="計算 2 4 2 5 3" xfId="6469" xr:uid="{00000000-0005-0000-0000-00002C090000}"/>
    <cellStyle name="計算 2 4 2 6" xfId="1290" xr:uid="{00000000-0005-0000-0000-00002D090000}"/>
    <cellStyle name="計算 2 4 2 6 2" xfId="4254" xr:uid="{00000000-0005-0000-0000-00002E090000}"/>
    <cellStyle name="計算 2 4 2 6 2 2" xfId="9795" xr:uid="{00000000-0005-0000-0000-00002F090000}"/>
    <cellStyle name="計算 2 4 2 6 3" xfId="3246" xr:uid="{00000000-0005-0000-0000-000030090000}"/>
    <cellStyle name="計算 2 4 2 6 3 2" xfId="8794" xr:uid="{00000000-0005-0000-0000-000031090000}"/>
    <cellStyle name="計算 2 4 2 6 4" xfId="7015" xr:uid="{00000000-0005-0000-0000-000032090000}"/>
    <cellStyle name="計算 2 4 2 7" xfId="6004" xr:uid="{00000000-0005-0000-0000-000033090000}"/>
    <cellStyle name="計算 2 4 3" xfId="199" xr:uid="{00000000-0005-0000-0000-000034090000}"/>
    <cellStyle name="計算 2 4 3 2" xfId="270" xr:uid="{00000000-0005-0000-0000-000035090000}"/>
    <cellStyle name="計算 2 4 3 2 2" xfId="492" xr:uid="{00000000-0005-0000-0000-000036090000}"/>
    <cellStyle name="計算 2 4 3 2 2 2" xfId="1001" xr:uid="{00000000-0005-0000-0000-000037090000}"/>
    <cellStyle name="計算 2 4 3 2 2 2 2" xfId="2107" xr:uid="{00000000-0005-0000-0000-000038090000}"/>
    <cellStyle name="計算 2 4 3 2 2 2 2 2" xfId="5016" xr:uid="{00000000-0005-0000-0000-000039090000}"/>
    <cellStyle name="計算 2 4 3 2 2 2 2 2 2" xfId="10484" xr:uid="{00000000-0005-0000-0000-00003A090000}"/>
    <cellStyle name="計算 2 4 3 2 2 2 2 3" xfId="3247" xr:uid="{00000000-0005-0000-0000-00003B090000}"/>
    <cellStyle name="計算 2 4 3 2 2 2 2 3 2" xfId="8795" xr:uid="{00000000-0005-0000-0000-00003C090000}"/>
    <cellStyle name="計算 2 4 3 2 2 2 2 4" xfId="7759" xr:uid="{00000000-0005-0000-0000-00003D090000}"/>
    <cellStyle name="計算 2 4 3 2 2 2 3" xfId="6750" xr:uid="{00000000-0005-0000-0000-00003E090000}"/>
    <cellStyle name="計算 2 4 3 2 2 3" xfId="1600" xr:uid="{00000000-0005-0000-0000-00003F090000}"/>
    <cellStyle name="計算 2 4 3 2 2 3 2" xfId="4564" xr:uid="{00000000-0005-0000-0000-000040090000}"/>
    <cellStyle name="計算 2 4 3 2 2 3 2 2" xfId="10076" xr:uid="{00000000-0005-0000-0000-000041090000}"/>
    <cellStyle name="計算 2 4 3 2 2 3 3" xfId="3248" xr:uid="{00000000-0005-0000-0000-000042090000}"/>
    <cellStyle name="計算 2 4 3 2 2 3 3 2" xfId="8796" xr:uid="{00000000-0005-0000-0000-000043090000}"/>
    <cellStyle name="計算 2 4 3 2 2 3 4" xfId="7296" xr:uid="{00000000-0005-0000-0000-000044090000}"/>
    <cellStyle name="計算 2 4 3 2 2 4" xfId="6285" xr:uid="{00000000-0005-0000-0000-000045090000}"/>
    <cellStyle name="計算 2 4 3 2 3" xfId="779" xr:uid="{00000000-0005-0000-0000-000046090000}"/>
    <cellStyle name="計算 2 4 3 2 3 2" xfId="1885" xr:uid="{00000000-0005-0000-0000-000047090000}"/>
    <cellStyle name="計算 2 4 3 2 3 2 2" xfId="4794" xr:uid="{00000000-0005-0000-0000-000048090000}"/>
    <cellStyle name="計算 2 4 3 2 3 2 2 2" xfId="10284" xr:uid="{00000000-0005-0000-0000-000049090000}"/>
    <cellStyle name="計算 2 4 3 2 3 2 3" xfId="3249" xr:uid="{00000000-0005-0000-0000-00004A090000}"/>
    <cellStyle name="計算 2 4 3 2 3 2 3 2" xfId="8797" xr:uid="{00000000-0005-0000-0000-00004B090000}"/>
    <cellStyle name="計算 2 4 3 2 3 2 4" xfId="7559" xr:uid="{00000000-0005-0000-0000-00004C090000}"/>
    <cellStyle name="計算 2 4 3 2 3 3" xfId="6550" xr:uid="{00000000-0005-0000-0000-00004D090000}"/>
    <cellStyle name="計算 2 4 3 2 4" xfId="1378" xr:uid="{00000000-0005-0000-0000-00004E090000}"/>
    <cellStyle name="計算 2 4 3 2 4 2" xfId="4342" xr:uid="{00000000-0005-0000-0000-00004F090000}"/>
    <cellStyle name="計算 2 4 3 2 4 2 2" xfId="9876" xr:uid="{00000000-0005-0000-0000-000050090000}"/>
    <cellStyle name="計算 2 4 3 2 4 3" xfId="3250" xr:uid="{00000000-0005-0000-0000-000051090000}"/>
    <cellStyle name="計算 2 4 3 2 4 3 2" xfId="8798" xr:uid="{00000000-0005-0000-0000-000052090000}"/>
    <cellStyle name="計算 2 4 3 2 4 4" xfId="7096" xr:uid="{00000000-0005-0000-0000-000053090000}"/>
    <cellStyle name="計算 2 4 3 2 5" xfId="6085" xr:uid="{00000000-0005-0000-0000-000054090000}"/>
    <cellStyle name="計算 2 4 3 3" xfId="335" xr:uid="{00000000-0005-0000-0000-000055090000}"/>
    <cellStyle name="計算 2 4 3 3 2" xfId="557" xr:uid="{00000000-0005-0000-0000-000056090000}"/>
    <cellStyle name="計算 2 4 3 3 2 2" xfId="1066" xr:uid="{00000000-0005-0000-0000-000057090000}"/>
    <cellStyle name="計算 2 4 3 3 2 2 2" xfId="2172" xr:uid="{00000000-0005-0000-0000-000058090000}"/>
    <cellStyle name="計算 2 4 3 3 2 2 2 2" xfId="5081" xr:uid="{00000000-0005-0000-0000-000059090000}"/>
    <cellStyle name="計算 2 4 3 3 2 2 2 2 2" xfId="10543" xr:uid="{00000000-0005-0000-0000-00005A090000}"/>
    <cellStyle name="計算 2 4 3 3 2 2 2 3" xfId="3251" xr:uid="{00000000-0005-0000-0000-00005B090000}"/>
    <cellStyle name="計算 2 4 3 3 2 2 2 3 2" xfId="8799" xr:uid="{00000000-0005-0000-0000-00005C090000}"/>
    <cellStyle name="計算 2 4 3 3 2 2 2 4" xfId="7818" xr:uid="{00000000-0005-0000-0000-00005D090000}"/>
    <cellStyle name="計算 2 4 3 3 2 2 3" xfId="6809" xr:uid="{00000000-0005-0000-0000-00005E090000}"/>
    <cellStyle name="計算 2 4 3 3 2 3" xfId="1665" xr:uid="{00000000-0005-0000-0000-00005F090000}"/>
    <cellStyle name="計算 2 4 3 3 2 3 2" xfId="4629" xr:uid="{00000000-0005-0000-0000-000060090000}"/>
    <cellStyle name="計算 2 4 3 3 2 3 2 2" xfId="10135" xr:uid="{00000000-0005-0000-0000-000061090000}"/>
    <cellStyle name="計算 2 4 3 3 2 3 3" xfId="3252" xr:uid="{00000000-0005-0000-0000-000062090000}"/>
    <cellStyle name="計算 2 4 3 3 2 3 3 2" xfId="8800" xr:uid="{00000000-0005-0000-0000-000063090000}"/>
    <cellStyle name="計算 2 4 3 3 2 3 4" xfId="7355" xr:uid="{00000000-0005-0000-0000-000064090000}"/>
    <cellStyle name="計算 2 4 3 3 2 4" xfId="6344" xr:uid="{00000000-0005-0000-0000-000065090000}"/>
    <cellStyle name="計算 2 4 3 3 3" xfId="844" xr:uid="{00000000-0005-0000-0000-000066090000}"/>
    <cellStyle name="計算 2 4 3 3 3 2" xfId="1950" xr:uid="{00000000-0005-0000-0000-000067090000}"/>
    <cellStyle name="計算 2 4 3 3 3 2 2" xfId="4859" xr:uid="{00000000-0005-0000-0000-000068090000}"/>
    <cellStyle name="計算 2 4 3 3 3 2 2 2" xfId="10343" xr:uid="{00000000-0005-0000-0000-000069090000}"/>
    <cellStyle name="計算 2 4 3 3 3 2 3" xfId="3253" xr:uid="{00000000-0005-0000-0000-00006A090000}"/>
    <cellStyle name="計算 2 4 3 3 3 2 3 2" xfId="8801" xr:uid="{00000000-0005-0000-0000-00006B090000}"/>
    <cellStyle name="計算 2 4 3 3 3 2 4" xfId="7618" xr:uid="{00000000-0005-0000-0000-00006C090000}"/>
    <cellStyle name="計算 2 4 3 3 3 3" xfId="6609" xr:uid="{00000000-0005-0000-0000-00006D090000}"/>
    <cellStyle name="計算 2 4 3 3 4" xfId="1443" xr:uid="{00000000-0005-0000-0000-00006E090000}"/>
    <cellStyle name="計算 2 4 3 3 4 2" xfId="4407" xr:uid="{00000000-0005-0000-0000-00006F090000}"/>
    <cellStyle name="計算 2 4 3 3 4 2 2" xfId="9935" xr:uid="{00000000-0005-0000-0000-000070090000}"/>
    <cellStyle name="計算 2 4 3 3 4 3" xfId="3254" xr:uid="{00000000-0005-0000-0000-000071090000}"/>
    <cellStyle name="計算 2 4 3 3 4 3 2" xfId="8802" xr:uid="{00000000-0005-0000-0000-000072090000}"/>
    <cellStyle name="計算 2 4 3 3 4 4" xfId="7155" xr:uid="{00000000-0005-0000-0000-000073090000}"/>
    <cellStyle name="計算 2 4 3 3 5" xfId="6144" xr:uid="{00000000-0005-0000-0000-000074090000}"/>
    <cellStyle name="計算 2 4 3 4" xfId="421" xr:uid="{00000000-0005-0000-0000-000075090000}"/>
    <cellStyle name="計算 2 4 3 4 2" xfId="930" xr:uid="{00000000-0005-0000-0000-000076090000}"/>
    <cellStyle name="計算 2 4 3 4 2 2" xfId="2036" xr:uid="{00000000-0005-0000-0000-000077090000}"/>
    <cellStyle name="計算 2 4 3 4 2 2 2" xfId="4945" xr:uid="{00000000-0005-0000-0000-000078090000}"/>
    <cellStyle name="計算 2 4 3 4 2 2 2 2" xfId="10418" xr:uid="{00000000-0005-0000-0000-000079090000}"/>
    <cellStyle name="計算 2 4 3 4 2 2 3" xfId="3255" xr:uid="{00000000-0005-0000-0000-00007A090000}"/>
    <cellStyle name="計算 2 4 3 4 2 2 3 2" xfId="8803" xr:uid="{00000000-0005-0000-0000-00007B090000}"/>
    <cellStyle name="計算 2 4 3 4 2 2 4" xfId="7693" xr:uid="{00000000-0005-0000-0000-00007C090000}"/>
    <cellStyle name="計算 2 4 3 4 2 3" xfId="6684" xr:uid="{00000000-0005-0000-0000-00007D090000}"/>
    <cellStyle name="計算 2 4 3 4 3" xfId="1529" xr:uid="{00000000-0005-0000-0000-00007E090000}"/>
    <cellStyle name="計算 2 4 3 4 3 2" xfId="4493" xr:uid="{00000000-0005-0000-0000-00007F090000}"/>
    <cellStyle name="計算 2 4 3 4 3 2 2" xfId="10010" xr:uid="{00000000-0005-0000-0000-000080090000}"/>
    <cellStyle name="計算 2 4 3 4 3 3" xfId="3256" xr:uid="{00000000-0005-0000-0000-000081090000}"/>
    <cellStyle name="計算 2 4 3 4 3 3 2" xfId="8804" xr:uid="{00000000-0005-0000-0000-000082090000}"/>
    <cellStyle name="計算 2 4 3 4 3 4" xfId="7230" xr:uid="{00000000-0005-0000-0000-000083090000}"/>
    <cellStyle name="計算 2 4 3 4 4" xfId="6219" xr:uid="{00000000-0005-0000-0000-000084090000}"/>
    <cellStyle name="計算 2 4 3 5" xfId="708" xr:uid="{00000000-0005-0000-0000-000085090000}"/>
    <cellStyle name="計算 2 4 3 5 2" xfId="1814" xr:uid="{00000000-0005-0000-0000-000086090000}"/>
    <cellStyle name="計算 2 4 3 5 2 2" xfId="4723" xr:uid="{00000000-0005-0000-0000-000087090000}"/>
    <cellStyle name="計算 2 4 3 5 2 2 2" xfId="10218" xr:uid="{00000000-0005-0000-0000-000088090000}"/>
    <cellStyle name="計算 2 4 3 5 2 3" xfId="3257" xr:uid="{00000000-0005-0000-0000-000089090000}"/>
    <cellStyle name="計算 2 4 3 5 2 3 2" xfId="8805" xr:uid="{00000000-0005-0000-0000-00008A090000}"/>
    <cellStyle name="計算 2 4 3 5 2 4" xfId="7493" xr:uid="{00000000-0005-0000-0000-00008B090000}"/>
    <cellStyle name="計算 2 4 3 5 3" xfId="6484" xr:uid="{00000000-0005-0000-0000-00008C090000}"/>
    <cellStyle name="計算 2 4 3 6" xfId="1307" xr:uid="{00000000-0005-0000-0000-00008D090000}"/>
    <cellStyle name="計算 2 4 3 6 2" xfId="4271" xr:uid="{00000000-0005-0000-0000-00008E090000}"/>
    <cellStyle name="計算 2 4 3 6 2 2" xfId="9810" xr:uid="{00000000-0005-0000-0000-00008F090000}"/>
    <cellStyle name="計算 2 4 3 6 3" xfId="3258" xr:uid="{00000000-0005-0000-0000-000090090000}"/>
    <cellStyle name="計算 2 4 3 6 3 2" xfId="8806" xr:uid="{00000000-0005-0000-0000-000091090000}"/>
    <cellStyle name="計算 2 4 3 6 4" xfId="7030" xr:uid="{00000000-0005-0000-0000-000092090000}"/>
    <cellStyle name="計算 2 4 3 7" xfId="6019" xr:uid="{00000000-0005-0000-0000-000093090000}"/>
    <cellStyle name="計算 2 4 4" xfId="227" xr:uid="{00000000-0005-0000-0000-000094090000}"/>
    <cellStyle name="計算 2 4 4 2" xfId="449" xr:uid="{00000000-0005-0000-0000-000095090000}"/>
    <cellStyle name="計算 2 4 4 2 2" xfId="958" xr:uid="{00000000-0005-0000-0000-000096090000}"/>
    <cellStyle name="計算 2 4 4 2 2 2" xfId="2064" xr:uid="{00000000-0005-0000-0000-000097090000}"/>
    <cellStyle name="計算 2 4 4 2 2 2 2" xfId="4973" xr:uid="{00000000-0005-0000-0000-000098090000}"/>
    <cellStyle name="計算 2 4 4 2 2 2 2 2" xfId="10443" xr:uid="{00000000-0005-0000-0000-000099090000}"/>
    <cellStyle name="計算 2 4 4 2 2 2 3" xfId="3259" xr:uid="{00000000-0005-0000-0000-00009A090000}"/>
    <cellStyle name="計算 2 4 4 2 2 2 3 2" xfId="8807" xr:uid="{00000000-0005-0000-0000-00009B090000}"/>
    <cellStyle name="計算 2 4 4 2 2 2 4" xfId="7718" xr:uid="{00000000-0005-0000-0000-00009C090000}"/>
    <cellStyle name="計算 2 4 4 2 2 3" xfId="6709" xr:uid="{00000000-0005-0000-0000-00009D090000}"/>
    <cellStyle name="計算 2 4 4 2 3" xfId="1557" xr:uid="{00000000-0005-0000-0000-00009E090000}"/>
    <cellStyle name="計算 2 4 4 2 3 2" xfId="4521" xr:uid="{00000000-0005-0000-0000-00009F090000}"/>
    <cellStyle name="計算 2 4 4 2 3 2 2" xfId="10035" xr:uid="{00000000-0005-0000-0000-0000A0090000}"/>
    <cellStyle name="計算 2 4 4 2 3 3" xfId="3260" xr:uid="{00000000-0005-0000-0000-0000A1090000}"/>
    <cellStyle name="計算 2 4 4 2 3 3 2" xfId="8808" xr:uid="{00000000-0005-0000-0000-0000A2090000}"/>
    <cellStyle name="計算 2 4 4 2 3 4" xfId="7255" xr:uid="{00000000-0005-0000-0000-0000A3090000}"/>
    <cellStyle name="計算 2 4 4 2 4" xfId="6244" xr:uid="{00000000-0005-0000-0000-0000A4090000}"/>
    <cellStyle name="計算 2 4 4 3" xfId="736" xr:uid="{00000000-0005-0000-0000-0000A5090000}"/>
    <cellStyle name="計算 2 4 4 3 2" xfId="1842" xr:uid="{00000000-0005-0000-0000-0000A6090000}"/>
    <cellStyle name="計算 2 4 4 3 2 2" xfId="4751" xr:uid="{00000000-0005-0000-0000-0000A7090000}"/>
    <cellStyle name="計算 2 4 4 3 2 2 2" xfId="10243" xr:uid="{00000000-0005-0000-0000-0000A8090000}"/>
    <cellStyle name="計算 2 4 4 3 2 3" xfId="3261" xr:uid="{00000000-0005-0000-0000-0000A9090000}"/>
    <cellStyle name="計算 2 4 4 3 2 3 2" xfId="8809" xr:uid="{00000000-0005-0000-0000-0000AA090000}"/>
    <cellStyle name="計算 2 4 4 3 2 4" xfId="7518" xr:uid="{00000000-0005-0000-0000-0000AB090000}"/>
    <cellStyle name="計算 2 4 4 3 3" xfId="6509" xr:uid="{00000000-0005-0000-0000-0000AC090000}"/>
    <cellStyle name="計算 2 4 4 4" xfId="1335" xr:uid="{00000000-0005-0000-0000-0000AD090000}"/>
    <cellStyle name="計算 2 4 4 4 2" xfId="4299" xr:uid="{00000000-0005-0000-0000-0000AE090000}"/>
    <cellStyle name="計算 2 4 4 4 2 2" xfId="9835" xr:uid="{00000000-0005-0000-0000-0000AF090000}"/>
    <cellStyle name="計算 2 4 4 4 3" xfId="3262" xr:uid="{00000000-0005-0000-0000-0000B0090000}"/>
    <cellStyle name="計算 2 4 4 4 3 2" xfId="8810" xr:uid="{00000000-0005-0000-0000-0000B1090000}"/>
    <cellStyle name="計算 2 4 4 4 4" xfId="7055" xr:uid="{00000000-0005-0000-0000-0000B2090000}"/>
    <cellStyle name="計算 2 4 4 5" xfId="6044" xr:uid="{00000000-0005-0000-0000-0000B3090000}"/>
    <cellStyle name="計算 2 4 5" xfId="288" xr:uid="{00000000-0005-0000-0000-0000B4090000}"/>
    <cellStyle name="計算 2 4 5 2" xfId="510" xr:uid="{00000000-0005-0000-0000-0000B5090000}"/>
    <cellStyle name="計算 2 4 5 2 2" xfId="1019" xr:uid="{00000000-0005-0000-0000-0000B6090000}"/>
    <cellStyle name="計算 2 4 5 2 2 2" xfId="2125" xr:uid="{00000000-0005-0000-0000-0000B7090000}"/>
    <cellStyle name="計算 2 4 5 2 2 2 2" xfId="5034" xr:uid="{00000000-0005-0000-0000-0000B8090000}"/>
    <cellStyle name="計算 2 4 5 2 2 2 2 2" xfId="10502" xr:uid="{00000000-0005-0000-0000-0000B9090000}"/>
    <cellStyle name="計算 2 4 5 2 2 2 3" xfId="3263" xr:uid="{00000000-0005-0000-0000-0000BA090000}"/>
    <cellStyle name="計算 2 4 5 2 2 2 3 2" xfId="8811" xr:uid="{00000000-0005-0000-0000-0000BB090000}"/>
    <cellStyle name="計算 2 4 5 2 2 2 4" xfId="7777" xr:uid="{00000000-0005-0000-0000-0000BC090000}"/>
    <cellStyle name="計算 2 4 5 2 2 3" xfId="6768" xr:uid="{00000000-0005-0000-0000-0000BD090000}"/>
    <cellStyle name="計算 2 4 5 2 3" xfId="1618" xr:uid="{00000000-0005-0000-0000-0000BE090000}"/>
    <cellStyle name="計算 2 4 5 2 3 2" xfId="4582" xr:uid="{00000000-0005-0000-0000-0000BF090000}"/>
    <cellStyle name="計算 2 4 5 2 3 2 2" xfId="10094" xr:uid="{00000000-0005-0000-0000-0000C0090000}"/>
    <cellStyle name="計算 2 4 5 2 3 3" xfId="3264" xr:uid="{00000000-0005-0000-0000-0000C1090000}"/>
    <cellStyle name="計算 2 4 5 2 3 3 2" xfId="8812" xr:uid="{00000000-0005-0000-0000-0000C2090000}"/>
    <cellStyle name="計算 2 4 5 2 3 4" xfId="7314" xr:uid="{00000000-0005-0000-0000-0000C3090000}"/>
    <cellStyle name="計算 2 4 5 2 4" xfId="6303" xr:uid="{00000000-0005-0000-0000-0000C4090000}"/>
    <cellStyle name="計算 2 4 5 3" xfId="797" xr:uid="{00000000-0005-0000-0000-0000C5090000}"/>
    <cellStyle name="計算 2 4 5 3 2" xfId="1903" xr:uid="{00000000-0005-0000-0000-0000C6090000}"/>
    <cellStyle name="計算 2 4 5 3 2 2" xfId="4812" xr:uid="{00000000-0005-0000-0000-0000C7090000}"/>
    <cellStyle name="計算 2 4 5 3 2 2 2" xfId="10302" xr:uid="{00000000-0005-0000-0000-0000C8090000}"/>
    <cellStyle name="計算 2 4 5 3 2 3" xfId="3265" xr:uid="{00000000-0005-0000-0000-0000C9090000}"/>
    <cellStyle name="計算 2 4 5 3 2 3 2" xfId="8813" xr:uid="{00000000-0005-0000-0000-0000CA090000}"/>
    <cellStyle name="計算 2 4 5 3 2 4" xfId="7577" xr:uid="{00000000-0005-0000-0000-0000CB090000}"/>
    <cellStyle name="計算 2 4 5 3 3" xfId="6568" xr:uid="{00000000-0005-0000-0000-0000CC090000}"/>
    <cellStyle name="計算 2 4 5 4" xfId="1396" xr:uid="{00000000-0005-0000-0000-0000CD090000}"/>
    <cellStyle name="計算 2 4 5 4 2" xfId="4360" xr:uid="{00000000-0005-0000-0000-0000CE090000}"/>
    <cellStyle name="計算 2 4 5 4 2 2" xfId="9894" xr:uid="{00000000-0005-0000-0000-0000CF090000}"/>
    <cellStyle name="計算 2 4 5 4 3" xfId="3266" xr:uid="{00000000-0005-0000-0000-0000D0090000}"/>
    <cellStyle name="計算 2 4 5 4 3 2" xfId="8814" xr:uid="{00000000-0005-0000-0000-0000D1090000}"/>
    <cellStyle name="計算 2 4 5 4 4" xfId="7114" xr:uid="{00000000-0005-0000-0000-0000D2090000}"/>
    <cellStyle name="計算 2 4 5 5" xfId="6103" xr:uid="{00000000-0005-0000-0000-0000D3090000}"/>
    <cellStyle name="計算 2 4 6" xfId="371" xr:uid="{00000000-0005-0000-0000-0000D4090000}"/>
    <cellStyle name="計算 2 4 6 2" xfId="880" xr:uid="{00000000-0005-0000-0000-0000D5090000}"/>
    <cellStyle name="計算 2 4 6 2 2" xfId="1986" xr:uid="{00000000-0005-0000-0000-0000D6090000}"/>
    <cellStyle name="計算 2 4 6 2 2 2" xfId="4895" xr:uid="{00000000-0005-0000-0000-0000D7090000}"/>
    <cellStyle name="計算 2 4 6 2 2 2 2" xfId="10374" xr:uid="{00000000-0005-0000-0000-0000D8090000}"/>
    <cellStyle name="計算 2 4 6 2 2 3" xfId="3267" xr:uid="{00000000-0005-0000-0000-0000D9090000}"/>
    <cellStyle name="計算 2 4 6 2 2 3 2" xfId="8815" xr:uid="{00000000-0005-0000-0000-0000DA090000}"/>
    <cellStyle name="計算 2 4 6 2 2 4" xfId="7649" xr:uid="{00000000-0005-0000-0000-0000DB090000}"/>
    <cellStyle name="計算 2 4 6 2 3" xfId="6640" xr:uid="{00000000-0005-0000-0000-0000DC090000}"/>
    <cellStyle name="計算 2 4 6 3" xfId="1479" xr:uid="{00000000-0005-0000-0000-0000DD090000}"/>
    <cellStyle name="計算 2 4 6 3 2" xfId="4443" xr:uid="{00000000-0005-0000-0000-0000DE090000}"/>
    <cellStyle name="計算 2 4 6 3 2 2" xfId="9966" xr:uid="{00000000-0005-0000-0000-0000DF090000}"/>
    <cellStyle name="計算 2 4 6 3 3" xfId="3268" xr:uid="{00000000-0005-0000-0000-0000E0090000}"/>
    <cellStyle name="計算 2 4 6 3 3 2" xfId="8816" xr:uid="{00000000-0005-0000-0000-0000E1090000}"/>
    <cellStyle name="計算 2 4 6 3 4" xfId="7186" xr:uid="{00000000-0005-0000-0000-0000E2090000}"/>
    <cellStyle name="計算 2 4 6 4" xfId="6175" xr:uid="{00000000-0005-0000-0000-0000E3090000}"/>
    <cellStyle name="計算 2 4 7" xfId="656" xr:uid="{00000000-0005-0000-0000-0000E4090000}"/>
    <cellStyle name="計算 2 4 7 2" xfId="1762" xr:uid="{00000000-0005-0000-0000-0000E5090000}"/>
    <cellStyle name="計算 2 4 7 2 2" xfId="4671" xr:uid="{00000000-0005-0000-0000-0000E6090000}"/>
    <cellStyle name="計算 2 4 7 2 2 2" xfId="10172" xr:uid="{00000000-0005-0000-0000-0000E7090000}"/>
    <cellStyle name="計算 2 4 7 2 3" xfId="3269" xr:uid="{00000000-0005-0000-0000-0000E8090000}"/>
    <cellStyle name="計算 2 4 7 2 3 2" xfId="8817" xr:uid="{00000000-0005-0000-0000-0000E9090000}"/>
    <cellStyle name="計算 2 4 7 2 4" xfId="7447" xr:uid="{00000000-0005-0000-0000-0000EA090000}"/>
    <cellStyle name="計算 2 4 7 3" xfId="6438" xr:uid="{00000000-0005-0000-0000-0000EB090000}"/>
    <cellStyle name="計算 2 4 8" xfId="1255" xr:uid="{00000000-0005-0000-0000-0000EC090000}"/>
    <cellStyle name="計算 2 4 8 2" xfId="4219" xr:uid="{00000000-0005-0000-0000-0000ED090000}"/>
    <cellStyle name="計算 2 4 8 2 2" xfId="9764" xr:uid="{00000000-0005-0000-0000-0000EE090000}"/>
    <cellStyle name="計算 2 4 8 3" xfId="3270" xr:uid="{00000000-0005-0000-0000-0000EF090000}"/>
    <cellStyle name="計算 2 4 8 3 2" xfId="8818" xr:uid="{00000000-0005-0000-0000-0000F0090000}"/>
    <cellStyle name="計算 2 4 8 4" xfId="6984" xr:uid="{00000000-0005-0000-0000-0000F1090000}"/>
    <cellStyle name="計算 2 4 9" xfId="5972" xr:uid="{00000000-0005-0000-0000-0000F2090000}"/>
    <cellStyle name="計算 2 5" xfId="148" xr:uid="{00000000-0005-0000-0000-0000F3090000}"/>
    <cellStyle name="計算 2 5 2" xfId="201" xr:uid="{00000000-0005-0000-0000-0000F4090000}"/>
    <cellStyle name="計算 2 5 2 2" xfId="272" xr:uid="{00000000-0005-0000-0000-0000F5090000}"/>
    <cellStyle name="計算 2 5 2 2 2" xfId="494" xr:uid="{00000000-0005-0000-0000-0000F6090000}"/>
    <cellStyle name="計算 2 5 2 2 2 2" xfId="1003" xr:uid="{00000000-0005-0000-0000-0000F7090000}"/>
    <cellStyle name="計算 2 5 2 2 2 2 2" xfId="2109" xr:uid="{00000000-0005-0000-0000-0000F8090000}"/>
    <cellStyle name="計算 2 5 2 2 2 2 2 2" xfId="5018" xr:uid="{00000000-0005-0000-0000-0000F9090000}"/>
    <cellStyle name="計算 2 5 2 2 2 2 2 2 2" xfId="10486" xr:uid="{00000000-0005-0000-0000-0000FA090000}"/>
    <cellStyle name="計算 2 5 2 2 2 2 2 3" xfId="3271" xr:uid="{00000000-0005-0000-0000-0000FB090000}"/>
    <cellStyle name="計算 2 5 2 2 2 2 2 3 2" xfId="8819" xr:uid="{00000000-0005-0000-0000-0000FC090000}"/>
    <cellStyle name="計算 2 5 2 2 2 2 2 4" xfId="7761" xr:uid="{00000000-0005-0000-0000-0000FD090000}"/>
    <cellStyle name="計算 2 5 2 2 2 2 3" xfId="6752" xr:uid="{00000000-0005-0000-0000-0000FE090000}"/>
    <cellStyle name="計算 2 5 2 2 2 3" xfId="1602" xr:uid="{00000000-0005-0000-0000-0000FF090000}"/>
    <cellStyle name="計算 2 5 2 2 2 3 2" xfId="4566" xr:uid="{00000000-0005-0000-0000-0000000A0000}"/>
    <cellStyle name="計算 2 5 2 2 2 3 2 2" xfId="10078" xr:uid="{00000000-0005-0000-0000-0000010A0000}"/>
    <cellStyle name="計算 2 5 2 2 2 3 3" xfId="3272" xr:uid="{00000000-0005-0000-0000-0000020A0000}"/>
    <cellStyle name="計算 2 5 2 2 2 3 3 2" xfId="8820" xr:uid="{00000000-0005-0000-0000-0000030A0000}"/>
    <cellStyle name="計算 2 5 2 2 2 3 4" xfId="7298" xr:uid="{00000000-0005-0000-0000-0000040A0000}"/>
    <cellStyle name="計算 2 5 2 2 2 4" xfId="6287" xr:uid="{00000000-0005-0000-0000-0000050A0000}"/>
    <cellStyle name="計算 2 5 2 2 3" xfId="781" xr:uid="{00000000-0005-0000-0000-0000060A0000}"/>
    <cellStyle name="計算 2 5 2 2 3 2" xfId="1887" xr:uid="{00000000-0005-0000-0000-0000070A0000}"/>
    <cellStyle name="計算 2 5 2 2 3 2 2" xfId="4796" xr:uid="{00000000-0005-0000-0000-0000080A0000}"/>
    <cellStyle name="計算 2 5 2 2 3 2 2 2" xfId="10286" xr:uid="{00000000-0005-0000-0000-0000090A0000}"/>
    <cellStyle name="計算 2 5 2 2 3 2 3" xfId="3273" xr:uid="{00000000-0005-0000-0000-00000A0A0000}"/>
    <cellStyle name="計算 2 5 2 2 3 2 3 2" xfId="8821" xr:uid="{00000000-0005-0000-0000-00000B0A0000}"/>
    <cellStyle name="計算 2 5 2 2 3 2 4" xfId="7561" xr:uid="{00000000-0005-0000-0000-00000C0A0000}"/>
    <cellStyle name="計算 2 5 2 2 3 3" xfId="6552" xr:uid="{00000000-0005-0000-0000-00000D0A0000}"/>
    <cellStyle name="計算 2 5 2 2 4" xfId="1380" xr:uid="{00000000-0005-0000-0000-00000E0A0000}"/>
    <cellStyle name="計算 2 5 2 2 4 2" xfId="4344" xr:uid="{00000000-0005-0000-0000-00000F0A0000}"/>
    <cellStyle name="計算 2 5 2 2 4 2 2" xfId="9878" xr:uid="{00000000-0005-0000-0000-0000100A0000}"/>
    <cellStyle name="計算 2 5 2 2 4 3" xfId="3274" xr:uid="{00000000-0005-0000-0000-0000110A0000}"/>
    <cellStyle name="計算 2 5 2 2 4 3 2" xfId="8822" xr:uid="{00000000-0005-0000-0000-0000120A0000}"/>
    <cellStyle name="計算 2 5 2 2 4 4" xfId="7098" xr:uid="{00000000-0005-0000-0000-0000130A0000}"/>
    <cellStyle name="計算 2 5 2 2 5" xfId="6087" xr:uid="{00000000-0005-0000-0000-0000140A0000}"/>
    <cellStyle name="計算 2 5 2 3" xfId="337" xr:uid="{00000000-0005-0000-0000-0000150A0000}"/>
    <cellStyle name="計算 2 5 2 3 2" xfId="559" xr:uid="{00000000-0005-0000-0000-0000160A0000}"/>
    <cellStyle name="計算 2 5 2 3 2 2" xfId="1068" xr:uid="{00000000-0005-0000-0000-0000170A0000}"/>
    <cellStyle name="計算 2 5 2 3 2 2 2" xfId="2174" xr:uid="{00000000-0005-0000-0000-0000180A0000}"/>
    <cellStyle name="計算 2 5 2 3 2 2 2 2" xfId="5083" xr:uid="{00000000-0005-0000-0000-0000190A0000}"/>
    <cellStyle name="計算 2 5 2 3 2 2 2 2 2" xfId="10545" xr:uid="{00000000-0005-0000-0000-00001A0A0000}"/>
    <cellStyle name="計算 2 5 2 3 2 2 2 3" xfId="3275" xr:uid="{00000000-0005-0000-0000-00001B0A0000}"/>
    <cellStyle name="計算 2 5 2 3 2 2 2 3 2" xfId="8823" xr:uid="{00000000-0005-0000-0000-00001C0A0000}"/>
    <cellStyle name="計算 2 5 2 3 2 2 2 4" xfId="7820" xr:uid="{00000000-0005-0000-0000-00001D0A0000}"/>
    <cellStyle name="計算 2 5 2 3 2 2 3" xfId="6811" xr:uid="{00000000-0005-0000-0000-00001E0A0000}"/>
    <cellStyle name="計算 2 5 2 3 2 3" xfId="1667" xr:uid="{00000000-0005-0000-0000-00001F0A0000}"/>
    <cellStyle name="計算 2 5 2 3 2 3 2" xfId="4631" xr:uid="{00000000-0005-0000-0000-0000200A0000}"/>
    <cellStyle name="計算 2 5 2 3 2 3 2 2" xfId="10137" xr:uid="{00000000-0005-0000-0000-0000210A0000}"/>
    <cellStyle name="計算 2 5 2 3 2 3 3" xfId="3276" xr:uid="{00000000-0005-0000-0000-0000220A0000}"/>
    <cellStyle name="計算 2 5 2 3 2 3 3 2" xfId="8824" xr:uid="{00000000-0005-0000-0000-0000230A0000}"/>
    <cellStyle name="計算 2 5 2 3 2 3 4" xfId="7357" xr:uid="{00000000-0005-0000-0000-0000240A0000}"/>
    <cellStyle name="計算 2 5 2 3 2 4" xfId="6346" xr:uid="{00000000-0005-0000-0000-0000250A0000}"/>
    <cellStyle name="計算 2 5 2 3 3" xfId="846" xr:uid="{00000000-0005-0000-0000-0000260A0000}"/>
    <cellStyle name="計算 2 5 2 3 3 2" xfId="1952" xr:uid="{00000000-0005-0000-0000-0000270A0000}"/>
    <cellStyle name="計算 2 5 2 3 3 2 2" xfId="4861" xr:uid="{00000000-0005-0000-0000-0000280A0000}"/>
    <cellStyle name="計算 2 5 2 3 3 2 2 2" xfId="10345" xr:uid="{00000000-0005-0000-0000-0000290A0000}"/>
    <cellStyle name="計算 2 5 2 3 3 2 3" xfId="3277" xr:uid="{00000000-0005-0000-0000-00002A0A0000}"/>
    <cellStyle name="計算 2 5 2 3 3 2 3 2" xfId="8825" xr:uid="{00000000-0005-0000-0000-00002B0A0000}"/>
    <cellStyle name="計算 2 5 2 3 3 2 4" xfId="7620" xr:uid="{00000000-0005-0000-0000-00002C0A0000}"/>
    <cellStyle name="計算 2 5 2 3 3 3" xfId="6611" xr:uid="{00000000-0005-0000-0000-00002D0A0000}"/>
    <cellStyle name="計算 2 5 2 3 4" xfId="1445" xr:uid="{00000000-0005-0000-0000-00002E0A0000}"/>
    <cellStyle name="計算 2 5 2 3 4 2" xfId="4409" xr:uid="{00000000-0005-0000-0000-00002F0A0000}"/>
    <cellStyle name="計算 2 5 2 3 4 2 2" xfId="9937" xr:uid="{00000000-0005-0000-0000-0000300A0000}"/>
    <cellStyle name="計算 2 5 2 3 4 3" xfId="3278" xr:uid="{00000000-0005-0000-0000-0000310A0000}"/>
    <cellStyle name="計算 2 5 2 3 4 3 2" xfId="8826" xr:uid="{00000000-0005-0000-0000-0000320A0000}"/>
    <cellStyle name="計算 2 5 2 3 4 4" xfId="7157" xr:uid="{00000000-0005-0000-0000-0000330A0000}"/>
    <cellStyle name="計算 2 5 2 3 5" xfId="6146" xr:uid="{00000000-0005-0000-0000-0000340A0000}"/>
    <cellStyle name="計算 2 5 2 4" xfId="423" xr:uid="{00000000-0005-0000-0000-0000350A0000}"/>
    <cellStyle name="計算 2 5 2 4 2" xfId="932" xr:uid="{00000000-0005-0000-0000-0000360A0000}"/>
    <cellStyle name="計算 2 5 2 4 2 2" xfId="2038" xr:uid="{00000000-0005-0000-0000-0000370A0000}"/>
    <cellStyle name="計算 2 5 2 4 2 2 2" xfId="4947" xr:uid="{00000000-0005-0000-0000-0000380A0000}"/>
    <cellStyle name="計算 2 5 2 4 2 2 2 2" xfId="10420" xr:uid="{00000000-0005-0000-0000-0000390A0000}"/>
    <cellStyle name="計算 2 5 2 4 2 2 3" xfId="3279" xr:uid="{00000000-0005-0000-0000-00003A0A0000}"/>
    <cellStyle name="計算 2 5 2 4 2 2 3 2" xfId="8827" xr:uid="{00000000-0005-0000-0000-00003B0A0000}"/>
    <cellStyle name="計算 2 5 2 4 2 2 4" xfId="7695" xr:uid="{00000000-0005-0000-0000-00003C0A0000}"/>
    <cellStyle name="計算 2 5 2 4 2 3" xfId="6686" xr:uid="{00000000-0005-0000-0000-00003D0A0000}"/>
    <cellStyle name="計算 2 5 2 4 3" xfId="1531" xr:uid="{00000000-0005-0000-0000-00003E0A0000}"/>
    <cellStyle name="計算 2 5 2 4 3 2" xfId="4495" xr:uid="{00000000-0005-0000-0000-00003F0A0000}"/>
    <cellStyle name="計算 2 5 2 4 3 2 2" xfId="10012" xr:uid="{00000000-0005-0000-0000-0000400A0000}"/>
    <cellStyle name="計算 2 5 2 4 3 3" xfId="3280" xr:uid="{00000000-0005-0000-0000-0000410A0000}"/>
    <cellStyle name="計算 2 5 2 4 3 3 2" xfId="8828" xr:uid="{00000000-0005-0000-0000-0000420A0000}"/>
    <cellStyle name="計算 2 5 2 4 3 4" xfId="7232" xr:uid="{00000000-0005-0000-0000-0000430A0000}"/>
    <cellStyle name="計算 2 5 2 4 4" xfId="6221" xr:uid="{00000000-0005-0000-0000-0000440A0000}"/>
    <cellStyle name="計算 2 5 2 5" xfId="710" xr:uid="{00000000-0005-0000-0000-0000450A0000}"/>
    <cellStyle name="計算 2 5 2 5 2" xfId="1816" xr:uid="{00000000-0005-0000-0000-0000460A0000}"/>
    <cellStyle name="計算 2 5 2 5 2 2" xfId="4725" xr:uid="{00000000-0005-0000-0000-0000470A0000}"/>
    <cellStyle name="計算 2 5 2 5 2 2 2" xfId="10220" xr:uid="{00000000-0005-0000-0000-0000480A0000}"/>
    <cellStyle name="計算 2 5 2 5 2 3" xfId="3281" xr:uid="{00000000-0005-0000-0000-0000490A0000}"/>
    <cellStyle name="計算 2 5 2 5 2 3 2" xfId="8829" xr:uid="{00000000-0005-0000-0000-00004A0A0000}"/>
    <cellStyle name="計算 2 5 2 5 2 4" xfId="7495" xr:uid="{00000000-0005-0000-0000-00004B0A0000}"/>
    <cellStyle name="計算 2 5 2 5 3" xfId="6486" xr:uid="{00000000-0005-0000-0000-00004C0A0000}"/>
    <cellStyle name="計算 2 5 2 6" xfId="1309" xr:uid="{00000000-0005-0000-0000-00004D0A0000}"/>
    <cellStyle name="計算 2 5 2 6 2" xfId="4273" xr:uid="{00000000-0005-0000-0000-00004E0A0000}"/>
    <cellStyle name="計算 2 5 2 6 2 2" xfId="9812" xr:uid="{00000000-0005-0000-0000-00004F0A0000}"/>
    <cellStyle name="計算 2 5 2 6 3" xfId="3282" xr:uid="{00000000-0005-0000-0000-0000500A0000}"/>
    <cellStyle name="計算 2 5 2 6 3 2" xfId="8830" xr:uid="{00000000-0005-0000-0000-0000510A0000}"/>
    <cellStyle name="計算 2 5 2 6 4" xfId="7032" xr:uid="{00000000-0005-0000-0000-0000520A0000}"/>
    <cellStyle name="計算 2 5 2 7" xfId="6021" xr:uid="{00000000-0005-0000-0000-0000530A0000}"/>
    <cellStyle name="計算 2 5 3" xfId="229" xr:uid="{00000000-0005-0000-0000-0000540A0000}"/>
    <cellStyle name="計算 2 5 3 2" xfId="451" xr:uid="{00000000-0005-0000-0000-0000550A0000}"/>
    <cellStyle name="計算 2 5 3 2 2" xfId="960" xr:uid="{00000000-0005-0000-0000-0000560A0000}"/>
    <cellStyle name="計算 2 5 3 2 2 2" xfId="2066" xr:uid="{00000000-0005-0000-0000-0000570A0000}"/>
    <cellStyle name="計算 2 5 3 2 2 2 2" xfId="4975" xr:uid="{00000000-0005-0000-0000-0000580A0000}"/>
    <cellStyle name="計算 2 5 3 2 2 2 2 2" xfId="10445" xr:uid="{00000000-0005-0000-0000-0000590A0000}"/>
    <cellStyle name="計算 2 5 3 2 2 2 3" xfId="3283" xr:uid="{00000000-0005-0000-0000-00005A0A0000}"/>
    <cellStyle name="計算 2 5 3 2 2 2 3 2" xfId="8831" xr:uid="{00000000-0005-0000-0000-00005B0A0000}"/>
    <cellStyle name="計算 2 5 3 2 2 2 4" xfId="7720" xr:uid="{00000000-0005-0000-0000-00005C0A0000}"/>
    <cellStyle name="計算 2 5 3 2 2 3" xfId="6711" xr:uid="{00000000-0005-0000-0000-00005D0A0000}"/>
    <cellStyle name="計算 2 5 3 2 3" xfId="1559" xr:uid="{00000000-0005-0000-0000-00005E0A0000}"/>
    <cellStyle name="計算 2 5 3 2 3 2" xfId="4523" xr:uid="{00000000-0005-0000-0000-00005F0A0000}"/>
    <cellStyle name="計算 2 5 3 2 3 2 2" xfId="10037" xr:uid="{00000000-0005-0000-0000-0000600A0000}"/>
    <cellStyle name="計算 2 5 3 2 3 3" xfId="3284" xr:uid="{00000000-0005-0000-0000-0000610A0000}"/>
    <cellStyle name="計算 2 5 3 2 3 3 2" xfId="8832" xr:uid="{00000000-0005-0000-0000-0000620A0000}"/>
    <cellStyle name="計算 2 5 3 2 3 4" xfId="7257" xr:uid="{00000000-0005-0000-0000-0000630A0000}"/>
    <cellStyle name="計算 2 5 3 2 4" xfId="6246" xr:uid="{00000000-0005-0000-0000-0000640A0000}"/>
    <cellStyle name="計算 2 5 3 3" xfId="738" xr:uid="{00000000-0005-0000-0000-0000650A0000}"/>
    <cellStyle name="計算 2 5 3 3 2" xfId="1844" xr:uid="{00000000-0005-0000-0000-0000660A0000}"/>
    <cellStyle name="計算 2 5 3 3 2 2" xfId="4753" xr:uid="{00000000-0005-0000-0000-0000670A0000}"/>
    <cellStyle name="計算 2 5 3 3 2 2 2" xfId="10245" xr:uid="{00000000-0005-0000-0000-0000680A0000}"/>
    <cellStyle name="計算 2 5 3 3 2 3" xfId="3285" xr:uid="{00000000-0005-0000-0000-0000690A0000}"/>
    <cellStyle name="計算 2 5 3 3 2 3 2" xfId="8833" xr:uid="{00000000-0005-0000-0000-00006A0A0000}"/>
    <cellStyle name="計算 2 5 3 3 2 4" xfId="7520" xr:uid="{00000000-0005-0000-0000-00006B0A0000}"/>
    <cellStyle name="計算 2 5 3 3 3" xfId="6511" xr:uid="{00000000-0005-0000-0000-00006C0A0000}"/>
    <cellStyle name="計算 2 5 3 4" xfId="1337" xr:uid="{00000000-0005-0000-0000-00006D0A0000}"/>
    <cellStyle name="計算 2 5 3 4 2" xfId="4301" xr:uid="{00000000-0005-0000-0000-00006E0A0000}"/>
    <cellStyle name="計算 2 5 3 4 2 2" xfId="9837" xr:uid="{00000000-0005-0000-0000-00006F0A0000}"/>
    <cellStyle name="計算 2 5 3 4 3" xfId="3286" xr:uid="{00000000-0005-0000-0000-0000700A0000}"/>
    <cellStyle name="計算 2 5 3 4 3 2" xfId="8834" xr:uid="{00000000-0005-0000-0000-0000710A0000}"/>
    <cellStyle name="計算 2 5 3 4 4" xfId="7057" xr:uid="{00000000-0005-0000-0000-0000720A0000}"/>
    <cellStyle name="計算 2 5 3 5" xfId="6046" xr:uid="{00000000-0005-0000-0000-0000730A0000}"/>
    <cellStyle name="計算 2 5 4" xfId="290" xr:uid="{00000000-0005-0000-0000-0000740A0000}"/>
    <cellStyle name="計算 2 5 4 2" xfId="512" xr:uid="{00000000-0005-0000-0000-0000750A0000}"/>
    <cellStyle name="計算 2 5 4 2 2" xfId="1021" xr:uid="{00000000-0005-0000-0000-0000760A0000}"/>
    <cellStyle name="計算 2 5 4 2 2 2" xfId="2127" xr:uid="{00000000-0005-0000-0000-0000770A0000}"/>
    <cellStyle name="計算 2 5 4 2 2 2 2" xfId="5036" xr:uid="{00000000-0005-0000-0000-0000780A0000}"/>
    <cellStyle name="計算 2 5 4 2 2 2 2 2" xfId="10504" xr:uid="{00000000-0005-0000-0000-0000790A0000}"/>
    <cellStyle name="計算 2 5 4 2 2 2 3" xfId="3287" xr:uid="{00000000-0005-0000-0000-00007A0A0000}"/>
    <cellStyle name="計算 2 5 4 2 2 2 3 2" xfId="8835" xr:uid="{00000000-0005-0000-0000-00007B0A0000}"/>
    <cellStyle name="計算 2 5 4 2 2 2 4" xfId="7779" xr:uid="{00000000-0005-0000-0000-00007C0A0000}"/>
    <cellStyle name="計算 2 5 4 2 2 3" xfId="6770" xr:uid="{00000000-0005-0000-0000-00007D0A0000}"/>
    <cellStyle name="計算 2 5 4 2 3" xfId="1620" xr:uid="{00000000-0005-0000-0000-00007E0A0000}"/>
    <cellStyle name="計算 2 5 4 2 3 2" xfId="4584" xr:uid="{00000000-0005-0000-0000-00007F0A0000}"/>
    <cellStyle name="計算 2 5 4 2 3 2 2" xfId="10096" xr:uid="{00000000-0005-0000-0000-0000800A0000}"/>
    <cellStyle name="計算 2 5 4 2 3 3" xfId="3288" xr:uid="{00000000-0005-0000-0000-0000810A0000}"/>
    <cellStyle name="計算 2 5 4 2 3 3 2" xfId="8836" xr:uid="{00000000-0005-0000-0000-0000820A0000}"/>
    <cellStyle name="計算 2 5 4 2 3 4" xfId="7316" xr:uid="{00000000-0005-0000-0000-0000830A0000}"/>
    <cellStyle name="計算 2 5 4 2 4" xfId="6305" xr:uid="{00000000-0005-0000-0000-0000840A0000}"/>
    <cellStyle name="計算 2 5 4 3" xfId="799" xr:uid="{00000000-0005-0000-0000-0000850A0000}"/>
    <cellStyle name="計算 2 5 4 3 2" xfId="1905" xr:uid="{00000000-0005-0000-0000-0000860A0000}"/>
    <cellStyle name="計算 2 5 4 3 2 2" xfId="4814" xr:uid="{00000000-0005-0000-0000-0000870A0000}"/>
    <cellStyle name="計算 2 5 4 3 2 2 2" xfId="10304" xr:uid="{00000000-0005-0000-0000-0000880A0000}"/>
    <cellStyle name="計算 2 5 4 3 2 3" xfId="3289" xr:uid="{00000000-0005-0000-0000-0000890A0000}"/>
    <cellStyle name="計算 2 5 4 3 2 3 2" xfId="8837" xr:uid="{00000000-0005-0000-0000-00008A0A0000}"/>
    <cellStyle name="計算 2 5 4 3 2 4" xfId="7579" xr:uid="{00000000-0005-0000-0000-00008B0A0000}"/>
    <cellStyle name="計算 2 5 4 3 3" xfId="6570" xr:uid="{00000000-0005-0000-0000-00008C0A0000}"/>
    <cellStyle name="計算 2 5 4 4" xfId="1398" xr:uid="{00000000-0005-0000-0000-00008D0A0000}"/>
    <cellStyle name="計算 2 5 4 4 2" xfId="4362" xr:uid="{00000000-0005-0000-0000-00008E0A0000}"/>
    <cellStyle name="計算 2 5 4 4 2 2" xfId="9896" xr:uid="{00000000-0005-0000-0000-00008F0A0000}"/>
    <cellStyle name="計算 2 5 4 4 3" xfId="3290" xr:uid="{00000000-0005-0000-0000-0000900A0000}"/>
    <cellStyle name="計算 2 5 4 4 3 2" xfId="8838" xr:uid="{00000000-0005-0000-0000-0000910A0000}"/>
    <cellStyle name="計算 2 5 4 4 4" xfId="7116" xr:uid="{00000000-0005-0000-0000-0000920A0000}"/>
    <cellStyle name="計算 2 5 4 5" xfId="6105" xr:uid="{00000000-0005-0000-0000-0000930A0000}"/>
    <cellStyle name="計算 2 5 5" xfId="373" xr:uid="{00000000-0005-0000-0000-0000940A0000}"/>
    <cellStyle name="計算 2 5 5 2" xfId="882" xr:uid="{00000000-0005-0000-0000-0000950A0000}"/>
    <cellStyle name="計算 2 5 5 2 2" xfId="1988" xr:uid="{00000000-0005-0000-0000-0000960A0000}"/>
    <cellStyle name="計算 2 5 5 2 2 2" xfId="4897" xr:uid="{00000000-0005-0000-0000-0000970A0000}"/>
    <cellStyle name="計算 2 5 5 2 2 2 2" xfId="10376" xr:uid="{00000000-0005-0000-0000-0000980A0000}"/>
    <cellStyle name="計算 2 5 5 2 2 3" xfId="3291" xr:uid="{00000000-0005-0000-0000-0000990A0000}"/>
    <cellStyle name="計算 2 5 5 2 2 3 2" xfId="8839" xr:uid="{00000000-0005-0000-0000-00009A0A0000}"/>
    <cellStyle name="計算 2 5 5 2 2 4" xfId="7651" xr:uid="{00000000-0005-0000-0000-00009B0A0000}"/>
    <cellStyle name="計算 2 5 5 2 3" xfId="6642" xr:uid="{00000000-0005-0000-0000-00009C0A0000}"/>
    <cellStyle name="計算 2 5 5 3" xfId="1481" xr:uid="{00000000-0005-0000-0000-00009D0A0000}"/>
    <cellStyle name="計算 2 5 5 3 2" xfId="4445" xr:uid="{00000000-0005-0000-0000-00009E0A0000}"/>
    <cellStyle name="計算 2 5 5 3 2 2" xfId="9968" xr:uid="{00000000-0005-0000-0000-00009F0A0000}"/>
    <cellStyle name="計算 2 5 5 3 3" xfId="3292" xr:uid="{00000000-0005-0000-0000-0000A00A0000}"/>
    <cellStyle name="計算 2 5 5 3 3 2" xfId="8840" xr:uid="{00000000-0005-0000-0000-0000A10A0000}"/>
    <cellStyle name="計算 2 5 5 3 4" xfId="7188" xr:uid="{00000000-0005-0000-0000-0000A20A0000}"/>
    <cellStyle name="計算 2 5 5 4" xfId="6177" xr:uid="{00000000-0005-0000-0000-0000A30A0000}"/>
    <cellStyle name="計算 2 5 6" xfId="658" xr:uid="{00000000-0005-0000-0000-0000A40A0000}"/>
    <cellStyle name="計算 2 5 6 2" xfId="1764" xr:uid="{00000000-0005-0000-0000-0000A50A0000}"/>
    <cellStyle name="計算 2 5 6 2 2" xfId="4673" xr:uid="{00000000-0005-0000-0000-0000A60A0000}"/>
    <cellStyle name="計算 2 5 6 2 2 2" xfId="10174" xr:uid="{00000000-0005-0000-0000-0000A70A0000}"/>
    <cellStyle name="計算 2 5 6 2 3" xfId="3293" xr:uid="{00000000-0005-0000-0000-0000A80A0000}"/>
    <cellStyle name="計算 2 5 6 2 3 2" xfId="8841" xr:uid="{00000000-0005-0000-0000-0000A90A0000}"/>
    <cellStyle name="計算 2 5 6 2 4" xfId="7449" xr:uid="{00000000-0005-0000-0000-0000AA0A0000}"/>
    <cellStyle name="計算 2 5 6 3" xfId="6440" xr:uid="{00000000-0005-0000-0000-0000AB0A0000}"/>
    <cellStyle name="計算 2 5 7" xfId="1257" xr:uid="{00000000-0005-0000-0000-0000AC0A0000}"/>
    <cellStyle name="計算 2 5 7 2" xfId="4221" xr:uid="{00000000-0005-0000-0000-0000AD0A0000}"/>
    <cellStyle name="計算 2 5 7 2 2" xfId="9766" xr:uid="{00000000-0005-0000-0000-0000AE0A0000}"/>
    <cellStyle name="計算 2 5 7 3" xfId="3294" xr:uid="{00000000-0005-0000-0000-0000AF0A0000}"/>
    <cellStyle name="計算 2 5 7 3 2" xfId="8842" xr:uid="{00000000-0005-0000-0000-0000B00A0000}"/>
    <cellStyle name="計算 2 5 7 4" xfId="6986" xr:uid="{00000000-0005-0000-0000-0000B10A0000}"/>
    <cellStyle name="計算 2 5 8" xfId="5974" xr:uid="{00000000-0005-0000-0000-0000B20A0000}"/>
    <cellStyle name="計算 2 6" xfId="107" xr:uid="{00000000-0005-0000-0000-0000B30A0000}"/>
    <cellStyle name="計算 2 6 2" xfId="177" xr:uid="{00000000-0005-0000-0000-0000B40A0000}"/>
    <cellStyle name="計算 2 6 2 2" xfId="251" xr:uid="{00000000-0005-0000-0000-0000B50A0000}"/>
    <cellStyle name="計算 2 6 2 2 2" xfId="473" xr:uid="{00000000-0005-0000-0000-0000B60A0000}"/>
    <cellStyle name="計算 2 6 2 2 2 2" xfId="982" xr:uid="{00000000-0005-0000-0000-0000B70A0000}"/>
    <cellStyle name="計算 2 6 2 2 2 2 2" xfId="2088" xr:uid="{00000000-0005-0000-0000-0000B80A0000}"/>
    <cellStyle name="計算 2 6 2 2 2 2 2 2" xfId="4997" xr:uid="{00000000-0005-0000-0000-0000B90A0000}"/>
    <cellStyle name="計算 2 6 2 2 2 2 2 2 2" xfId="10467" xr:uid="{00000000-0005-0000-0000-0000BA0A0000}"/>
    <cellStyle name="計算 2 6 2 2 2 2 2 3" xfId="3295" xr:uid="{00000000-0005-0000-0000-0000BB0A0000}"/>
    <cellStyle name="計算 2 6 2 2 2 2 2 3 2" xfId="8843" xr:uid="{00000000-0005-0000-0000-0000BC0A0000}"/>
    <cellStyle name="計算 2 6 2 2 2 2 2 4" xfId="7742" xr:uid="{00000000-0005-0000-0000-0000BD0A0000}"/>
    <cellStyle name="計算 2 6 2 2 2 2 3" xfId="6733" xr:uid="{00000000-0005-0000-0000-0000BE0A0000}"/>
    <cellStyle name="計算 2 6 2 2 2 3" xfId="1581" xr:uid="{00000000-0005-0000-0000-0000BF0A0000}"/>
    <cellStyle name="計算 2 6 2 2 2 3 2" xfId="4545" xr:uid="{00000000-0005-0000-0000-0000C00A0000}"/>
    <cellStyle name="計算 2 6 2 2 2 3 2 2" xfId="10059" xr:uid="{00000000-0005-0000-0000-0000C10A0000}"/>
    <cellStyle name="計算 2 6 2 2 2 3 3" xfId="3296" xr:uid="{00000000-0005-0000-0000-0000C20A0000}"/>
    <cellStyle name="計算 2 6 2 2 2 3 3 2" xfId="8844" xr:uid="{00000000-0005-0000-0000-0000C30A0000}"/>
    <cellStyle name="計算 2 6 2 2 2 3 4" xfId="7279" xr:uid="{00000000-0005-0000-0000-0000C40A0000}"/>
    <cellStyle name="計算 2 6 2 2 2 4" xfId="6268" xr:uid="{00000000-0005-0000-0000-0000C50A0000}"/>
    <cellStyle name="計算 2 6 2 2 3" xfId="760" xr:uid="{00000000-0005-0000-0000-0000C60A0000}"/>
    <cellStyle name="計算 2 6 2 2 3 2" xfId="1866" xr:uid="{00000000-0005-0000-0000-0000C70A0000}"/>
    <cellStyle name="計算 2 6 2 2 3 2 2" xfId="4775" xr:uid="{00000000-0005-0000-0000-0000C80A0000}"/>
    <cellStyle name="計算 2 6 2 2 3 2 2 2" xfId="10267" xr:uid="{00000000-0005-0000-0000-0000C90A0000}"/>
    <cellStyle name="計算 2 6 2 2 3 2 3" xfId="3297" xr:uid="{00000000-0005-0000-0000-0000CA0A0000}"/>
    <cellStyle name="計算 2 6 2 2 3 2 3 2" xfId="8845" xr:uid="{00000000-0005-0000-0000-0000CB0A0000}"/>
    <cellStyle name="計算 2 6 2 2 3 2 4" xfId="7542" xr:uid="{00000000-0005-0000-0000-0000CC0A0000}"/>
    <cellStyle name="計算 2 6 2 2 3 3" xfId="6533" xr:uid="{00000000-0005-0000-0000-0000CD0A0000}"/>
    <cellStyle name="計算 2 6 2 2 4" xfId="1359" xr:uid="{00000000-0005-0000-0000-0000CE0A0000}"/>
    <cellStyle name="計算 2 6 2 2 4 2" xfId="4323" xr:uid="{00000000-0005-0000-0000-0000CF0A0000}"/>
    <cellStyle name="計算 2 6 2 2 4 2 2" xfId="9859" xr:uid="{00000000-0005-0000-0000-0000D00A0000}"/>
    <cellStyle name="計算 2 6 2 2 4 3" xfId="3298" xr:uid="{00000000-0005-0000-0000-0000D10A0000}"/>
    <cellStyle name="計算 2 6 2 2 4 3 2" xfId="8846" xr:uid="{00000000-0005-0000-0000-0000D20A0000}"/>
    <cellStyle name="計算 2 6 2 2 4 4" xfId="7079" xr:uid="{00000000-0005-0000-0000-0000D30A0000}"/>
    <cellStyle name="計算 2 6 2 2 5" xfId="6068" xr:uid="{00000000-0005-0000-0000-0000D40A0000}"/>
    <cellStyle name="計算 2 6 2 3" xfId="316" xr:uid="{00000000-0005-0000-0000-0000D50A0000}"/>
    <cellStyle name="計算 2 6 2 3 2" xfId="538" xr:uid="{00000000-0005-0000-0000-0000D60A0000}"/>
    <cellStyle name="計算 2 6 2 3 2 2" xfId="1047" xr:uid="{00000000-0005-0000-0000-0000D70A0000}"/>
    <cellStyle name="計算 2 6 2 3 2 2 2" xfId="2153" xr:uid="{00000000-0005-0000-0000-0000D80A0000}"/>
    <cellStyle name="計算 2 6 2 3 2 2 2 2" xfId="5062" xr:uid="{00000000-0005-0000-0000-0000D90A0000}"/>
    <cellStyle name="計算 2 6 2 3 2 2 2 2 2" xfId="10526" xr:uid="{00000000-0005-0000-0000-0000DA0A0000}"/>
    <cellStyle name="計算 2 6 2 3 2 2 2 3" xfId="3299" xr:uid="{00000000-0005-0000-0000-0000DB0A0000}"/>
    <cellStyle name="計算 2 6 2 3 2 2 2 3 2" xfId="8847" xr:uid="{00000000-0005-0000-0000-0000DC0A0000}"/>
    <cellStyle name="計算 2 6 2 3 2 2 2 4" xfId="7801" xr:uid="{00000000-0005-0000-0000-0000DD0A0000}"/>
    <cellStyle name="計算 2 6 2 3 2 2 3" xfId="6792" xr:uid="{00000000-0005-0000-0000-0000DE0A0000}"/>
    <cellStyle name="計算 2 6 2 3 2 3" xfId="1646" xr:uid="{00000000-0005-0000-0000-0000DF0A0000}"/>
    <cellStyle name="計算 2 6 2 3 2 3 2" xfId="4610" xr:uid="{00000000-0005-0000-0000-0000E00A0000}"/>
    <cellStyle name="計算 2 6 2 3 2 3 2 2" xfId="10118" xr:uid="{00000000-0005-0000-0000-0000E10A0000}"/>
    <cellStyle name="計算 2 6 2 3 2 3 3" xfId="3300" xr:uid="{00000000-0005-0000-0000-0000E20A0000}"/>
    <cellStyle name="計算 2 6 2 3 2 3 3 2" xfId="8848" xr:uid="{00000000-0005-0000-0000-0000E30A0000}"/>
    <cellStyle name="計算 2 6 2 3 2 3 4" xfId="7338" xr:uid="{00000000-0005-0000-0000-0000E40A0000}"/>
    <cellStyle name="計算 2 6 2 3 2 4" xfId="6327" xr:uid="{00000000-0005-0000-0000-0000E50A0000}"/>
    <cellStyle name="計算 2 6 2 3 3" xfId="825" xr:uid="{00000000-0005-0000-0000-0000E60A0000}"/>
    <cellStyle name="計算 2 6 2 3 3 2" xfId="1931" xr:uid="{00000000-0005-0000-0000-0000E70A0000}"/>
    <cellStyle name="計算 2 6 2 3 3 2 2" xfId="4840" xr:uid="{00000000-0005-0000-0000-0000E80A0000}"/>
    <cellStyle name="計算 2 6 2 3 3 2 2 2" xfId="10326" xr:uid="{00000000-0005-0000-0000-0000E90A0000}"/>
    <cellStyle name="計算 2 6 2 3 3 2 3" xfId="3301" xr:uid="{00000000-0005-0000-0000-0000EA0A0000}"/>
    <cellStyle name="計算 2 6 2 3 3 2 3 2" xfId="8849" xr:uid="{00000000-0005-0000-0000-0000EB0A0000}"/>
    <cellStyle name="計算 2 6 2 3 3 2 4" xfId="7601" xr:uid="{00000000-0005-0000-0000-0000EC0A0000}"/>
    <cellStyle name="計算 2 6 2 3 3 3" xfId="6592" xr:uid="{00000000-0005-0000-0000-0000ED0A0000}"/>
    <cellStyle name="計算 2 6 2 3 4" xfId="1424" xr:uid="{00000000-0005-0000-0000-0000EE0A0000}"/>
    <cellStyle name="計算 2 6 2 3 4 2" xfId="4388" xr:uid="{00000000-0005-0000-0000-0000EF0A0000}"/>
    <cellStyle name="計算 2 6 2 3 4 2 2" xfId="9918" xr:uid="{00000000-0005-0000-0000-0000F00A0000}"/>
    <cellStyle name="計算 2 6 2 3 4 3" xfId="3302" xr:uid="{00000000-0005-0000-0000-0000F10A0000}"/>
    <cellStyle name="計算 2 6 2 3 4 3 2" xfId="8850" xr:uid="{00000000-0005-0000-0000-0000F20A0000}"/>
    <cellStyle name="計算 2 6 2 3 4 4" xfId="7138" xr:uid="{00000000-0005-0000-0000-0000F30A0000}"/>
    <cellStyle name="計算 2 6 2 3 5" xfId="6127" xr:uid="{00000000-0005-0000-0000-0000F40A0000}"/>
    <cellStyle name="計算 2 6 2 4" xfId="400" xr:uid="{00000000-0005-0000-0000-0000F50A0000}"/>
    <cellStyle name="計算 2 6 2 4 2" xfId="909" xr:uid="{00000000-0005-0000-0000-0000F60A0000}"/>
    <cellStyle name="計算 2 6 2 4 2 2" xfId="2015" xr:uid="{00000000-0005-0000-0000-0000F70A0000}"/>
    <cellStyle name="計算 2 6 2 4 2 2 2" xfId="4924" xr:uid="{00000000-0005-0000-0000-0000F80A0000}"/>
    <cellStyle name="計算 2 6 2 4 2 2 2 2" xfId="10399" xr:uid="{00000000-0005-0000-0000-0000F90A0000}"/>
    <cellStyle name="計算 2 6 2 4 2 2 3" xfId="3303" xr:uid="{00000000-0005-0000-0000-0000FA0A0000}"/>
    <cellStyle name="計算 2 6 2 4 2 2 3 2" xfId="8851" xr:uid="{00000000-0005-0000-0000-0000FB0A0000}"/>
    <cellStyle name="計算 2 6 2 4 2 2 4" xfId="7674" xr:uid="{00000000-0005-0000-0000-0000FC0A0000}"/>
    <cellStyle name="計算 2 6 2 4 2 3" xfId="6665" xr:uid="{00000000-0005-0000-0000-0000FD0A0000}"/>
    <cellStyle name="計算 2 6 2 4 3" xfId="1508" xr:uid="{00000000-0005-0000-0000-0000FE0A0000}"/>
    <cellStyle name="計算 2 6 2 4 3 2" xfId="4472" xr:uid="{00000000-0005-0000-0000-0000FF0A0000}"/>
    <cellStyle name="計算 2 6 2 4 3 2 2" xfId="9991" xr:uid="{00000000-0005-0000-0000-0000000B0000}"/>
    <cellStyle name="計算 2 6 2 4 3 3" xfId="3304" xr:uid="{00000000-0005-0000-0000-0000010B0000}"/>
    <cellStyle name="計算 2 6 2 4 3 3 2" xfId="8852" xr:uid="{00000000-0005-0000-0000-0000020B0000}"/>
    <cellStyle name="計算 2 6 2 4 3 4" xfId="7211" xr:uid="{00000000-0005-0000-0000-0000030B0000}"/>
    <cellStyle name="計算 2 6 2 4 4" xfId="6200" xr:uid="{00000000-0005-0000-0000-0000040B0000}"/>
    <cellStyle name="計算 2 6 2 5" xfId="686" xr:uid="{00000000-0005-0000-0000-0000050B0000}"/>
    <cellStyle name="計算 2 6 2 5 2" xfId="1792" xr:uid="{00000000-0005-0000-0000-0000060B0000}"/>
    <cellStyle name="計算 2 6 2 5 2 2" xfId="4701" xr:uid="{00000000-0005-0000-0000-0000070B0000}"/>
    <cellStyle name="計算 2 6 2 5 2 2 2" xfId="10198" xr:uid="{00000000-0005-0000-0000-0000080B0000}"/>
    <cellStyle name="計算 2 6 2 5 2 3" xfId="3305" xr:uid="{00000000-0005-0000-0000-0000090B0000}"/>
    <cellStyle name="計算 2 6 2 5 2 3 2" xfId="8853" xr:uid="{00000000-0005-0000-0000-00000A0B0000}"/>
    <cellStyle name="計算 2 6 2 5 2 4" xfId="7473" xr:uid="{00000000-0005-0000-0000-00000B0B0000}"/>
    <cellStyle name="計算 2 6 2 5 3" xfId="6464" xr:uid="{00000000-0005-0000-0000-00000C0B0000}"/>
    <cellStyle name="計算 2 6 2 6" xfId="1285" xr:uid="{00000000-0005-0000-0000-00000D0B0000}"/>
    <cellStyle name="計算 2 6 2 6 2" xfId="4249" xr:uid="{00000000-0005-0000-0000-00000E0B0000}"/>
    <cellStyle name="計算 2 6 2 6 2 2" xfId="9790" xr:uid="{00000000-0005-0000-0000-00000F0B0000}"/>
    <cellStyle name="計算 2 6 2 6 3" xfId="3306" xr:uid="{00000000-0005-0000-0000-0000100B0000}"/>
    <cellStyle name="計算 2 6 2 6 3 2" xfId="8854" xr:uid="{00000000-0005-0000-0000-0000110B0000}"/>
    <cellStyle name="計算 2 6 2 6 4" xfId="7010" xr:uid="{00000000-0005-0000-0000-0000120B0000}"/>
    <cellStyle name="計算 2 6 2 7" xfId="5999" xr:uid="{00000000-0005-0000-0000-0000130B0000}"/>
    <cellStyle name="計算 2 6 3" xfId="222" xr:uid="{00000000-0005-0000-0000-0000140B0000}"/>
    <cellStyle name="計算 2 6 3 2" xfId="444" xr:uid="{00000000-0005-0000-0000-0000150B0000}"/>
    <cellStyle name="計算 2 6 3 2 2" xfId="953" xr:uid="{00000000-0005-0000-0000-0000160B0000}"/>
    <cellStyle name="計算 2 6 3 2 2 2" xfId="2059" xr:uid="{00000000-0005-0000-0000-0000170B0000}"/>
    <cellStyle name="計算 2 6 3 2 2 2 2" xfId="4968" xr:uid="{00000000-0005-0000-0000-0000180B0000}"/>
    <cellStyle name="計算 2 6 3 2 2 2 2 2" xfId="10438" xr:uid="{00000000-0005-0000-0000-0000190B0000}"/>
    <cellStyle name="計算 2 6 3 2 2 2 3" xfId="3307" xr:uid="{00000000-0005-0000-0000-00001A0B0000}"/>
    <cellStyle name="計算 2 6 3 2 2 2 3 2" xfId="8855" xr:uid="{00000000-0005-0000-0000-00001B0B0000}"/>
    <cellStyle name="計算 2 6 3 2 2 2 4" xfId="7713" xr:uid="{00000000-0005-0000-0000-00001C0B0000}"/>
    <cellStyle name="計算 2 6 3 2 2 3" xfId="6704" xr:uid="{00000000-0005-0000-0000-00001D0B0000}"/>
    <cellStyle name="計算 2 6 3 2 3" xfId="1552" xr:uid="{00000000-0005-0000-0000-00001E0B0000}"/>
    <cellStyle name="計算 2 6 3 2 3 2" xfId="4516" xr:uid="{00000000-0005-0000-0000-00001F0B0000}"/>
    <cellStyle name="計算 2 6 3 2 3 2 2" xfId="10030" xr:uid="{00000000-0005-0000-0000-0000200B0000}"/>
    <cellStyle name="計算 2 6 3 2 3 3" xfId="3308" xr:uid="{00000000-0005-0000-0000-0000210B0000}"/>
    <cellStyle name="計算 2 6 3 2 3 3 2" xfId="8856" xr:uid="{00000000-0005-0000-0000-0000220B0000}"/>
    <cellStyle name="計算 2 6 3 2 3 4" xfId="7250" xr:uid="{00000000-0005-0000-0000-0000230B0000}"/>
    <cellStyle name="計算 2 6 3 2 4" xfId="6239" xr:uid="{00000000-0005-0000-0000-0000240B0000}"/>
    <cellStyle name="計算 2 6 3 3" xfId="731" xr:uid="{00000000-0005-0000-0000-0000250B0000}"/>
    <cellStyle name="計算 2 6 3 3 2" xfId="1837" xr:uid="{00000000-0005-0000-0000-0000260B0000}"/>
    <cellStyle name="計算 2 6 3 3 2 2" xfId="4746" xr:uid="{00000000-0005-0000-0000-0000270B0000}"/>
    <cellStyle name="計算 2 6 3 3 2 2 2" xfId="10238" xr:uid="{00000000-0005-0000-0000-0000280B0000}"/>
    <cellStyle name="計算 2 6 3 3 2 3" xfId="3309" xr:uid="{00000000-0005-0000-0000-0000290B0000}"/>
    <cellStyle name="計算 2 6 3 3 2 3 2" xfId="8857" xr:uid="{00000000-0005-0000-0000-00002A0B0000}"/>
    <cellStyle name="計算 2 6 3 3 2 4" xfId="7513" xr:uid="{00000000-0005-0000-0000-00002B0B0000}"/>
    <cellStyle name="計算 2 6 3 3 3" xfId="6504" xr:uid="{00000000-0005-0000-0000-00002C0B0000}"/>
    <cellStyle name="計算 2 6 3 4" xfId="1330" xr:uid="{00000000-0005-0000-0000-00002D0B0000}"/>
    <cellStyle name="計算 2 6 3 4 2" xfId="4294" xr:uid="{00000000-0005-0000-0000-00002E0B0000}"/>
    <cellStyle name="計算 2 6 3 4 2 2" xfId="9830" xr:uid="{00000000-0005-0000-0000-00002F0B0000}"/>
    <cellStyle name="計算 2 6 3 4 3" xfId="3310" xr:uid="{00000000-0005-0000-0000-0000300B0000}"/>
    <cellStyle name="計算 2 6 3 4 3 2" xfId="8858" xr:uid="{00000000-0005-0000-0000-0000310B0000}"/>
    <cellStyle name="計算 2 6 3 4 4" xfId="7050" xr:uid="{00000000-0005-0000-0000-0000320B0000}"/>
    <cellStyle name="計算 2 6 3 5" xfId="6039" xr:uid="{00000000-0005-0000-0000-0000330B0000}"/>
    <cellStyle name="計算 2 6 4" xfId="111" xr:uid="{00000000-0005-0000-0000-0000340B0000}"/>
    <cellStyle name="計算 2 6 4 2" xfId="364" xr:uid="{00000000-0005-0000-0000-0000350B0000}"/>
    <cellStyle name="計算 2 6 4 2 2" xfId="873" xr:uid="{00000000-0005-0000-0000-0000360B0000}"/>
    <cellStyle name="計算 2 6 4 2 2 2" xfId="1979" xr:uid="{00000000-0005-0000-0000-0000370B0000}"/>
    <cellStyle name="計算 2 6 4 2 2 2 2" xfId="4888" xr:uid="{00000000-0005-0000-0000-0000380B0000}"/>
    <cellStyle name="計算 2 6 4 2 2 2 2 2" xfId="10368" xr:uid="{00000000-0005-0000-0000-0000390B0000}"/>
    <cellStyle name="計算 2 6 4 2 2 2 3" xfId="3311" xr:uid="{00000000-0005-0000-0000-00003A0B0000}"/>
    <cellStyle name="計算 2 6 4 2 2 2 3 2" xfId="8859" xr:uid="{00000000-0005-0000-0000-00003B0B0000}"/>
    <cellStyle name="計算 2 6 4 2 2 2 4" xfId="7643" xr:uid="{00000000-0005-0000-0000-00003C0B0000}"/>
    <cellStyle name="計算 2 6 4 2 2 3" xfId="6634" xr:uid="{00000000-0005-0000-0000-00003D0B0000}"/>
    <cellStyle name="計算 2 6 4 2 3" xfId="1472" xr:uid="{00000000-0005-0000-0000-00003E0B0000}"/>
    <cellStyle name="計算 2 6 4 2 3 2" xfId="4436" xr:uid="{00000000-0005-0000-0000-00003F0B0000}"/>
    <cellStyle name="計算 2 6 4 2 3 2 2" xfId="9960" xr:uid="{00000000-0005-0000-0000-0000400B0000}"/>
    <cellStyle name="計算 2 6 4 2 3 3" xfId="3312" xr:uid="{00000000-0005-0000-0000-0000410B0000}"/>
    <cellStyle name="計算 2 6 4 2 3 3 2" xfId="8860" xr:uid="{00000000-0005-0000-0000-0000420B0000}"/>
    <cellStyle name="計算 2 6 4 2 3 4" xfId="7180" xr:uid="{00000000-0005-0000-0000-0000430B0000}"/>
    <cellStyle name="計算 2 6 4 2 4" xfId="6169" xr:uid="{00000000-0005-0000-0000-0000440B0000}"/>
    <cellStyle name="計算 2 6 4 3" xfId="648" xr:uid="{00000000-0005-0000-0000-0000450B0000}"/>
    <cellStyle name="計算 2 6 4 3 2" xfId="1754" xr:uid="{00000000-0005-0000-0000-0000460B0000}"/>
    <cellStyle name="計算 2 6 4 3 2 2" xfId="4663" xr:uid="{00000000-0005-0000-0000-0000470B0000}"/>
    <cellStyle name="計算 2 6 4 3 2 2 2" xfId="10165" xr:uid="{00000000-0005-0000-0000-0000480B0000}"/>
    <cellStyle name="計算 2 6 4 3 2 3" xfId="3313" xr:uid="{00000000-0005-0000-0000-0000490B0000}"/>
    <cellStyle name="計算 2 6 4 3 2 3 2" xfId="8861" xr:uid="{00000000-0005-0000-0000-00004A0B0000}"/>
    <cellStyle name="計算 2 6 4 3 2 4" xfId="7440" xr:uid="{00000000-0005-0000-0000-00004B0B0000}"/>
    <cellStyle name="計算 2 6 4 3 3" xfId="6431" xr:uid="{00000000-0005-0000-0000-00004C0B0000}"/>
    <cellStyle name="計算 2 6 4 4" xfId="1220" xr:uid="{00000000-0005-0000-0000-00004D0B0000}"/>
    <cellStyle name="計算 2 6 4 4 2" xfId="4211" xr:uid="{00000000-0005-0000-0000-00004E0B0000}"/>
    <cellStyle name="計算 2 6 4 4 2 2" xfId="9757" xr:uid="{00000000-0005-0000-0000-00004F0B0000}"/>
    <cellStyle name="計算 2 6 4 4 3" xfId="3314" xr:uid="{00000000-0005-0000-0000-0000500B0000}"/>
    <cellStyle name="計算 2 6 4 4 3 2" xfId="8862" xr:uid="{00000000-0005-0000-0000-0000510B0000}"/>
    <cellStyle name="計算 2 6 4 4 4" xfId="6951" xr:uid="{00000000-0005-0000-0000-0000520B0000}"/>
    <cellStyle name="計算 2 6 4 5" xfId="5939" xr:uid="{00000000-0005-0000-0000-0000530B0000}"/>
    <cellStyle name="計算 2 6 5" xfId="367" xr:uid="{00000000-0005-0000-0000-0000540B0000}"/>
    <cellStyle name="計算 2 6 5 2" xfId="876" xr:uid="{00000000-0005-0000-0000-0000550B0000}"/>
    <cellStyle name="計算 2 6 5 2 2" xfId="1982" xr:uid="{00000000-0005-0000-0000-0000560B0000}"/>
    <cellStyle name="計算 2 6 5 2 2 2" xfId="4891" xr:uid="{00000000-0005-0000-0000-0000570B0000}"/>
    <cellStyle name="計算 2 6 5 2 2 2 2" xfId="10371" xr:uid="{00000000-0005-0000-0000-0000580B0000}"/>
    <cellStyle name="計算 2 6 5 2 2 3" xfId="3315" xr:uid="{00000000-0005-0000-0000-0000590B0000}"/>
    <cellStyle name="計算 2 6 5 2 2 3 2" xfId="8863" xr:uid="{00000000-0005-0000-0000-00005A0B0000}"/>
    <cellStyle name="計算 2 6 5 2 2 4" xfId="7646" xr:uid="{00000000-0005-0000-0000-00005B0B0000}"/>
    <cellStyle name="計算 2 6 5 2 3" xfId="6637" xr:uid="{00000000-0005-0000-0000-00005C0B0000}"/>
    <cellStyle name="計算 2 6 5 3" xfId="1475" xr:uid="{00000000-0005-0000-0000-00005D0B0000}"/>
    <cellStyle name="計算 2 6 5 3 2" xfId="4439" xr:uid="{00000000-0005-0000-0000-00005E0B0000}"/>
    <cellStyle name="計算 2 6 5 3 2 2" xfId="9963" xr:uid="{00000000-0005-0000-0000-00005F0B0000}"/>
    <cellStyle name="計算 2 6 5 3 3" xfId="3316" xr:uid="{00000000-0005-0000-0000-0000600B0000}"/>
    <cellStyle name="計算 2 6 5 3 3 2" xfId="8864" xr:uid="{00000000-0005-0000-0000-0000610B0000}"/>
    <cellStyle name="計算 2 6 5 3 4" xfId="7183" xr:uid="{00000000-0005-0000-0000-0000620B0000}"/>
    <cellStyle name="計算 2 6 5 4" xfId="6172" xr:uid="{00000000-0005-0000-0000-0000630B0000}"/>
    <cellStyle name="計算 2 6 6" xfId="644" xr:uid="{00000000-0005-0000-0000-0000640B0000}"/>
    <cellStyle name="計算 2 6 6 2" xfId="1750" xr:uid="{00000000-0005-0000-0000-0000650B0000}"/>
    <cellStyle name="計算 2 6 6 2 2" xfId="4659" xr:uid="{00000000-0005-0000-0000-0000660B0000}"/>
    <cellStyle name="計算 2 6 6 2 2 2" xfId="10161" xr:uid="{00000000-0005-0000-0000-0000670B0000}"/>
    <cellStyle name="計算 2 6 6 2 3" xfId="3317" xr:uid="{00000000-0005-0000-0000-0000680B0000}"/>
    <cellStyle name="計算 2 6 6 2 3 2" xfId="8865" xr:uid="{00000000-0005-0000-0000-0000690B0000}"/>
    <cellStyle name="計算 2 6 6 2 4" xfId="7436" xr:uid="{00000000-0005-0000-0000-00006A0B0000}"/>
    <cellStyle name="計算 2 6 6 3" xfId="6427" xr:uid="{00000000-0005-0000-0000-00006B0B0000}"/>
    <cellStyle name="計算 2 6 7" xfId="1216" xr:uid="{00000000-0005-0000-0000-00006C0B0000}"/>
    <cellStyle name="計算 2 6 7 2" xfId="4207" xr:uid="{00000000-0005-0000-0000-00006D0B0000}"/>
    <cellStyle name="計算 2 6 7 2 2" xfId="9753" xr:uid="{00000000-0005-0000-0000-00006E0B0000}"/>
    <cellStyle name="計算 2 6 7 3" xfId="3318" xr:uid="{00000000-0005-0000-0000-00006F0B0000}"/>
    <cellStyle name="計算 2 6 7 3 2" xfId="8866" xr:uid="{00000000-0005-0000-0000-0000700B0000}"/>
    <cellStyle name="計算 2 6 7 4" xfId="6947" xr:uid="{00000000-0005-0000-0000-0000710B0000}"/>
    <cellStyle name="計算 2 6 8" xfId="5935" xr:uid="{00000000-0005-0000-0000-0000720B0000}"/>
    <cellStyle name="計算 2 7" xfId="172" xr:uid="{00000000-0005-0000-0000-0000730B0000}"/>
    <cellStyle name="計算 2 7 2" xfId="247" xr:uid="{00000000-0005-0000-0000-0000740B0000}"/>
    <cellStyle name="計算 2 7 2 2" xfId="469" xr:uid="{00000000-0005-0000-0000-0000750B0000}"/>
    <cellStyle name="計算 2 7 2 2 2" xfId="978" xr:uid="{00000000-0005-0000-0000-0000760B0000}"/>
    <cellStyle name="計算 2 7 2 2 2 2" xfId="2084" xr:uid="{00000000-0005-0000-0000-0000770B0000}"/>
    <cellStyle name="計算 2 7 2 2 2 2 2" xfId="4993" xr:uid="{00000000-0005-0000-0000-0000780B0000}"/>
    <cellStyle name="計算 2 7 2 2 2 2 2 2" xfId="10463" xr:uid="{00000000-0005-0000-0000-0000790B0000}"/>
    <cellStyle name="計算 2 7 2 2 2 2 3" xfId="3319" xr:uid="{00000000-0005-0000-0000-00007A0B0000}"/>
    <cellStyle name="計算 2 7 2 2 2 2 3 2" xfId="8867" xr:uid="{00000000-0005-0000-0000-00007B0B0000}"/>
    <cellStyle name="計算 2 7 2 2 2 2 4" xfId="7738" xr:uid="{00000000-0005-0000-0000-00007C0B0000}"/>
    <cellStyle name="計算 2 7 2 2 2 3" xfId="6729" xr:uid="{00000000-0005-0000-0000-00007D0B0000}"/>
    <cellStyle name="計算 2 7 2 2 3" xfId="1577" xr:uid="{00000000-0005-0000-0000-00007E0B0000}"/>
    <cellStyle name="計算 2 7 2 2 3 2" xfId="4541" xr:uid="{00000000-0005-0000-0000-00007F0B0000}"/>
    <cellStyle name="計算 2 7 2 2 3 2 2" xfId="10055" xr:uid="{00000000-0005-0000-0000-0000800B0000}"/>
    <cellStyle name="計算 2 7 2 2 3 3" xfId="3320" xr:uid="{00000000-0005-0000-0000-0000810B0000}"/>
    <cellStyle name="計算 2 7 2 2 3 3 2" xfId="8868" xr:uid="{00000000-0005-0000-0000-0000820B0000}"/>
    <cellStyle name="計算 2 7 2 2 3 4" xfId="7275" xr:uid="{00000000-0005-0000-0000-0000830B0000}"/>
    <cellStyle name="計算 2 7 2 2 4" xfId="6264" xr:uid="{00000000-0005-0000-0000-0000840B0000}"/>
    <cellStyle name="計算 2 7 2 3" xfId="756" xr:uid="{00000000-0005-0000-0000-0000850B0000}"/>
    <cellStyle name="計算 2 7 2 3 2" xfId="1862" xr:uid="{00000000-0005-0000-0000-0000860B0000}"/>
    <cellStyle name="計算 2 7 2 3 2 2" xfId="4771" xr:uid="{00000000-0005-0000-0000-0000870B0000}"/>
    <cellStyle name="計算 2 7 2 3 2 2 2" xfId="10263" xr:uid="{00000000-0005-0000-0000-0000880B0000}"/>
    <cellStyle name="計算 2 7 2 3 2 3" xfId="3321" xr:uid="{00000000-0005-0000-0000-0000890B0000}"/>
    <cellStyle name="計算 2 7 2 3 2 3 2" xfId="8869" xr:uid="{00000000-0005-0000-0000-00008A0B0000}"/>
    <cellStyle name="計算 2 7 2 3 2 4" xfId="7538" xr:uid="{00000000-0005-0000-0000-00008B0B0000}"/>
    <cellStyle name="計算 2 7 2 3 3" xfId="6529" xr:uid="{00000000-0005-0000-0000-00008C0B0000}"/>
    <cellStyle name="計算 2 7 2 4" xfId="1355" xr:uid="{00000000-0005-0000-0000-00008D0B0000}"/>
    <cellStyle name="計算 2 7 2 4 2" xfId="4319" xr:uid="{00000000-0005-0000-0000-00008E0B0000}"/>
    <cellStyle name="計算 2 7 2 4 2 2" xfId="9855" xr:uid="{00000000-0005-0000-0000-00008F0B0000}"/>
    <cellStyle name="計算 2 7 2 4 3" xfId="3322" xr:uid="{00000000-0005-0000-0000-0000900B0000}"/>
    <cellStyle name="計算 2 7 2 4 3 2" xfId="8870" xr:uid="{00000000-0005-0000-0000-0000910B0000}"/>
    <cellStyle name="計算 2 7 2 4 4" xfId="7075" xr:uid="{00000000-0005-0000-0000-0000920B0000}"/>
    <cellStyle name="計算 2 7 2 5" xfId="6064" xr:uid="{00000000-0005-0000-0000-0000930B0000}"/>
    <cellStyle name="計算 2 7 3" xfId="311" xr:uid="{00000000-0005-0000-0000-0000940B0000}"/>
    <cellStyle name="計算 2 7 3 2" xfId="533" xr:uid="{00000000-0005-0000-0000-0000950B0000}"/>
    <cellStyle name="計算 2 7 3 2 2" xfId="1042" xr:uid="{00000000-0005-0000-0000-0000960B0000}"/>
    <cellStyle name="計算 2 7 3 2 2 2" xfId="2148" xr:uid="{00000000-0005-0000-0000-0000970B0000}"/>
    <cellStyle name="計算 2 7 3 2 2 2 2" xfId="5057" xr:uid="{00000000-0005-0000-0000-0000980B0000}"/>
    <cellStyle name="計算 2 7 3 2 2 2 2 2" xfId="10522" xr:uid="{00000000-0005-0000-0000-0000990B0000}"/>
    <cellStyle name="計算 2 7 3 2 2 2 3" xfId="3323" xr:uid="{00000000-0005-0000-0000-00009A0B0000}"/>
    <cellStyle name="計算 2 7 3 2 2 2 3 2" xfId="8871" xr:uid="{00000000-0005-0000-0000-00009B0B0000}"/>
    <cellStyle name="計算 2 7 3 2 2 2 4" xfId="7797" xr:uid="{00000000-0005-0000-0000-00009C0B0000}"/>
    <cellStyle name="計算 2 7 3 2 2 3" xfId="6788" xr:uid="{00000000-0005-0000-0000-00009D0B0000}"/>
    <cellStyle name="計算 2 7 3 2 3" xfId="1641" xr:uid="{00000000-0005-0000-0000-00009E0B0000}"/>
    <cellStyle name="計算 2 7 3 2 3 2" xfId="4605" xr:uid="{00000000-0005-0000-0000-00009F0B0000}"/>
    <cellStyle name="計算 2 7 3 2 3 2 2" xfId="10114" xr:uid="{00000000-0005-0000-0000-0000A00B0000}"/>
    <cellStyle name="計算 2 7 3 2 3 3" xfId="3324" xr:uid="{00000000-0005-0000-0000-0000A10B0000}"/>
    <cellStyle name="計算 2 7 3 2 3 3 2" xfId="8872" xr:uid="{00000000-0005-0000-0000-0000A20B0000}"/>
    <cellStyle name="計算 2 7 3 2 3 4" xfId="7334" xr:uid="{00000000-0005-0000-0000-0000A30B0000}"/>
    <cellStyle name="計算 2 7 3 2 4" xfId="6323" xr:uid="{00000000-0005-0000-0000-0000A40B0000}"/>
    <cellStyle name="計算 2 7 3 3" xfId="820" xr:uid="{00000000-0005-0000-0000-0000A50B0000}"/>
    <cellStyle name="計算 2 7 3 3 2" xfId="1926" xr:uid="{00000000-0005-0000-0000-0000A60B0000}"/>
    <cellStyle name="計算 2 7 3 3 2 2" xfId="4835" xr:uid="{00000000-0005-0000-0000-0000A70B0000}"/>
    <cellStyle name="計算 2 7 3 3 2 2 2" xfId="10322" xr:uid="{00000000-0005-0000-0000-0000A80B0000}"/>
    <cellStyle name="計算 2 7 3 3 2 3" xfId="3325" xr:uid="{00000000-0005-0000-0000-0000A90B0000}"/>
    <cellStyle name="計算 2 7 3 3 2 3 2" xfId="8873" xr:uid="{00000000-0005-0000-0000-0000AA0B0000}"/>
    <cellStyle name="計算 2 7 3 3 2 4" xfId="7597" xr:uid="{00000000-0005-0000-0000-0000AB0B0000}"/>
    <cellStyle name="計算 2 7 3 3 3" xfId="6588" xr:uid="{00000000-0005-0000-0000-0000AC0B0000}"/>
    <cellStyle name="計算 2 7 3 4" xfId="1419" xr:uid="{00000000-0005-0000-0000-0000AD0B0000}"/>
    <cellStyle name="計算 2 7 3 4 2" xfId="4383" xr:uid="{00000000-0005-0000-0000-0000AE0B0000}"/>
    <cellStyle name="計算 2 7 3 4 2 2" xfId="9914" xr:uid="{00000000-0005-0000-0000-0000AF0B0000}"/>
    <cellStyle name="計算 2 7 3 4 3" xfId="3326" xr:uid="{00000000-0005-0000-0000-0000B00B0000}"/>
    <cellStyle name="計算 2 7 3 4 3 2" xfId="8874" xr:uid="{00000000-0005-0000-0000-0000B10B0000}"/>
    <cellStyle name="計算 2 7 3 4 4" xfId="7134" xr:uid="{00000000-0005-0000-0000-0000B20B0000}"/>
    <cellStyle name="計算 2 7 3 5" xfId="6123" xr:uid="{00000000-0005-0000-0000-0000B30B0000}"/>
    <cellStyle name="計算 2 7 4" xfId="395" xr:uid="{00000000-0005-0000-0000-0000B40B0000}"/>
    <cellStyle name="計算 2 7 4 2" xfId="904" xr:uid="{00000000-0005-0000-0000-0000B50B0000}"/>
    <cellStyle name="計算 2 7 4 2 2" xfId="2010" xr:uid="{00000000-0005-0000-0000-0000B60B0000}"/>
    <cellStyle name="計算 2 7 4 2 2 2" xfId="4919" xr:uid="{00000000-0005-0000-0000-0000B70B0000}"/>
    <cellStyle name="計算 2 7 4 2 2 2 2" xfId="10395" xr:uid="{00000000-0005-0000-0000-0000B80B0000}"/>
    <cellStyle name="計算 2 7 4 2 2 3" xfId="3327" xr:uid="{00000000-0005-0000-0000-0000B90B0000}"/>
    <cellStyle name="計算 2 7 4 2 2 3 2" xfId="8875" xr:uid="{00000000-0005-0000-0000-0000BA0B0000}"/>
    <cellStyle name="計算 2 7 4 2 2 4" xfId="7670" xr:uid="{00000000-0005-0000-0000-0000BB0B0000}"/>
    <cellStyle name="計算 2 7 4 2 3" xfId="6661" xr:uid="{00000000-0005-0000-0000-0000BC0B0000}"/>
    <cellStyle name="計算 2 7 4 3" xfId="1503" xr:uid="{00000000-0005-0000-0000-0000BD0B0000}"/>
    <cellStyle name="計算 2 7 4 3 2" xfId="4467" xr:uid="{00000000-0005-0000-0000-0000BE0B0000}"/>
    <cellStyle name="計算 2 7 4 3 2 2" xfId="9987" xr:uid="{00000000-0005-0000-0000-0000BF0B0000}"/>
    <cellStyle name="計算 2 7 4 3 3" xfId="3328" xr:uid="{00000000-0005-0000-0000-0000C00B0000}"/>
    <cellStyle name="計算 2 7 4 3 3 2" xfId="8876" xr:uid="{00000000-0005-0000-0000-0000C10B0000}"/>
    <cellStyle name="計算 2 7 4 3 4" xfId="7207" xr:uid="{00000000-0005-0000-0000-0000C20B0000}"/>
    <cellStyle name="計算 2 7 4 4" xfId="6196" xr:uid="{00000000-0005-0000-0000-0000C30B0000}"/>
    <cellStyle name="計算 2 7 5" xfId="681" xr:uid="{00000000-0005-0000-0000-0000C40B0000}"/>
    <cellStyle name="計算 2 7 5 2" xfId="1787" xr:uid="{00000000-0005-0000-0000-0000C50B0000}"/>
    <cellStyle name="計算 2 7 5 2 2" xfId="4696" xr:uid="{00000000-0005-0000-0000-0000C60B0000}"/>
    <cellStyle name="計算 2 7 5 2 2 2" xfId="10194" xr:uid="{00000000-0005-0000-0000-0000C70B0000}"/>
    <cellStyle name="計算 2 7 5 2 3" xfId="3329" xr:uid="{00000000-0005-0000-0000-0000C80B0000}"/>
    <cellStyle name="計算 2 7 5 2 3 2" xfId="8877" xr:uid="{00000000-0005-0000-0000-0000C90B0000}"/>
    <cellStyle name="計算 2 7 5 2 4" xfId="7469" xr:uid="{00000000-0005-0000-0000-0000CA0B0000}"/>
    <cellStyle name="計算 2 7 5 3" xfId="6460" xr:uid="{00000000-0005-0000-0000-0000CB0B0000}"/>
    <cellStyle name="計算 2 7 6" xfId="1280" xr:uid="{00000000-0005-0000-0000-0000CC0B0000}"/>
    <cellStyle name="計算 2 7 6 2" xfId="4244" xr:uid="{00000000-0005-0000-0000-0000CD0B0000}"/>
    <cellStyle name="計算 2 7 6 2 2" xfId="9786" xr:uid="{00000000-0005-0000-0000-0000CE0B0000}"/>
    <cellStyle name="計算 2 7 6 3" xfId="3330" xr:uid="{00000000-0005-0000-0000-0000CF0B0000}"/>
    <cellStyle name="計算 2 7 6 3 2" xfId="8878" xr:uid="{00000000-0005-0000-0000-0000D00B0000}"/>
    <cellStyle name="計算 2 7 6 4" xfId="7006" xr:uid="{00000000-0005-0000-0000-0000D10B0000}"/>
    <cellStyle name="計算 2 7 7" xfId="5995" xr:uid="{00000000-0005-0000-0000-0000D20B0000}"/>
    <cellStyle name="計算 2 8" xfId="180" xr:uid="{00000000-0005-0000-0000-0000D30B0000}"/>
    <cellStyle name="計算 2 8 2" xfId="403" xr:uid="{00000000-0005-0000-0000-0000D40B0000}"/>
    <cellStyle name="計算 2 8 2 2" xfId="912" xr:uid="{00000000-0005-0000-0000-0000D50B0000}"/>
    <cellStyle name="計算 2 8 2 2 2" xfId="2018" xr:uid="{00000000-0005-0000-0000-0000D60B0000}"/>
    <cellStyle name="計算 2 8 2 2 2 2" xfId="4927" xr:uid="{00000000-0005-0000-0000-0000D70B0000}"/>
    <cellStyle name="計算 2 8 2 2 2 2 2" xfId="10402" xr:uid="{00000000-0005-0000-0000-0000D80B0000}"/>
    <cellStyle name="計算 2 8 2 2 2 3" xfId="3331" xr:uid="{00000000-0005-0000-0000-0000D90B0000}"/>
    <cellStyle name="計算 2 8 2 2 2 3 2" xfId="8879" xr:uid="{00000000-0005-0000-0000-0000DA0B0000}"/>
    <cellStyle name="計算 2 8 2 2 2 4" xfId="7677" xr:uid="{00000000-0005-0000-0000-0000DB0B0000}"/>
    <cellStyle name="計算 2 8 2 2 3" xfId="6668" xr:uid="{00000000-0005-0000-0000-0000DC0B0000}"/>
    <cellStyle name="計算 2 8 2 3" xfId="1511" xr:uid="{00000000-0005-0000-0000-0000DD0B0000}"/>
    <cellStyle name="計算 2 8 2 3 2" xfId="4475" xr:uid="{00000000-0005-0000-0000-0000DE0B0000}"/>
    <cellStyle name="計算 2 8 2 3 2 2" xfId="9994" xr:uid="{00000000-0005-0000-0000-0000DF0B0000}"/>
    <cellStyle name="計算 2 8 2 3 3" xfId="3332" xr:uid="{00000000-0005-0000-0000-0000E00B0000}"/>
    <cellStyle name="計算 2 8 2 3 3 2" xfId="8880" xr:uid="{00000000-0005-0000-0000-0000E10B0000}"/>
    <cellStyle name="計算 2 8 2 3 4" xfId="7214" xr:uid="{00000000-0005-0000-0000-0000E20B0000}"/>
    <cellStyle name="計算 2 8 2 4" xfId="6203" xr:uid="{00000000-0005-0000-0000-0000E30B0000}"/>
    <cellStyle name="計算 2 8 3" xfId="689" xr:uid="{00000000-0005-0000-0000-0000E40B0000}"/>
    <cellStyle name="計算 2 8 3 2" xfId="1795" xr:uid="{00000000-0005-0000-0000-0000E50B0000}"/>
    <cellStyle name="計算 2 8 3 2 2" xfId="4704" xr:uid="{00000000-0005-0000-0000-0000E60B0000}"/>
    <cellStyle name="計算 2 8 3 2 2 2" xfId="10201" xr:uid="{00000000-0005-0000-0000-0000E70B0000}"/>
    <cellStyle name="計算 2 8 3 2 3" xfId="3333" xr:uid="{00000000-0005-0000-0000-0000E80B0000}"/>
    <cellStyle name="計算 2 8 3 2 3 2" xfId="8881" xr:uid="{00000000-0005-0000-0000-0000E90B0000}"/>
    <cellStyle name="計算 2 8 3 2 4" xfId="7476" xr:uid="{00000000-0005-0000-0000-0000EA0B0000}"/>
    <cellStyle name="計算 2 8 3 3" xfId="6467" xr:uid="{00000000-0005-0000-0000-0000EB0B0000}"/>
    <cellStyle name="計算 2 8 4" xfId="1288" xr:uid="{00000000-0005-0000-0000-0000EC0B0000}"/>
    <cellStyle name="計算 2 8 4 2" xfId="4252" xr:uid="{00000000-0005-0000-0000-0000ED0B0000}"/>
    <cellStyle name="計算 2 8 4 2 2" xfId="9793" xr:uid="{00000000-0005-0000-0000-0000EE0B0000}"/>
    <cellStyle name="計算 2 8 4 3" xfId="3334" xr:uid="{00000000-0005-0000-0000-0000EF0B0000}"/>
    <cellStyle name="計算 2 8 4 3 2" xfId="8882" xr:uid="{00000000-0005-0000-0000-0000F00B0000}"/>
    <cellStyle name="計算 2 8 4 4" xfId="7013" xr:uid="{00000000-0005-0000-0000-0000F10B0000}"/>
    <cellStyle name="計算 2 8 5" xfId="6002" xr:uid="{00000000-0005-0000-0000-0000F20B0000}"/>
    <cellStyle name="計算 2 9" xfId="110" xr:uid="{00000000-0005-0000-0000-0000F30B0000}"/>
    <cellStyle name="計算 2 9 2" xfId="370" xr:uid="{00000000-0005-0000-0000-0000F40B0000}"/>
    <cellStyle name="計算 2 9 2 2" xfId="879" xr:uid="{00000000-0005-0000-0000-0000F50B0000}"/>
    <cellStyle name="計算 2 9 2 2 2" xfId="1985" xr:uid="{00000000-0005-0000-0000-0000F60B0000}"/>
    <cellStyle name="計算 2 9 2 2 2 2" xfId="4894" xr:uid="{00000000-0005-0000-0000-0000F70B0000}"/>
    <cellStyle name="計算 2 9 2 2 2 2 2" xfId="10373" xr:uid="{00000000-0005-0000-0000-0000F80B0000}"/>
    <cellStyle name="計算 2 9 2 2 2 3" xfId="3335" xr:uid="{00000000-0005-0000-0000-0000F90B0000}"/>
    <cellStyle name="計算 2 9 2 2 2 3 2" xfId="8883" xr:uid="{00000000-0005-0000-0000-0000FA0B0000}"/>
    <cellStyle name="計算 2 9 2 2 2 4" xfId="7648" xr:uid="{00000000-0005-0000-0000-0000FB0B0000}"/>
    <cellStyle name="計算 2 9 2 2 3" xfId="6639" xr:uid="{00000000-0005-0000-0000-0000FC0B0000}"/>
    <cellStyle name="計算 2 9 2 3" xfId="1478" xr:uid="{00000000-0005-0000-0000-0000FD0B0000}"/>
    <cellStyle name="計算 2 9 2 3 2" xfId="4442" xr:uid="{00000000-0005-0000-0000-0000FE0B0000}"/>
    <cellStyle name="計算 2 9 2 3 2 2" xfId="9965" xr:uid="{00000000-0005-0000-0000-0000FF0B0000}"/>
    <cellStyle name="計算 2 9 2 3 3" xfId="3336" xr:uid="{00000000-0005-0000-0000-0000000C0000}"/>
    <cellStyle name="計算 2 9 2 3 3 2" xfId="8884" xr:uid="{00000000-0005-0000-0000-0000010C0000}"/>
    <cellStyle name="計算 2 9 2 3 4" xfId="7185" xr:uid="{00000000-0005-0000-0000-0000020C0000}"/>
    <cellStyle name="計算 2 9 2 4" xfId="6174" xr:uid="{00000000-0005-0000-0000-0000030C0000}"/>
    <cellStyle name="計算 2 9 3" xfId="647" xr:uid="{00000000-0005-0000-0000-0000040C0000}"/>
    <cellStyle name="計算 2 9 3 2" xfId="1753" xr:uid="{00000000-0005-0000-0000-0000050C0000}"/>
    <cellStyle name="計算 2 9 3 2 2" xfId="4662" xr:uid="{00000000-0005-0000-0000-0000060C0000}"/>
    <cellStyle name="計算 2 9 3 2 2 2" xfId="10164" xr:uid="{00000000-0005-0000-0000-0000070C0000}"/>
    <cellStyle name="計算 2 9 3 2 3" xfId="3337" xr:uid="{00000000-0005-0000-0000-0000080C0000}"/>
    <cellStyle name="計算 2 9 3 2 3 2" xfId="8885" xr:uid="{00000000-0005-0000-0000-0000090C0000}"/>
    <cellStyle name="計算 2 9 3 2 4" xfId="7439" xr:uid="{00000000-0005-0000-0000-00000A0C0000}"/>
    <cellStyle name="計算 2 9 3 3" xfId="6430" xr:uid="{00000000-0005-0000-0000-00000B0C0000}"/>
    <cellStyle name="計算 2 9 4" xfId="1219" xr:uid="{00000000-0005-0000-0000-00000C0C0000}"/>
    <cellStyle name="計算 2 9 4 2" xfId="4210" xr:uid="{00000000-0005-0000-0000-00000D0C0000}"/>
    <cellStyle name="計算 2 9 4 2 2" xfId="9756" xr:uid="{00000000-0005-0000-0000-00000E0C0000}"/>
    <cellStyle name="計算 2 9 4 3" xfId="3338" xr:uid="{00000000-0005-0000-0000-00000F0C0000}"/>
    <cellStyle name="計算 2 9 4 3 2" xfId="8886" xr:uid="{00000000-0005-0000-0000-0000100C0000}"/>
    <cellStyle name="計算 2 9 4 4" xfId="6950" xr:uid="{00000000-0005-0000-0000-0000110C0000}"/>
    <cellStyle name="計算 2 9 5" xfId="5938" xr:uid="{00000000-0005-0000-0000-0000120C0000}"/>
    <cellStyle name="警告文" xfId="15" builtinId="11" customBuiltin="1"/>
    <cellStyle name="警告文 2" xfId="83" xr:uid="{00000000-0005-0000-0000-0000140C0000}"/>
    <cellStyle name="桁区切り 2" xfId="84" xr:uid="{00000000-0005-0000-0000-0000150C0000}"/>
    <cellStyle name="見出し 1" xfId="3" builtinId="16" customBuiltin="1"/>
    <cellStyle name="見出し 1 2" xfId="85" xr:uid="{00000000-0005-0000-0000-0000170C0000}"/>
    <cellStyle name="見出し 2" xfId="4" builtinId="17" customBuiltin="1"/>
    <cellStyle name="見出し 2 2" xfId="86" xr:uid="{00000000-0005-0000-0000-0000190C0000}"/>
    <cellStyle name="見出し 3" xfId="5" builtinId="18" customBuiltin="1"/>
    <cellStyle name="見出し 3 2" xfId="87" xr:uid="{00000000-0005-0000-0000-00001B0C0000}"/>
    <cellStyle name="見出し 3 2 10" xfId="1101" xr:uid="{00000000-0005-0000-0000-00001C0C0000}"/>
    <cellStyle name="見出し 3 2 10 2" xfId="2205" xr:uid="{00000000-0005-0000-0000-00001D0C0000}"/>
    <cellStyle name="見出し 3 2 10 2 2" xfId="5104" xr:uid="{00000000-0005-0000-0000-00001E0C0000}"/>
    <cellStyle name="見出し 3 2 10 3" xfId="2499" xr:uid="{00000000-0005-0000-0000-00001F0C0000}"/>
    <cellStyle name="見出し 3 2 10 3 2" xfId="5367" xr:uid="{00000000-0005-0000-0000-0000200C0000}"/>
    <cellStyle name="見出し 3 2 11" xfId="1202" xr:uid="{00000000-0005-0000-0000-0000210C0000}"/>
    <cellStyle name="見出し 3 2 11 2" xfId="2549" xr:uid="{00000000-0005-0000-0000-0000220C0000}"/>
    <cellStyle name="見出し 3 2 11 2 2" xfId="5416" xr:uid="{00000000-0005-0000-0000-0000230C0000}"/>
    <cellStyle name="見出し 3 2 11 3" xfId="4199" xr:uid="{00000000-0005-0000-0000-0000240C0000}"/>
    <cellStyle name="見出し 3 2 12" xfId="1153" xr:uid="{00000000-0005-0000-0000-0000250C0000}"/>
    <cellStyle name="見出し 3 2 12 2" xfId="4194" xr:uid="{00000000-0005-0000-0000-0000260C0000}"/>
    <cellStyle name="見出し 3 2 13" xfId="2409" xr:uid="{00000000-0005-0000-0000-0000270C0000}"/>
    <cellStyle name="見出し 3 2 13 2" xfId="5278" xr:uid="{00000000-0005-0000-0000-0000280C0000}"/>
    <cellStyle name="見出し 3 2 2" xfId="163" xr:uid="{00000000-0005-0000-0000-0000290C0000}"/>
    <cellStyle name="見出し 3 2 2 2" xfId="194" xr:uid="{00000000-0005-0000-0000-00002A0C0000}"/>
    <cellStyle name="見出し 3 2 2 2 2" xfId="265" xr:uid="{00000000-0005-0000-0000-00002B0C0000}"/>
    <cellStyle name="見出し 3 2 2 2 2 2" xfId="487" xr:uid="{00000000-0005-0000-0000-00002C0C0000}"/>
    <cellStyle name="見出し 3 2 2 2 2 2 2" xfId="996" xr:uid="{00000000-0005-0000-0000-00002D0C0000}"/>
    <cellStyle name="見出し 3 2 2 2 2 2 2 2" xfId="2102" xr:uid="{00000000-0005-0000-0000-00002E0C0000}"/>
    <cellStyle name="見出し 3 2 2 2 2 2 2 2 2" xfId="5011" xr:uid="{00000000-0005-0000-0000-00002F0C0000}"/>
    <cellStyle name="見出し 3 2 2 2 2 2 2 3" xfId="2487" xr:uid="{00000000-0005-0000-0000-0000300C0000}"/>
    <cellStyle name="見出し 3 2 2 2 2 2 2 3 2" xfId="5356" xr:uid="{00000000-0005-0000-0000-0000310C0000}"/>
    <cellStyle name="見出し 3 2 2 2 2 2 3" xfId="1595" xr:uid="{00000000-0005-0000-0000-0000320C0000}"/>
    <cellStyle name="見出し 3 2 2 2 2 2 3 2" xfId="4559" xr:uid="{00000000-0005-0000-0000-0000330C0000}"/>
    <cellStyle name="見出し 3 2 2 2 2 2 4" xfId="2443" xr:uid="{00000000-0005-0000-0000-0000340C0000}"/>
    <cellStyle name="見出し 3 2 2 2 2 2 4 2" xfId="5312" xr:uid="{00000000-0005-0000-0000-0000350C0000}"/>
    <cellStyle name="見出し 3 2 2 2 2 3" xfId="774" xr:uid="{00000000-0005-0000-0000-0000360C0000}"/>
    <cellStyle name="見出し 3 2 2 2 2 3 2" xfId="1880" xr:uid="{00000000-0005-0000-0000-0000370C0000}"/>
    <cellStyle name="見出し 3 2 2 2 2 3 2 2" xfId="4789" xr:uid="{00000000-0005-0000-0000-0000380C0000}"/>
    <cellStyle name="見出し 3 2 2 2 2 3 3" xfId="2465" xr:uid="{00000000-0005-0000-0000-0000390C0000}"/>
    <cellStyle name="見出し 3 2 2 2 2 3 3 2" xfId="5334" xr:uid="{00000000-0005-0000-0000-00003A0C0000}"/>
    <cellStyle name="見出し 3 2 2 2 2 4" xfId="1373" xr:uid="{00000000-0005-0000-0000-00003B0C0000}"/>
    <cellStyle name="見出し 3 2 2 2 2 4 2" xfId="4337" xr:uid="{00000000-0005-0000-0000-00003C0C0000}"/>
    <cellStyle name="見出し 3 2 2 2 2 5" xfId="2421" xr:uid="{00000000-0005-0000-0000-00003D0C0000}"/>
    <cellStyle name="見出し 3 2 2 2 2 5 2" xfId="5290" xr:uid="{00000000-0005-0000-0000-00003E0C0000}"/>
    <cellStyle name="見出し 3 2 2 2 3" xfId="330" xr:uid="{00000000-0005-0000-0000-00003F0C0000}"/>
    <cellStyle name="見出し 3 2 2 2 3 2" xfId="552" xr:uid="{00000000-0005-0000-0000-0000400C0000}"/>
    <cellStyle name="見出し 3 2 2 2 3 2 2" xfId="1061" xr:uid="{00000000-0005-0000-0000-0000410C0000}"/>
    <cellStyle name="見出し 3 2 2 2 3 2 2 2" xfId="2167" xr:uid="{00000000-0005-0000-0000-0000420C0000}"/>
    <cellStyle name="見出し 3 2 2 2 3 2 2 2 2" xfId="5076" xr:uid="{00000000-0005-0000-0000-0000430C0000}"/>
    <cellStyle name="見出し 3 2 2 2 3 2 2 3" xfId="2493" xr:uid="{00000000-0005-0000-0000-0000440C0000}"/>
    <cellStyle name="見出し 3 2 2 2 3 2 2 3 2" xfId="5362" xr:uid="{00000000-0005-0000-0000-0000450C0000}"/>
    <cellStyle name="見出し 3 2 2 2 3 2 3" xfId="1660" xr:uid="{00000000-0005-0000-0000-0000460C0000}"/>
    <cellStyle name="見出し 3 2 2 2 3 2 3 2" xfId="4624" xr:uid="{00000000-0005-0000-0000-0000470C0000}"/>
    <cellStyle name="見出し 3 2 2 2 3 2 4" xfId="2449" xr:uid="{00000000-0005-0000-0000-0000480C0000}"/>
    <cellStyle name="見出し 3 2 2 2 3 2 4 2" xfId="5318" xr:uid="{00000000-0005-0000-0000-0000490C0000}"/>
    <cellStyle name="見出し 3 2 2 2 3 3" xfId="839" xr:uid="{00000000-0005-0000-0000-00004A0C0000}"/>
    <cellStyle name="見出し 3 2 2 2 3 3 2" xfId="1945" xr:uid="{00000000-0005-0000-0000-00004B0C0000}"/>
    <cellStyle name="見出し 3 2 2 2 3 3 2 2" xfId="4854" xr:uid="{00000000-0005-0000-0000-00004C0C0000}"/>
    <cellStyle name="見出し 3 2 2 2 3 3 3" xfId="2471" xr:uid="{00000000-0005-0000-0000-00004D0C0000}"/>
    <cellStyle name="見出し 3 2 2 2 3 3 3 2" xfId="5340" xr:uid="{00000000-0005-0000-0000-00004E0C0000}"/>
    <cellStyle name="見出し 3 2 2 2 3 4" xfId="1438" xr:uid="{00000000-0005-0000-0000-00004F0C0000}"/>
    <cellStyle name="見出し 3 2 2 2 3 4 2" xfId="4402" xr:uid="{00000000-0005-0000-0000-0000500C0000}"/>
    <cellStyle name="見出し 3 2 2 2 3 5" xfId="2427" xr:uid="{00000000-0005-0000-0000-0000510C0000}"/>
    <cellStyle name="見出し 3 2 2 2 3 5 2" xfId="5296" xr:uid="{00000000-0005-0000-0000-0000520C0000}"/>
    <cellStyle name="見出し 3 2 2 2 4" xfId="416" xr:uid="{00000000-0005-0000-0000-0000530C0000}"/>
    <cellStyle name="見出し 3 2 2 2 4 2" xfId="925" xr:uid="{00000000-0005-0000-0000-0000540C0000}"/>
    <cellStyle name="見出し 3 2 2 2 4 2 2" xfId="2031" xr:uid="{00000000-0005-0000-0000-0000550C0000}"/>
    <cellStyle name="見出し 3 2 2 2 4 2 2 2" xfId="4940" xr:uid="{00000000-0005-0000-0000-0000560C0000}"/>
    <cellStyle name="見出し 3 2 2 2 4 2 3" xfId="2482" xr:uid="{00000000-0005-0000-0000-0000570C0000}"/>
    <cellStyle name="見出し 3 2 2 2 4 2 3 2" xfId="5351" xr:uid="{00000000-0005-0000-0000-0000580C0000}"/>
    <cellStyle name="見出し 3 2 2 2 4 3" xfId="1524" xr:uid="{00000000-0005-0000-0000-0000590C0000}"/>
    <cellStyle name="見出し 3 2 2 2 4 3 2" xfId="4488" xr:uid="{00000000-0005-0000-0000-00005A0C0000}"/>
    <cellStyle name="見出し 3 2 2 2 4 4" xfId="2438" xr:uid="{00000000-0005-0000-0000-00005B0C0000}"/>
    <cellStyle name="見出し 3 2 2 2 4 4 2" xfId="5307" xr:uid="{00000000-0005-0000-0000-00005C0C0000}"/>
    <cellStyle name="見出し 3 2 2 2 5" xfId="703" xr:uid="{00000000-0005-0000-0000-00005D0C0000}"/>
    <cellStyle name="見出し 3 2 2 2 5 2" xfId="1809" xr:uid="{00000000-0005-0000-0000-00005E0C0000}"/>
    <cellStyle name="見出し 3 2 2 2 5 2 2" xfId="4718" xr:uid="{00000000-0005-0000-0000-00005F0C0000}"/>
    <cellStyle name="見出し 3 2 2 2 5 3" xfId="2460" xr:uid="{00000000-0005-0000-0000-0000600C0000}"/>
    <cellStyle name="見出し 3 2 2 2 5 3 2" xfId="5329" xr:uid="{00000000-0005-0000-0000-0000610C0000}"/>
    <cellStyle name="見出し 3 2 2 2 6" xfId="1302" xr:uid="{00000000-0005-0000-0000-0000620C0000}"/>
    <cellStyle name="見出し 3 2 2 2 6 2" xfId="4266" xr:uid="{00000000-0005-0000-0000-0000630C0000}"/>
    <cellStyle name="見出し 3 2 2 2 7" xfId="2416" xr:uid="{00000000-0005-0000-0000-0000640C0000}"/>
    <cellStyle name="見出し 3 2 2 2 7 2" xfId="5285" xr:uid="{00000000-0005-0000-0000-0000650C0000}"/>
    <cellStyle name="見出し 3 2 2 3" xfId="215" xr:uid="{00000000-0005-0000-0000-0000660C0000}"/>
    <cellStyle name="見出し 3 2 2 3 2" xfId="351" xr:uid="{00000000-0005-0000-0000-0000670C0000}"/>
    <cellStyle name="見出し 3 2 2 3 2 2" xfId="573" xr:uid="{00000000-0005-0000-0000-0000680C0000}"/>
    <cellStyle name="見出し 3 2 2 3 2 2 2" xfId="1082" xr:uid="{00000000-0005-0000-0000-0000690C0000}"/>
    <cellStyle name="見出し 3 2 2 3 2 2 2 2" xfId="2188" xr:uid="{00000000-0005-0000-0000-00006A0C0000}"/>
    <cellStyle name="見出し 3 2 2 3 2 2 2 2 2" xfId="5097" xr:uid="{00000000-0005-0000-0000-00006B0C0000}"/>
    <cellStyle name="見出し 3 2 2 3 2 2 2 3" xfId="2496" xr:uid="{00000000-0005-0000-0000-00006C0C0000}"/>
    <cellStyle name="見出し 3 2 2 3 2 2 2 3 2" xfId="5365" xr:uid="{00000000-0005-0000-0000-00006D0C0000}"/>
    <cellStyle name="見出し 3 2 2 3 2 2 3" xfId="1681" xr:uid="{00000000-0005-0000-0000-00006E0C0000}"/>
    <cellStyle name="見出し 3 2 2 3 2 2 3 2" xfId="4645" xr:uid="{00000000-0005-0000-0000-00006F0C0000}"/>
    <cellStyle name="見出し 3 2 2 3 2 2 4" xfId="2452" xr:uid="{00000000-0005-0000-0000-0000700C0000}"/>
    <cellStyle name="見出し 3 2 2 3 2 2 4 2" xfId="5321" xr:uid="{00000000-0005-0000-0000-0000710C0000}"/>
    <cellStyle name="見出し 3 2 2 3 2 3" xfId="860" xr:uid="{00000000-0005-0000-0000-0000720C0000}"/>
    <cellStyle name="見出し 3 2 2 3 2 3 2" xfId="1966" xr:uid="{00000000-0005-0000-0000-0000730C0000}"/>
    <cellStyle name="見出し 3 2 2 3 2 3 2 2" xfId="4875" xr:uid="{00000000-0005-0000-0000-0000740C0000}"/>
    <cellStyle name="見出し 3 2 2 3 2 3 3" xfId="2474" xr:uid="{00000000-0005-0000-0000-0000750C0000}"/>
    <cellStyle name="見出し 3 2 2 3 2 3 3 2" xfId="5343" xr:uid="{00000000-0005-0000-0000-0000760C0000}"/>
    <cellStyle name="見出し 3 2 2 3 2 4" xfId="1459" xr:uid="{00000000-0005-0000-0000-0000770C0000}"/>
    <cellStyle name="見出し 3 2 2 3 2 4 2" xfId="4423" xr:uid="{00000000-0005-0000-0000-0000780C0000}"/>
    <cellStyle name="見出し 3 2 2 3 2 5" xfId="2430" xr:uid="{00000000-0005-0000-0000-0000790C0000}"/>
    <cellStyle name="見出し 3 2 2 3 2 5 2" xfId="5299" xr:uid="{00000000-0005-0000-0000-00007A0C0000}"/>
    <cellStyle name="見出し 3 2 2 3 3" xfId="437" xr:uid="{00000000-0005-0000-0000-00007B0C0000}"/>
    <cellStyle name="見出し 3 2 2 3 3 2" xfId="946" xr:uid="{00000000-0005-0000-0000-00007C0C0000}"/>
    <cellStyle name="見出し 3 2 2 3 3 2 2" xfId="2052" xr:uid="{00000000-0005-0000-0000-00007D0C0000}"/>
    <cellStyle name="見出し 3 2 2 3 3 2 2 2" xfId="4961" xr:uid="{00000000-0005-0000-0000-00007E0C0000}"/>
    <cellStyle name="見出し 3 2 2 3 3 2 3" xfId="2485" xr:uid="{00000000-0005-0000-0000-00007F0C0000}"/>
    <cellStyle name="見出し 3 2 2 3 3 2 3 2" xfId="5354" xr:uid="{00000000-0005-0000-0000-0000800C0000}"/>
    <cellStyle name="見出し 3 2 2 3 3 3" xfId="1545" xr:uid="{00000000-0005-0000-0000-0000810C0000}"/>
    <cellStyle name="見出し 3 2 2 3 3 3 2" xfId="4509" xr:uid="{00000000-0005-0000-0000-0000820C0000}"/>
    <cellStyle name="見出し 3 2 2 3 3 4" xfId="2441" xr:uid="{00000000-0005-0000-0000-0000830C0000}"/>
    <cellStyle name="見出し 3 2 2 3 3 4 2" xfId="5310" xr:uid="{00000000-0005-0000-0000-0000840C0000}"/>
    <cellStyle name="見出し 3 2 2 3 4" xfId="724" xr:uid="{00000000-0005-0000-0000-0000850C0000}"/>
    <cellStyle name="見出し 3 2 2 3 4 2" xfId="1830" xr:uid="{00000000-0005-0000-0000-0000860C0000}"/>
    <cellStyle name="見出し 3 2 2 3 4 2 2" xfId="4739" xr:uid="{00000000-0005-0000-0000-0000870C0000}"/>
    <cellStyle name="見出し 3 2 2 3 4 3" xfId="2463" xr:uid="{00000000-0005-0000-0000-0000880C0000}"/>
    <cellStyle name="見出し 3 2 2 3 4 3 2" xfId="5332" xr:uid="{00000000-0005-0000-0000-0000890C0000}"/>
    <cellStyle name="見出し 3 2 2 3 5" xfId="1323" xr:uid="{00000000-0005-0000-0000-00008A0C0000}"/>
    <cellStyle name="見出し 3 2 2 3 5 2" xfId="4287" xr:uid="{00000000-0005-0000-0000-00008B0C0000}"/>
    <cellStyle name="見出し 3 2 2 3 6" xfId="2419" xr:uid="{00000000-0005-0000-0000-00008C0C0000}"/>
    <cellStyle name="見出し 3 2 2 3 6 2" xfId="5288" xr:uid="{00000000-0005-0000-0000-00008D0C0000}"/>
    <cellStyle name="見出し 3 2 2 4" xfId="304" xr:uid="{00000000-0005-0000-0000-00008E0C0000}"/>
    <cellStyle name="見出し 3 2 2 4 2" xfId="526" xr:uid="{00000000-0005-0000-0000-00008F0C0000}"/>
    <cellStyle name="見出し 3 2 2 4 2 2" xfId="1035" xr:uid="{00000000-0005-0000-0000-0000900C0000}"/>
    <cellStyle name="見出し 3 2 2 4 2 2 2" xfId="2141" xr:uid="{00000000-0005-0000-0000-0000910C0000}"/>
    <cellStyle name="見出し 3 2 2 4 2 2 2 2" xfId="5050" xr:uid="{00000000-0005-0000-0000-0000920C0000}"/>
    <cellStyle name="見出し 3 2 2 4 2 2 3" xfId="2490" xr:uid="{00000000-0005-0000-0000-0000930C0000}"/>
    <cellStyle name="見出し 3 2 2 4 2 2 3 2" xfId="5359" xr:uid="{00000000-0005-0000-0000-0000940C0000}"/>
    <cellStyle name="見出し 3 2 2 4 2 3" xfId="1634" xr:uid="{00000000-0005-0000-0000-0000950C0000}"/>
    <cellStyle name="見出し 3 2 2 4 2 3 2" xfId="4598" xr:uid="{00000000-0005-0000-0000-0000960C0000}"/>
    <cellStyle name="見出し 3 2 2 4 2 4" xfId="2446" xr:uid="{00000000-0005-0000-0000-0000970C0000}"/>
    <cellStyle name="見出し 3 2 2 4 2 4 2" xfId="5315" xr:uid="{00000000-0005-0000-0000-0000980C0000}"/>
    <cellStyle name="見出し 3 2 2 4 3" xfId="813" xr:uid="{00000000-0005-0000-0000-0000990C0000}"/>
    <cellStyle name="見出し 3 2 2 4 3 2" xfId="1919" xr:uid="{00000000-0005-0000-0000-00009A0C0000}"/>
    <cellStyle name="見出し 3 2 2 4 3 2 2" xfId="4828" xr:uid="{00000000-0005-0000-0000-00009B0C0000}"/>
    <cellStyle name="見出し 3 2 2 4 3 3" xfId="2468" xr:uid="{00000000-0005-0000-0000-00009C0C0000}"/>
    <cellStyle name="見出し 3 2 2 4 3 3 2" xfId="5337" xr:uid="{00000000-0005-0000-0000-00009D0C0000}"/>
    <cellStyle name="見出し 3 2 2 4 4" xfId="1412" xr:uid="{00000000-0005-0000-0000-00009E0C0000}"/>
    <cellStyle name="見出し 3 2 2 4 4 2" xfId="4376" xr:uid="{00000000-0005-0000-0000-00009F0C0000}"/>
    <cellStyle name="見出し 3 2 2 4 5" xfId="2424" xr:uid="{00000000-0005-0000-0000-0000A00C0000}"/>
    <cellStyle name="見出し 3 2 2 4 5 2" xfId="5293" xr:uid="{00000000-0005-0000-0000-0000A10C0000}"/>
    <cellStyle name="見出し 3 2 2 5" xfId="387" xr:uid="{00000000-0005-0000-0000-0000A20C0000}"/>
    <cellStyle name="見出し 3 2 2 5 2" xfId="896" xr:uid="{00000000-0005-0000-0000-0000A30C0000}"/>
    <cellStyle name="見出し 3 2 2 5 2 2" xfId="2002" xr:uid="{00000000-0005-0000-0000-0000A40C0000}"/>
    <cellStyle name="見出し 3 2 2 5 2 2 2" xfId="4911" xr:uid="{00000000-0005-0000-0000-0000A50C0000}"/>
    <cellStyle name="見出し 3 2 2 5 2 3" xfId="2479" xr:uid="{00000000-0005-0000-0000-0000A60C0000}"/>
    <cellStyle name="見出し 3 2 2 5 2 3 2" xfId="5348" xr:uid="{00000000-0005-0000-0000-0000A70C0000}"/>
    <cellStyle name="見出し 3 2 2 5 3" xfId="1495" xr:uid="{00000000-0005-0000-0000-0000A80C0000}"/>
    <cellStyle name="見出し 3 2 2 5 3 2" xfId="4459" xr:uid="{00000000-0005-0000-0000-0000A90C0000}"/>
    <cellStyle name="見出し 3 2 2 5 4" xfId="2435" xr:uid="{00000000-0005-0000-0000-0000AA0C0000}"/>
    <cellStyle name="見出し 3 2 2 5 4 2" xfId="5304" xr:uid="{00000000-0005-0000-0000-0000AB0C0000}"/>
    <cellStyle name="見出し 3 2 2 6" xfId="672" xr:uid="{00000000-0005-0000-0000-0000AC0C0000}"/>
    <cellStyle name="見出し 3 2 2 6 2" xfId="1778" xr:uid="{00000000-0005-0000-0000-0000AD0C0000}"/>
    <cellStyle name="見出し 3 2 2 6 2 2" xfId="4687" xr:uid="{00000000-0005-0000-0000-0000AE0C0000}"/>
    <cellStyle name="見出し 3 2 2 6 3" xfId="2457" xr:uid="{00000000-0005-0000-0000-0000AF0C0000}"/>
    <cellStyle name="見出し 3 2 2 6 3 2" xfId="5326" xr:uid="{00000000-0005-0000-0000-0000B00C0000}"/>
    <cellStyle name="見出し 3 2 2 7" xfId="1271" xr:uid="{00000000-0005-0000-0000-0000B10C0000}"/>
    <cellStyle name="見出し 3 2 2 7 2" xfId="4235" xr:uid="{00000000-0005-0000-0000-0000B20C0000}"/>
    <cellStyle name="見出し 3 2 2 8" xfId="2413" xr:uid="{00000000-0005-0000-0000-0000B30C0000}"/>
    <cellStyle name="見出し 3 2 2 8 2" xfId="5282" xr:uid="{00000000-0005-0000-0000-0000B40C0000}"/>
    <cellStyle name="見出し 3 2 3" xfId="152" xr:uid="{00000000-0005-0000-0000-0000B50C0000}"/>
    <cellStyle name="見出し 3 2 3 2" xfId="187" xr:uid="{00000000-0005-0000-0000-0000B60C0000}"/>
    <cellStyle name="見出し 3 2 3 2 2" xfId="258" xr:uid="{00000000-0005-0000-0000-0000B70C0000}"/>
    <cellStyle name="見出し 3 2 3 2 2 2" xfId="480" xr:uid="{00000000-0005-0000-0000-0000B80C0000}"/>
    <cellStyle name="見出し 3 2 3 2 2 2 2" xfId="989" xr:uid="{00000000-0005-0000-0000-0000B90C0000}"/>
    <cellStyle name="見出し 3 2 3 2 2 2 2 2" xfId="2095" xr:uid="{00000000-0005-0000-0000-0000BA0C0000}"/>
    <cellStyle name="見出し 3 2 3 2 2 2 2 2 2" xfId="5004" xr:uid="{00000000-0005-0000-0000-0000BB0C0000}"/>
    <cellStyle name="見出し 3 2 3 2 2 2 2 3" xfId="2486" xr:uid="{00000000-0005-0000-0000-0000BC0C0000}"/>
    <cellStyle name="見出し 3 2 3 2 2 2 2 3 2" xfId="5355" xr:uid="{00000000-0005-0000-0000-0000BD0C0000}"/>
    <cellStyle name="見出し 3 2 3 2 2 2 3" xfId="1588" xr:uid="{00000000-0005-0000-0000-0000BE0C0000}"/>
    <cellStyle name="見出し 3 2 3 2 2 2 3 2" xfId="4552" xr:uid="{00000000-0005-0000-0000-0000BF0C0000}"/>
    <cellStyle name="見出し 3 2 3 2 2 2 4" xfId="2442" xr:uid="{00000000-0005-0000-0000-0000C00C0000}"/>
    <cellStyle name="見出し 3 2 3 2 2 2 4 2" xfId="5311" xr:uid="{00000000-0005-0000-0000-0000C10C0000}"/>
    <cellStyle name="見出し 3 2 3 2 2 3" xfId="767" xr:uid="{00000000-0005-0000-0000-0000C20C0000}"/>
    <cellStyle name="見出し 3 2 3 2 2 3 2" xfId="1873" xr:uid="{00000000-0005-0000-0000-0000C30C0000}"/>
    <cellStyle name="見出し 3 2 3 2 2 3 2 2" xfId="4782" xr:uid="{00000000-0005-0000-0000-0000C40C0000}"/>
    <cellStyle name="見出し 3 2 3 2 2 3 3" xfId="2464" xr:uid="{00000000-0005-0000-0000-0000C50C0000}"/>
    <cellStyle name="見出し 3 2 3 2 2 3 3 2" xfId="5333" xr:uid="{00000000-0005-0000-0000-0000C60C0000}"/>
    <cellStyle name="見出し 3 2 3 2 2 4" xfId="1366" xr:uid="{00000000-0005-0000-0000-0000C70C0000}"/>
    <cellStyle name="見出し 3 2 3 2 2 4 2" xfId="4330" xr:uid="{00000000-0005-0000-0000-0000C80C0000}"/>
    <cellStyle name="見出し 3 2 3 2 2 5" xfId="2420" xr:uid="{00000000-0005-0000-0000-0000C90C0000}"/>
    <cellStyle name="見出し 3 2 3 2 2 5 2" xfId="5289" xr:uid="{00000000-0005-0000-0000-0000CA0C0000}"/>
    <cellStyle name="見出し 3 2 3 2 3" xfId="323" xr:uid="{00000000-0005-0000-0000-0000CB0C0000}"/>
    <cellStyle name="見出し 3 2 3 2 3 2" xfId="545" xr:uid="{00000000-0005-0000-0000-0000CC0C0000}"/>
    <cellStyle name="見出し 3 2 3 2 3 2 2" xfId="1054" xr:uid="{00000000-0005-0000-0000-0000CD0C0000}"/>
    <cellStyle name="見出し 3 2 3 2 3 2 2 2" xfId="2160" xr:uid="{00000000-0005-0000-0000-0000CE0C0000}"/>
    <cellStyle name="見出し 3 2 3 2 3 2 2 2 2" xfId="5069" xr:uid="{00000000-0005-0000-0000-0000CF0C0000}"/>
    <cellStyle name="見出し 3 2 3 2 3 2 2 3" xfId="2492" xr:uid="{00000000-0005-0000-0000-0000D00C0000}"/>
    <cellStyle name="見出し 3 2 3 2 3 2 2 3 2" xfId="5361" xr:uid="{00000000-0005-0000-0000-0000D10C0000}"/>
    <cellStyle name="見出し 3 2 3 2 3 2 3" xfId="1653" xr:uid="{00000000-0005-0000-0000-0000D20C0000}"/>
    <cellStyle name="見出し 3 2 3 2 3 2 3 2" xfId="4617" xr:uid="{00000000-0005-0000-0000-0000D30C0000}"/>
    <cellStyle name="見出し 3 2 3 2 3 2 4" xfId="2448" xr:uid="{00000000-0005-0000-0000-0000D40C0000}"/>
    <cellStyle name="見出し 3 2 3 2 3 2 4 2" xfId="5317" xr:uid="{00000000-0005-0000-0000-0000D50C0000}"/>
    <cellStyle name="見出し 3 2 3 2 3 3" xfId="832" xr:uid="{00000000-0005-0000-0000-0000D60C0000}"/>
    <cellStyle name="見出し 3 2 3 2 3 3 2" xfId="1938" xr:uid="{00000000-0005-0000-0000-0000D70C0000}"/>
    <cellStyle name="見出し 3 2 3 2 3 3 2 2" xfId="4847" xr:uid="{00000000-0005-0000-0000-0000D80C0000}"/>
    <cellStyle name="見出し 3 2 3 2 3 3 3" xfId="2470" xr:uid="{00000000-0005-0000-0000-0000D90C0000}"/>
    <cellStyle name="見出し 3 2 3 2 3 3 3 2" xfId="5339" xr:uid="{00000000-0005-0000-0000-0000DA0C0000}"/>
    <cellStyle name="見出し 3 2 3 2 3 4" xfId="1431" xr:uid="{00000000-0005-0000-0000-0000DB0C0000}"/>
    <cellStyle name="見出し 3 2 3 2 3 4 2" xfId="4395" xr:uid="{00000000-0005-0000-0000-0000DC0C0000}"/>
    <cellStyle name="見出し 3 2 3 2 3 5" xfId="2426" xr:uid="{00000000-0005-0000-0000-0000DD0C0000}"/>
    <cellStyle name="見出し 3 2 3 2 3 5 2" xfId="5295" xr:uid="{00000000-0005-0000-0000-0000DE0C0000}"/>
    <cellStyle name="見出し 3 2 3 2 4" xfId="409" xr:uid="{00000000-0005-0000-0000-0000DF0C0000}"/>
    <cellStyle name="見出し 3 2 3 2 4 2" xfId="918" xr:uid="{00000000-0005-0000-0000-0000E00C0000}"/>
    <cellStyle name="見出し 3 2 3 2 4 2 2" xfId="2024" xr:uid="{00000000-0005-0000-0000-0000E10C0000}"/>
    <cellStyle name="見出し 3 2 3 2 4 2 2 2" xfId="4933" xr:uid="{00000000-0005-0000-0000-0000E20C0000}"/>
    <cellStyle name="見出し 3 2 3 2 4 2 3" xfId="2481" xr:uid="{00000000-0005-0000-0000-0000E30C0000}"/>
    <cellStyle name="見出し 3 2 3 2 4 2 3 2" xfId="5350" xr:uid="{00000000-0005-0000-0000-0000E40C0000}"/>
    <cellStyle name="見出し 3 2 3 2 4 3" xfId="1517" xr:uid="{00000000-0005-0000-0000-0000E50C0000}"/>
    <cellStyle name="見出し 3 2 3 2 4 3 2" xfId="4481" xr:uid="{00000000-0005-0000-0000-0000E60C0000}"/>
    <cellStyle name="見出し 3 2 3 2 4 4" xfId="2437" xr:uid="{00000000-0005-0000-0000-0000E70C0000}"/>
    <cellStyle name="見出し 3 2 3 2 4 4 2" xfId="5306" xr:uid="{00000000-0005-0000-0000-0000E80C0000}"/>
    <cellStyle name="見出し 3 2 3 2 5" xfId="696" xr:uid="{00000000-0005-0000-0000-0000E90C0000}"/>
    <cellStyle name="見出し 3 2 3 2 5 2" xfId="1802" xr:uid="{00000000-0005-0000-0000-0000EA0C0000}"/>
    <cellStyle name="見出し 3 2 3 2 5 2 2" xfId="4711" xr:uid="{00000000-0005-0000-0000-0000EB0C0000}"/>
    <cellStyle name="見出し 3 2 3 2 5 3" xfId="2459" xr:uid="{00000000-0005-0000-0000-0000EC0C0000}"/>
    <cellStyle name="見出し 3 2 3 2 5 3 2" xfId="5328" xr:uid="{00000000-0005-0000-0000-0000ED0C0000}"/>
    <cellStyle name="見出し 3 2 3 2 6" xfId="1295" xr:uid="{00000000-0005-0000-0000-0000EE0C0000}"/>
    <cellStyle name="見出し 3 2 3 2 6 2" xfId="4259" xr:uid="{00000000-0005-0000-0000-0000EF0C0000}"/>
    <cellStyle name="見出し 3 2 3 2 7" xfId="2415" xr:uid="{00000000-0005-0000-0000-0000F00C0000}"/>
    <cellStyle name="見出し 3 2 3 2 7 2" xfId="5284" xr:uid="{00000000-0005-0000-0000-0000F10C0000}"/>
    <cellStyle name="見出し 3 2 3 3" xfId="205" xr:uid="{00000000-0005-0000-0000-0000F20C0000}"/>
    <cellStyle name="見出し 3 2 3 3 2" xfId="341" xr:uid="{00000000-0005-0000-0000-0000F30C0000}"/>
    <cellStyle name="見出し 3 2 3 3 2 2" xfId="563" xr:uid="{00000000-0005-0000-0000-0000F40C0000}"/>
    <cellStyle name="見出し 3 2 3 3 2 2 2" xfId="1072" xr:uid="{00000000-0005-0000-0000-0000F50C0000}"/>
    <cellStyle name="見出し 3 2 3 3 2 2 2 2" xfId="2178" xr:uid="{00000000-0005-0000-0000-0000F60C0000}"/>
    <cellStyle name="見出し 3 2 3 3 2 2 2 2 2" xfId="5087" xr:uid="{00000000-0005-0000-0000-0000F70C0000}"/>
    <cellStyle name="見出し 3 2 3 3 2 2 2 3" xfId="2494" xr:uid="{00000000-0005-0000-0000-0000F80C0000}"/>
    <cellStyle name="見出し 3 2 3 3 2 2 2 3 2" xfId="5363" xr:uid="{00000000-0005-0000-0000-0000F90C0000}"/>
    <cellStyle name="見出し 3 2 3 3 2 2 3" xfId="1671" xr:uid="{00000000-0005-0000-0000-0000FA0C0000}"/>
    <cellStyle name="見出し 3 2 3 3 2 2 3 2" xfId="4635" xr:uid="{00000000-0005-0000-0000-0000FB0C0000}"/>
    <cellStyle name="見出し 3 2 3 3 2 2 4" xfId="2450" xr:uid="{00000000-0005-0000-0000-0000FC0C0000}"/>
    <cellStyle name="見出し 3 2 3 3 2 2 4 2" xfId="5319" xr:uid="{00000000-0005-0000-0000-0000FD0C0000}"/>
    <cellStyle name="見出し 3 2 3 3 2 3" xfId="850" xr:uid="{00000000-0005-0000-0000-0000FE0C0000}"/>
    <cellStyle name="見出し 3 2 3 3 2 3 2" xfId="1956" xr:uid="{00000000-0005-0000-0000-0000FF0C0000}"/>
    <cellStyle name="見出し 3 2 3 3 2 3 2 2" xfId="4865" xr:uid="{00000000-0005-0000-0000-0000000D0000}"/>
    <cellStyle name="見出し 3 2 3 3 2 3 3" xfId="2472" xr:uid="{00000000-0005-0000-0000-0000010D0000}"/>
    <cellStyle name="見出し 3 2 3 3 2 3 3 2" xfId="5341" xr:uid="{00000000-0005-0000-0000-0000020D0000}"/>
    <cellStyle name="見出し 3 2 3 3 2 4" xfId="1449" xr:uid="{00000000-0005-0000-0000-0000030D0000}"/>
    <cellStyle name="見出し 3 2 3 3 2 4 2" xfId="4413" xr:uid="{00000000-0005-0000-0000-0000040D0000}"/>
    <cellStyle name="見出し 3 2 3 3 2 5" xfId="2428" xr:uid="{00000000-0005-0000-0000-0000050D0000}"/>
    <cellStyle name="見出し 3 2 3 3 2 5 2" xfId="5297" xr:uid="{00000000-0005-0000-0000-0000060D0000}"/>
    <cellStyle name="見出し 3 2 3 3 3" xfId="427" xr:uid="{00000000-0005-0000-0000-0000070D0000}"/>
    <cellStyle name="見出し 3 2 3 3 3 2" xfId="936" xr:uid="{00000000-0005-0000-0000-0000080D0000}"/>
    <cellStyle name="見出し 3 2 3 3 3 2 2" xfId="2042" xr:uid="{00000000-0005-0000-0000-0000090D0000}"/>
    <cellStyle name="見出し 3 2 3 3 3 2 2 2" xfId="4951" xr:uid="{00000000-0005-0000-0000-00000A0D0000}"/>
    <cellStyle name="見出し 3 2 3 3 3 2 3" xfId="2483" xr:uid="{00000000-0005-0000-0000-00000B0D0000}"/>
    <cellStyle name="見出し 3 2 3 3 3 2 3 2" xfId="5352" xr:uid="{00000000-0005-0000-0000-00000C0D0000}"/>
    <cellStyle name="見出し 3 2 3 3 3 3" xfId="1535" xr:uid="{00000000-0005-0000-0000-00000D0D0000}"/>
    <cellStyle name="見出し 3 2 3 3 3 3 2" xfId="4499" xr:uid="{00000000-0005-0000-0000-00000E0D0000}"/>
    <cellStyle name="見出し 3 2 3 3 3 4" xfId="2439" xr:uid="{00000000-0005-0000-0000-00000F0D0000}"/>
    <cellStyle name="見出し 3 2 3 3 3 4 2" xfId="5308" xr:uid="{00000000-0005-0000-0000-0000100D0000}"/>
    <cellStyle name="見出し 3 2 3 3 4" xfId="714" xr:uid="{00000000-0005-0000-0000-0000110D0000}"/>
    <cellStyle name="見出し 3 2 3 3 4 2" xfId="1820" xr:uid="{00000000-0005-0000-0000-0000120D0000}"/>
    <cellStyle name="見出し 3 2 3 3 4 2 2" xfId="4729" xr:uid="{00000000-0005-0000-0000-0000130D0000}"/>
    <cellStyle name="見出し 3 2 3 3 4 3" xfId="2461" xr:uid="{00000000-0005-0000-0000-0000140D0000}"/>
    <cellStyle name="見出し 3 2 3 3 4 3 2" xfId="5330" xr:uid="{00000000-0005-0000-0000-0000150D0000}"/>
    <cellStyle name="見出し 3 2 3 3 5" xfId="1313" xr:uid="{00000000-0005-0000-0000-0000160D0000}"/>
    <cellStyle name="見出し 3 2 3 3 5 2" xfId="4277" xr:uid="{00000000-0005-0000-0000-0000170D0000}"/>
    <cellStyle name="見出し 3 2 3 3 6" xfId="2417" xr:uid="{00000000-0005-0000-0000-0000180D0000}"/>
    <cellStyle name="見出し 3 2 3 3 6 2" xfId="5286" xr:uid="{00000000-0005-0000-0000-0000190D0000}"/>
    <cellStyle name="見出し 3 2 3 4" xfId="294" xr:uid="{00000000-0005-0000-0000-00001A0D0000}"/>
    <cellStyle name="見出し 3 2 3 4 2" xfId="516" xr:uid="{00000000-0005-0000-0000-00001B0D0000}"/>
    <cellStyle name="見出し 3 2 3 4 2 2" xfId="1025" xr:uid="{00000000-0005-0000-0000-00001C0D0000}"/>
    <cellStyle name="見出し 3 2 3 4 2 2 2" xfId="2131" xr:uid="{00000000-0005-0000-0000-00001D0D0000}"/>
    <cellStyle name="見出し 3 2 3 4 2 2 2 2" xfId="5040" xr:uid="{00000000-0005-0000-0000-00001E0D0000}"/>
    <cellStyle name="見出し 3 2 3 4 2 2 3" xfId="2488" xr:uid="{00000000-0005-0000-0000-00001F0D0000}"/>
    <cellStyle name="見出し 3 2 3 4 2 2 3 2" xfId="5357" xr:uid="{00000000-0005-0000-0000-0000200D0000}"/>
    <cellStyle name="見出し 3 2 3 4 2 3" xfId="1624" xr:uid="{00000000-0005-0000-0000-0000210D0000}"/>
    <cellStyle name="見出し 3 2 3 4 2 3 2" xfId="4588" xr:uid="{00000000-0005-0000-0000-0000220D0000}"/>
    <cellStyle name="見出し 3 2 3 4 2 4" xfId="2444" xr:uid="{00000000-0005-0000-0000-0000230D0000}"/>
    <cellStyle name="見出し 3 2 3 4 2 4 2" xfId="5313" xr:uid="{00000000-0005-0000-0000-0000240D0000}"/>
    <cellStyle name="見出し 3 2 3 4 3" xfId="803" xr:uid="{00000000-0005-0000-0000-0000250D0000}"/>
    <cellStyle name="見出し 3 2 3 4 3 2" xfId="1909" xr:uid="{00000000-0005-0000-0000-0000260D0000}"/>
    <cellStyle name="見出し 3 2 3 4 3 2 2" xfId="4818" xr:uid="{00000000-0005-0000-0000-0000270D0000}"/>
    <cellStyle name="見出し 3 2 3 4 3 3" xfId="2466" xr:uid="{00000000-0005-0000-0000-0000280D0000}"/>
    <cellStyle name="見出し 3 2 3 4 3 3 2" xfId="5335" xr:uid="{00000000-0005-0000-0000-0000290D0000}"/>
    <cellStyle name="見出し 3 2 3 4 4" xfId="1402" xr:uid="{00000000-0005-0000-0000-00002A0D0000}"/>
    <cellStyle name="見出し 3 2 3 4 4 2" xfId="4366" xr:uid="{00000000-0005-0000-0000-00002B0D0000}"/>
    <cellStyle name="見出し 3 2 3 4 5" xfId="2422" xr:uid="{00000000-0005-0000-0000-00002C0D0000}"/>
    <cellStyle name="見出し 3 2 3 4 5 2" xfId="5291" xr:uid="{00000000-0005-0000-0000-00002D0D0000}"/>
    <cellStyle name="見出し 3 2 3 5" xfId="377" xr:uid="{00000000-0005-0000-0000-00002E0D0000}"/>
    <cellStyle name="見出し 3 2 3 5 2" xfId="886" xr:uid="{00000000-0005-0000-0000-00002F0D0000}"/>
    <cellStyle name="見出し 3 2 3 5 2 2" xfId="1992" xr:uid="{00000000-0005-0000-0000-0000300D0000}"/>
    <cellStyle name="見出し 3 2 3 5 2 2 2" xfId="4901" xr:uid="{00000000-0005-0000-0000-0000310D0000}"/>
    <cellStyle name="見出し 3 2 3 5 2 3" xfId="2477" xr:uid="{00000000-0005-0000-0000-0000320D0000}"/>
    <cellStyle name="見出し 3 2 3 5 2 3 2" xfId="5346" xr:uid="{00000000-0005-0000-0000-0000330D0000}"/>
    <cellStyle name="見出し 3 2 3 5 3" xfId="1485" xr:uid="{00000000-0005-0000-0000-0000340D0000}"/>
    <cellStyle name="見出し 3 2 3 5 3 2" xfId="4449" xr:uid="{00000000-0005-0000-0000-0000350D0000}"/>
    <cellStyle name="見出し 3 2 3 5 4" xfId="2433" xr:uid="{00000000-0005-0000-0000-0000360D0000}"/>
    <cellStyle name="見出し 3 2 3 5 4 2" xfId="5302" xr:uid="{00000000-0005-0000-0000-0000370D0000}"/>
    <cellStyle name="見出し 3 2 3 6" xfId="662" xr:uid="{00000000-0005-0000-0000-0000380D0000}"/>
    <cellStyle name="見出し 3 2 3 6 2" xfId="1768" xr:uid="{00000000-0005-0000-0000-0000390D0000}"/>
    <cellStyle name="見出し 3 2 3 6 2 2" xfId="4677" xr:uid="{00000000-0005-0000-0000-00003A0D0000}"/>
    <cellStyle name="見出し 3 2 3 6 3" xfId="2455" xr:uid="{00000000-0005-0000-0000-00003B0D0000}"/>
    <cellStyle name="見出し 3 2 3 6 3 2" xfId="5324" xr:uid="{00000000-0005-0000-0000-00003C0D0000}"/>
    <cellStyle name="見出し 3 2 3 7" xfId="1261" xr:uid="{00000000-0005-0000-0000-00003D0D0000}"/>
    <cellStyle name="見出し 3 2 3 7 2" xfId="4225" xr:uid="{00000000-0005-0000-0000-00003E0D0000}"/>
    <cellStyle name="見出し 3 2 3 8" xfId="2411" xr:uid="{00000000-0005-0000-0000-00003F0D0000}"/>
    <cellStyle name="見出し 3 2 3 8 2" xfId="5280" xr:uid="{00000000-0005-0000-0000-0000400D0000}"/>
    <cellStyle name="見出し 3 2 4" xfId="158" xr:uid="{00000000-0005-0000-0000-0000410D0000}"/>
    <cellStyle name="見出し 3 2 4 2" xfId="210" xr:uid="{00000000-0005-0000-0000-0000420D0000}"/>
    <cellStyle name="見出し 3 2 4 2 2" xfId="346" xr:uid="{00000000-0005-0000-0000-0000430D0000}"/>
    <cellStyle name="見出し 3 2 4 2 2 2" xfId="568" xr:uid="{00000000-0005-0000-0000-0000440D0000}"/>
    <cellStyle name="見出し 3 2 4 2 2 2 2" xfId="1077" xr:uid="{00000000-0005-0000-0000-0000450D0000}"/>
    <cellStyle name="見出し 3 2 4 2 2 2 2 2" xfId="2183" xr:uid="{00000000-0005-0000-0000-0000460D0000}"/>
    <cellStyle name="見出し 3 2 4 2 2 2 2 2 2" xfId="5092" xr:uid="{00000000-0005-0000-0000-0000470D0000}"/>
    <cellStyle name="見出し 3 2 4 2 2 2 2 3" xfId="2495" xr:uid="{00000000-0005-0000-0000-0000480D0000}"/>
    <cellStyle name="見出し 3 2 4 2 2 2 2 3 2" xfId="5364" xr:uid="{00000000-0005-0000-0000-0000490D0000}"/>
    <cellStyle name="見出し 3 2 4 2 2 2 3" xfId="1676" xr:uid="{00000000-0005-0000-0000-00004A0D0000}"/>
    <cellStyle name="見出し 3 2 4 2 2 2 3 2" xfId="4640" xr:uid="{00000000-0005-0000-0000-00004B0D0000}"/>
    <cellStyle name="見出し 3 2 4 2 2 2 4" xfId="2451" xr:uid="{00000000-0005-0000-0000-00004C0D0000}"/>
    <cellStyle name="見出し 3 2 4 2 2 2 4 2" xfId="5320" xr:uid="{00000000-0005-0000-0000-00004D0D0000}"/>
    <cellStyle name="見出し 3 2 4 2 2 3" xfId="855" xr:uid="{00000000-0005-0000-0000-00004E0D0000}"/>
    <cellStyle name="見出し 3 2 4 2 2 3 2" xfId="1961" xr:uid="{00000000-0005-0000-0000-00004F0D0000}"/>
    <cellStyle name="見出し 3 2 4 2 2 3 2 2" xfId="4870" xr:uid="{00000000-0005-0000-0000-0000500D0000}"/>
    <cellStyle name="見出し 3 2 4 2 2 3 3" xfId="2473" xr:uid="{00000000-0005-0000-0000-0000510D0000}"/>
    <cellStyle name="見出し 3 2 4 2 2 3 3 2" xfId="5342" xr:uid="{00000000-0005-0000-0000-0000520D0000}"/>
    <cellStyle name="見出し 3 2 4 2 2 4" xfId="1454" xr:uid="{00000000-0005-0000-0000-0000530D0000}"/>
    <cellStyle name="見出し 3 2 4 2 2 4 2" xfId="4418" xr:uid="{00000000-0005-0000-0000-0000540D0000}"/>
    <cellStyle name="見出し 3 2 4 2 2 5" xfId="2429" xr:uid="{00000000-0005-0000-0000-0000550D0000}"/>
    <cellStyle name="見出し 3 2 4 2 2 5 2" xfId="5298" xr:uid="{00000000-0005-0000-0000-0000560D0000}"/>
    <cellStyle name="見出し 3 2 4 2 3" xfId="432" xr:uid="{00000000-0005-0000-0000-0000570D0000}"/>
    <cellStyle name="見出し 3 2 4 2 3 2" xfId="941" xr:uid="{00000000-0005-0000-0000-0000580D0000}"/>
    <cellStyle name="見出し 3 2 4 2 3 2 2" xfId="2047" xr:uid="{00000000-0005-0000-0000-0000590D0000}"/>
    <cellStyle name="見出し 3 2 4 2 3 2 2 2" xfId="4956" xr:uid="{00000000-0005-0000-0000-00005A0D0000}"/>
    <cellStyle name="見出し 3 2 4 2 3 2 3" xfId="2484" xr:uid="{00000000-0005-0000-0000-00005B0D0000}"/>
    <cellStyle name="見出し 3 2 4 2 3 2 3 2" xfId="5353" xr:uid="{00000000-0005-0000-0000-00005C0D0000}"/>
    <cellStyle name="見出し 3 2 4 2 3 3" xfId="1540" xr:uid="{00000000-0005-0000-0000-00005D0D0000}"/>
    <cellStyle name="見出し 3 2 4 2 3 3 2" xfId="4504" xr:uid="{00000000-0005-0000-0000-00005E0D0000}"/>
    <cellStyle name="見出し 3 2 4 2 3 4" xfId="2440" xr:uid="{00000000-0005-0000-0000-00005F0D0000}"/>
    <cellStyle name="見出し 3 2 4 2 3 4 2" xfId="5309" xr:uid="{00000000-0005-0000-0000-0000600D0000}"/>
    <cellStyle name="見出し 3 2 4 2 4" xfId="719" xr:uid="{00000000-0005-0000-0000-0000610D0000}"/>
    <cellStyle name="見出し 3 2 4 2 4 2" xfId="1825" xr:uid="{00000000-0005-0000-0000-0000620D0000}"/>
    <cellStyle name="見出し 3 2 4 2 4 2 2" xfId="4734" xr:uid="{00000000-0005-0000-0000-0000630D0000}"/>
    <cellStyle name="見出し 3 2 4 2 4 3" xfId="2462" xr:uid="{00000000-0005-0000-0000-0000640D0000}"/>
    <cellStyle name="見出し 3 2 4 2 4 3 2" xfId="5331" xr:uid="{00000000-0005-0000-0000-0000650D0000}"/>
    <cellStyle name="見出し 3 2 4 2 5" xfId="1318" xr:uid="{00000000-0005-0000-0000-0000660D0000}"/>
    <cellStyle name="見出し 3 2 4 2 5 2" xfId="4282" xr:uid="{00000000-0005-0000-0000-0000670D0000}"/>
    <cellStyle name="見出し 3 2 4 2 6" xfId="2418" xr:uid="{00000000-0005-0000-0000-0000680D0000}"/>
    <cellStyle name="見出し 3 2 4 2 6 2" xfId="5287" xr:uid="{00000000-0005-0000-0000-0000690D0000}"/>
    <cellStyle name="見出し 3 2 4 3" xfId="299" xr:uid="{00000000-0005-0000-0000-00006A0D0000}"/>
    <cellStyle name="見出し 3 2 4 3 2" xfId="521" xr:uid="{00000000-0005-0000-0000-00006B0D0000}"/>
    <cellStyle name="見出し 3 2 4 3 2 2" xfId="1030" xr:uid="{00000000-0005-0000-0000-00006C0D0000}"/>
    <cellStyle name="見出し 3 2 4 3 2 2 2" xfId="2136" xr:uid="{00000000-0005-0000-0000-00006D0D0000}"/>
    <cellStyle name="見出し 3 2 4 3 2 2 2 2" xfId="5045" xr:uid="{00000000-0005-0000-0000-00006E0D0000}"/>
    <cellStyle name="見出し 3 2 4 3 2 2 3" xfId="2489" xr:uid="{00000000-0005-0000-0000-00006F0D0000}"/>
    <cellStyle name="見出し 3 2 4 3 2 2 3 2" xfId="5358" xr:uid="{00000000-0005-0000-0000-0000700D0000}"/>
    <cellStyle name="見出し 3 2 4 3 2 3" xfId="1629" xr:uid="{00000000-0005-0000-0000-0000710D0000}"/>
    <cellStyle name="見出し 3 2 4 3 2 3 2" xfId="4593" xr:uid="{00000000-0005-0000-0000-0000720D0000}"/>
    <cellStyle name="見出し 3 2 4 3 2 4" xfId="2445" xr:uid="{00000000-0005-0000-0000-0000730D0000}"/>
    <cellStyle name="見出し 3 2 4 3 2 4 2" xfId="5314" xr:uid="{00000000-0005-0000-0000-0000740D0000}"/>
    <cellStyle name="見出し 3 2 4 3 3" xfId="808" xr:uid="{00000000-0005-0000-0000-0000750D0000}"/>
    <cellStyle name="見出し 3 2 4 3 3 2" xfId="1914" xr:uid="{00000000-0005-0000-0000-0000760D0000}"/>
    <cellStyle name="見出し 3 2 4 3 3 2 2" xfId="4823" xr:uid="{00000000-0005-0000-0000-0000770D0000}"/>
    <cellStyle name="見出し 3 2 4 3 3 3" xfId="2467" xr:uid="{00000000-0005-0000-0000-0000780D0000}"/>
    <cellStyle name="見出し 3 2 4 3 3 3 2" xfId="5336" xr:uid="{00000000-0005-0000-0000-0000790D0000}"/>
    <cellStyle name="見出し 3 2 4 3 4" xfId="1407" xr:uid="{00000000-0005-0000-0000-00007A0D0000}"/>
    <cellStyle name="見出し 3 2 4 3 4 2" xfId="4371" xr:uid="{00000000-0005-0000-0000-00007B0D0000}"/>
    <cellStyle name="見出し 3 2 4 3 5" xfId="2423" xr:uid="{00000000-0005-0000-0000-00007C0D0000}"/>
    <cellStyle name="見出し 3 2 4 3 5 2" xfId="5292" xr:uid="{00000000-0005-0000-0000-00007D0D0000}"/>
    <cellStyle name="見出し 3 2 4 4" xfId="382" xr:uid="{00000000-0005-0000-0000-00007E0D0000}"/>
    <cellStyle name="見出し 3 2 4 4 2" xfId="891" xr:uid="{00000000-0005-0000-0000-00007F0D0000}"/>
    <cellStyle name="見出し 3 2 4 4 2 2" xfId="1997" xr:uid="{00000000-0005-0000-0000-0000800D0000}"/>
    <cellStyle name="見出し 3 2 4 4 2 2 2" xfId="4906" xr:uid="{00000000-0005-0000-0000-0000810D0000}"/>
    <cellStyle name="見出し 3 2 4 4 2 3" xfId="2478" xr:uid="{00000000-0005-0000-0000-0000820D0000}"/>
    <cellStyle name="見出し 3 2 4 4 2 3 2" xfId="5347" xr:uid="{00000000-0005-0000-0000-0000830D0000}"/>
    <cellStyle name="見出し 3 2 4 4 3" xfId="1490" xr:uid="{00000000-0005-0000-0000-0000840D0000}"/>
    <cellStyle name="見出し 3 2 4 4 3 2" xfId="4454" xr:uid="{00000000-0005-0000-0000-0000850D0000}"/>
    <cellStyle name="見出し 3 2 4 4 4" xfId="2434" xr:uid="{00000000-0005-0000-0000-0000860D0000}"/>
    <cellStyle name="見出し 3 2 4 4 4 2" xfId="5303" xr:uid="{00000000-0005-0000-0000-0000870D0000}"/>
    <cellStyle name="見出し 3 2 4 5" xfId="667" xr:uid="{00000000-0005-0000-0000-0000880D0000}"/>
    <cellStyle name="見出し 3 2 4 5 2" xfId="1773" xr:uid="{00000000-0005-0000-0000-0000890D0000}"/>
    <cellStyle name="見出し 3 2 4 5 2 2" xfId="4682" xr:uid="{00000000-0005-0000-0000-00008A0D0000}"/>
    <cellStyle name="見出し 3 2 4 5 3" xfId="2456" xr:uid="{00000000-0005-0000-0000-00008B0D0000}"/>
    <cellStyle name="見出し 3 2 4 5 3 2" xfId="5325" xr:uid="{00000000-0005-0000-0000-00008C0D0000}"/>
    <cellStyle name="見出し 3 2 4 6" xfId="1266" xr:uid="{00000000-0005-0000-0000-00008D0D0000}"/>
    <cellStyle name="見出し 3 2 4 6 2" xfId="4230" xr:uid="{00000000-0005-0000-0000-00008E0D0000}"/>
    <cellStyle name="見出し 3 2 4 7" xfId="2412" xr:uid="{00000000-0005-0000-0000-00008F0D0000}"/>
    <cellStyle name="見出し 3 2 4 7 2" xfId="5281" xr:uid="{00000000-0005-0000-0000-0000900D0000}"/>
    <cellStyle name="見出し 3 2 5" xfId="174" xr:uid="{00000000-0005-0000-0000-0000910D0000}"/>
    <cellStyle name="見出し 3 2 5 2" xfId="313" xr:uid="{00000000-0005-0000-0000-0000920D0000}"/>
    <cellStyle name="見出し 3 2 5 2 2" xfId="535" xr:uid="{00000000-0005-0000-0000-0000930D0000}"/>
    <cellStyle name="見出し 3 2 5 2 2 2" xfId="1044" xr:uid="{00000000-0005-0000-0000-0000940D0000}"/>
    <cellStyle name="見出し 3 2 5 2 2 2 2" xfId="2150" xr:uid="{00000000-0005-0000-0000-0000950D0000}"/>
    <cellStyle name="見出し 3 2 5 2 2 2 2 2" xfId="5059" xr:uid="{00000000-0005-0000-0000-0000960D0000}"/>
    <cellStyle name="見出し 3 2 5 2 2 2 3" xfId="2491" xr:uid="{00000000-0005-0000-0000-0000970D0000}"/>
    <cellStyle name="見出し 3 2 5 2 2 2 3 2" xfId="5360" xr:uid="{00000000-0005-0000-0000-0000980D0000}"/>
    <cellStyle name="見出し 3 2 5 2 2 3" xfId="1643" xr:uid="{00000000-0005-0000-0000-0000990D0000}"/>
    <cellStyle name="見出し 3 2 5 2 2 3 2" xfId="4607" xr:uid="{00000000-0005-0000-0000-00009A0D0000}"/>
    <cellStyle name="見出し 3 2 5 2 2 4" xfId="2447" xr:uid="{00000000-0005-0000-0000-00009B0D0000}"/>
    <cellStyle name="見出し 3 2 5 2 2 4 2" xfId="5316" xr:uid="{00000000-0005-0000-0000-00009C0D0000}"/>
    <cellStyle name="見出し 3 2 5 2 3" xfId="822" xr:uid="{00000000-0005-0000-0000-00009D0D0000}"/>
    <cellStyle name="見出し 3 2 5 2 3 2" xfId="1928" xr:uid="{00000000-0005-0000-0000-00009E0D0000}"/>
    <cellStyle name="見出し 3 2 5 2 3 2 2" xfId="4837" xr:uid="{00000000-0005-0000-0000-00009F0D0000}"/>
    <cellStyle name="見出し 3 2 5 2 3 3" xfId="2469" xr:uid="{00000000-0005-0000-0000-0000A00D0000}"/>
    <cellStyle name="見出し 3 2 5 2 3 3 2" xfId="5338" xr:uid="{00000000-0005-0000-0000-0000A10D0000}"/>
    <cellStyle name="見出し 3 2 5 2 4" xfId="1421" xr:uid="{00000000-0005-0000-0000-0000A20D0000}"/>
    <cellStyle name="見出し 3 2 5 2 4 2" xfId="4385" xr:uid="{00000000-0005-0000-0000-0000A30D0000}"/>
    <cellStyle name="見出し 3 2 5 2 5" xfId="2425" xr:uid="{00000000-0005-0000-0000-0000A40D0000}"/>
    <cellStyle name="見出し 3 2 5 2 5 2" xfId="5294" xr:uid="{00000000-0005-0000-0000-0000A50D0000}"/>
    <cellStyle name="見出し 3 2 5 3" xfId="397" xr:uid="{00000000-0005-0000-0000-0000A60D0000}"/>
    <cellStyle name="見出し 3 2 5 3 2" xfId="906" xr:uid="{00000000-0005-0000-0000-0000A70D0000}"/>
    <cellStyle name="見出し 3 2 5 3 2 2" xfId="2012" xr:uid="{00000000-0005-0000-0000-0000A80D0000}"/>
    <cellStyle name="見出し 3 2 5 3 2 2 2" xfId="4921" xr:uid="{00000000-0005-0000-0000-0000A90D0000}"/>
    <cellStyle name="見出し 3 2 5 3 2 3" xfId="2480" xr:uid="{00000000-0005-0000-0000-0000AA0D0000}"/>
    <cellStyle name="見出し 3 2 5 3 2 3 2" xfId="5349" xr:uid="{00000000-0005-0000-0000-0000AB0D0000}"/>
    <cellStyle name="見出し 3 2 5 3 3" xfId="1505" xr:uid="{00000000-0005-0000-0000-0000AC0D0000}"/>
    <cellStyle name="見出し 3 2 5 3 3 2" xfId="4469" xr:uid="{00000000-0005-0000-0000-0000AD0D0000}"/>
    <cellStyle name="見出し 3 2 5 3 4" xfId="2436" xr:uid="{00000000-0005-0000-0000-0000AE0D0000}"/>
    <cellStyle name="見出し 3 2 5 3 4 2" xfId="5305" xr:uid="{00000000-0005-0000-0000-0000AF0D0000}"/>
    <cellStyle name="見出し 3 2 5 4" xfId="683" xr:uid="{00000000-0005-0000-0000-0000B00D0000}"/>
    <cellStyle name="見出し 3 2 5 4 2" xfId="1789" xr:uid="{00000000-0005-0000-0000-0000B10D0000}"/>
    <cellStyle name="見出し 3 2 5 4 2 2" xfId="4698" xr:uid="{00000000-0005-0000-0000-0000B20D0000}"/>
    <cellStyle name="見出し 3 2 5 4 3" xfId="2458" xr:uid="{00000000-0005-0000-0000-0000B30D0000}"/>
    <cellStyle name="見出し 3 2 5 4 3 2" xfId="5327" xr:uid="{00000000-0005-0000-0000-0000B40D0000}"/>
    <cellStyle name="見出し 3 2 5 5" xfId="1282" xr:uid="{00000000-0005-0000-0000-0000B50D0000}"/>
    <cellStyle name="見出し 3 2 5 5 2" xfId="4246" xr:uid="{00000000-0005-0000-0000-0000B60D0000}"/>
    <cellStyle name="見出し 3 2 5 6" xfId="2414" xr:uid="{00000000-0005-0000-0000-0000B70D0000}"/>
    <cellStyle name="見出し 3 2 5 6 2" xfId="5283" xr:uid="{00000000-0005-0000-0000-0000B80D0000}"/>
    <cellStyle name="見出し 3 2 6" xfId="118" xr:uid="{00000000-0005-0000-0000-0000B90D0000}"/>
    <cellStyle name="見出し 3 2 6 2" xfId="360" xr:uid="{00000000-0005-0000-0000-0000BA0D0000}"/>
    <cellStyle name="見出し 3 2 6 2 2" xfId="869" xr:uid="{00000000-0005-0000-0000-0000BB0D0000}"/>
    <cellStyle name="見出し 3 2 6 2 2 2" xfId="1975" xr:uid="{00000000-0005-0000-0000-0000BC0D0000}"/>
    <cellStyle name="見出し 3 2 6 2 2 2 2" xfId="4884" xr:uid="{00000000-0005-0000-0000-0000BD0D0000}"/>
    <cellStyle name="見出し 3 2 6 2 2 3" xfId="2475" xr:uid="{00000000-0005-0000-0000-0000BE0D0000}"/>
    <cellStyle name="見出し 3 2 6 2 2 3 2" xfId="5344" xr:uid="{00000000-0005-0000-0000-0000BF0D0000}"/>
    <cellStyle name="見出し 3 2 6 2 3" xfId="1468" xr:uid="{00000000-0005-0000-0000-0000C00D0000}"/>
    <cellStyle name="見出し 3 2 6 2 3 2" xfId="4432" xr:uid="{00000000-0005-0000-0000-0000C10D0000}"/>
    <cellStyle name="見出し 3 2 6 2 4" xfId="2431" xr:uid="{00000000-0005-0000-0000-0000C20D0000}"/>
    <cellStyle name="見出し 3 2 6 2 4 2" xfId="5300" xr:uid="{00000000-0005-0000-0000-0000C30D0000}"/>
    <cellStyle name="見出し 3 2 6 3" xfId="655" xr:uid="{00000000-0005-0000-0000-0000C40D0000}"/>
    <cellStyle name="見出し 3 2 6 3 2" xfId="1761" xr:uid="{00000000-0005-0000-0000-0000C50D0000}"/>
    <cellStyle name="見出し 3 2 6 3 2 2" xfId="4670" xr:uid="{00000000-0005-0000-0000-0000C60D0000}"/>
    <cellStyle name="見出し 3 2 6 3 3" xfId="2454" xr:uid="{00000000-0005-0000-0000-0000C70D0000}"/>
    <cellStyle name="見出し 3 2 6 3 3 2" xfId="5323" xr:uid="{00000000-0005-0000-0000-0000C80D0000}"/>
    <cellStyle name="見出し 3 2 6 4" xfId="1227" xr:uid="{00000000-0005-0000-0000-0000C90D0000}"/>
    <cellStyle name="見出し 3 2 6 4 2" xfId="4218" xr:uid="{00000000-0005-0000-0000-0000CA0D0000}"/>
    <cellStyle name="見出し 3 2 6 5" xfId="2410" xr:uid="{00000000-0005-0000-0000-0000CB0D0000}"/>
    <cellStyle name="見出し 3 2 6 5 2" xfId="5279" xr:uid="{00000000-0005-0000-0000-0000CC0D0000}"/>
    <cellStyle name="見出し 3 2 7" xfId="369" xr:uid="{00000000-0005-0000-0000-0000CD0D0000}"/>
    <cellStyle name="見出し 3 2 7 2" xfId="878" xr:uid="{00000000-0005-0000-0000-0000CE0D0000}"/>
    <cellStyle name="見出し 3 2 7 2 2" xfId="1984" xr:uid="{00000000-0005-0000-0000-0000CF0D0000}"/>
    <cellStyle name="見出し 3 2 7 2 2 2" xfId="4893" xr:uid="{00000000-0005-0000-0000-0000D00D0000}"/>
    <cellStyle name="見出し 3 2 7 2 3" xfId="2476" xr:uid="{00000000-0005-0000-0000-0000D10D0000}"/>
    <cellStyle name="見出し 3 2 7 2 3 2" xfId="5345" xr:uid="{00000000-0005-0000-0000-0000D20D0000}"/>
    <cellStyle name="見出し 3 2 7 3" xfId="1477" xr:uid="{00000000-0005-0000-0000-0000D30D0000}"/>
    <cellStyle name="見出し 3 2 7 3 2" xfId="4441" xr:uid="{00000000-0005-0000-0000-0000D40D0000}"/>
    <cellStyle name="見出し 3 2 7 4" xfId="2432" xr:uid="{00000000-0005-0000-0000-0000D50D0000}"/>
    <cellStyle name="見出し 3 2 7 4 2" xfId="5301" xr:uid="{00000000-0005-0000-0000-0000D60D0000}"/>
    <cellStyle name="見出し 3 2 8" xfId="636" xr:uid="{00000000-0005-0000-0000-0000D70D0000}"/>
    <cellStyle name="見出し 3 2 8 2" xfId="1742" xr:uid="{00000000-0005-0000-0000-0000D80D0000}"/>
    <cellStyle name="見出し 3 2 8 2 2" xfId="4651" xr:uid="{00000000-0005-0000-0000-0000D90D0000}"/>
    <cellStyle name="見出し 3 2 8 3" xfId="2453" xr:uid="{00000000-0005-0000-0000-0000DA0D0000}"/>
    <cellStyle name="見出し 3 2 8 3 2" xfId="5322" xr:uid="{00000000-0005-0000-0000-0000DB0D0000}"/>
    <cellStyle name="見出し 3 2 9" xfId="1102" xr:uid="{00000000-0005-0000-0000-0000DC0D0000}"/>
    <cellStyle name="見出し 3 2 9 2" xfId="2206" xr:uid="{00000000-0005-0000-0000-0000DD0D0000}"/>
    <cellStyle name="見出し 3 2 9 2 2" xfId="5105" xr:uid="{00000000-0005-0000-0000-0000DE0D0000}"/>
    <cellStyle name="見出し 3 2 9 3" xfId="2500" xr:uid="{00000000-0005-0000-0000-0000DF0D0000}"/>
    <cellStyle name="見出し 3 2 9 3 2" xfId="5368" xr:uid="{00000000-0005-0000-0000-0000E00D0000}"/>
    <cellStyle name="見出し 4" xfId="6" builtinId="19" customBuiltin="1"/>
    <cellStyle name="見出し 4 2" xfId="88" xr:uid="{00000000-0005-0000-0000-0000E20D0000}"/>
    <cellStyle name="集計" xfId="17" builtinId="25" customBuiltin="1"/>
    <cellStyle name="集計 2" xfId="89" xr:uid="{00000000-0005-0000-0000-0000E40D0000}"/>
    <cellStyle name="集計 2 10" xfId="179" xr:uid="{00000000-0005-0000-0000-0000E50D0000}"/>
    <cellStyle name="集計 2 10 2" xfId="402" xr:uid="{00000000-0005-0000-0000-0000E60D0000}"/>
    <cellStyle name="集計 2 10 2 2" xfId="911" xr:uid="{00000000-0005-0000-0000-0000E70D0000}"/>
    <cellStyle name="集計 2 10 2 2 2" xfId="2017" xr:uid="{00000000-0005-0000-0000-0000E80D0000}"/>
    <cellStyle name="集計 2 10 2 2 2 2" xfId="4926" xr:uid="{00000000-0005-0000-0000-0000E90D0000}"/>
    <cellStyle name="集計 2 10 2 2 2 2 2" xfId="10401" xr:uid="{00000000-0005-0000-0000-0000EA0D0000}"/>
    <cellStyle name="集計 2 10 2 2 2 3" xfId="3339" xr:uid="{00000000-0005-0000-0000-0000EB0D0000}"/>
    <cellStyle name="集計 2 10 2 2 2 3 2" xfId="8887" xr:uid="{00000000-0005-0000-0000-0000EC0D0000}"/>
    <cellStyle name="集計 2 10 2 2 2 4" xfId="7676" xr:uid="{00000000-0005-0000-0000-0000ED0D0000}"/>
    <cellStyle name="集計 2 10 2 2 3" xfId="6667" xr:uid="{00000000-0005-0000-0000-0000EE0D0000}"/>
    <cellStyle name="集計 2 10 2 3" xfId="1510" xr:uid="{00000000-0005-0000-0000-0000EF0D0000}"/>
    <cellStyle name="集計 2 10 2 3 2" xfId="4474" xr:uid="{00000000-0005-0000-0000-0000F00D0000}"/>
    <cellStyle name="集計 2 10 2 3 2 2" xfId="9993" xr:uid="{00000000-0005-0000-0000-0000F10D0000}"/>
    <cellStyle name="集計 2 10 2 3 3" xfId="3340" xr:uid="{00000000-0005-0000-0000-0000F20D0000}"/>
    <cellStyle name="集計 2 10 2 3 3 2" xfId="8888" xr:uid="{00000000-0005-0000-0000-0000F30D0000}"/>
    <cellStyle name="集計 2 10 2 3 4" xfId="7213" xr:uid="{00000000-0005-0000-0000-0000F40D0000}"/>
    <cellStyle name="集計 2 10 2 4" xfId="6202" xr:uid="{00000000-0005-0000-0000-0000F50D0000}"/>
    <cellStyle name="集計 2 10 3" xfId="688" xr:uid="{00000000-0005-0000-0000-0000F60D0000}"/>
    <cellStyle name="集計 2 10 3 2" xfId="1794" xr:uid="{00000000-0005-0000-0000-0000F70D0000}"/>
    <cellStyle name="集計 2 10 3 2 2" xfId="4703" xr:uid="{00000000-0005-0000-0000-0000F80D0000}"/>
    <cellStyle name="集計 2 10 3 2 2 2" xfId="10200" xr:uid="{00000000-0005-0000-0000-0000F90D0000}"/>
    <cellStyle name="集計 2 10 3 2 3" xfId="3341" xr:uid="{00000000-0005-0000-0000-0000FA0D0000}"/>
    <cellStyle name="集計 2 10 3 2 3 2" xfId="8889" xr:uid="{00000000-0005-0000-0000-0000FB0D0000}"/>
    <cellStyle name="集計 2 10 3 2 4" xfId="7475" xr:uid="{00000000-0005-0000-0000-0000FC0D0000}"/>
    <cellStyle name="集計 2 10 3 3" xfId="6466" xr:uid="{00000000-0005-0000-0000-0000FD0D0000}"/>
    <cellStyle name="集計 2 10 4" xfId="1287" xr:uid="{00000000-0005-0000-0000-0000FE0D0000}"/>
    <cellStyle name="集計 2 10 4 2" xfId="4251" xr:uid="{00000000-0005-0000-0000-0000FF0D0000}"/>
    <cellStyle name="集計 2 10 4 2 2" xfId="9792" xr:uid="{00000000-0005-0000-0000-0000000E0000}"/>
    <cellStyle name="集計 2 10 4 3" xfId="3342" xr:uid="{00000000-0005-0000-0000-0000010E0000}"/>
    <cellStyle name="集計 2 10 4 3 2" xfId="8890" xr:uid="{00000000-0005-0000-0000-0000020E0000}"/>
    <cellStyle name="集計 2 10 4 4" xfId="7012" xr:uid="{00000000-0005-0000-0000-0000030E0000}"/>
    <cellStyle name="集計 2 10 5" xfId="6001" xr:uid="{00000000-0005-0000-0000-0000040E0000}"/>
    <cellStyle name="集計 2 11" xfId="361" xr:uid="{00000000-0005-0000-0000-0000050E0000}"/>
    <cellStyle name="集計 2 11 2" xfId="870" xr:uid="{00000000-0005-0000-0000-0000060E0000}"/>
    <cellStyle name="集計 2 11 2 2" xfId="1976" xr:uid="{00000000-0005-0000-0000-0000070E0000}"/>
    <cellStyle name="集計 2 11 2 2 2" xfId="4885" xr:uid="{00000000-0005-0000-0000-0000080E0000}"/>
    <cellStyle name="集計 2 11 2 2 2 2" xfId="10365" xr:uid="{00000000-0005-0000-0000-0000090E0000}"/>
    <cellStyle name="集計 2 11 2 2 3" xfId="3343" xr:uid="{00000000-0005-0000-0000-00000A0E0000}"/>
    <cellStyle name="集計 2 11 2 2 3 2" xfId="8891" xr:uid="{00000000-0005-0000-0000-00000B0E0000}"/>
    <cellStyle name="集計 2 11 2 2 4" xfId="7640" xr:uid="{00000000-0005-0000-0000-00000C0E0000}"/>
    <cellStyle name="集計 2 11 2 3" xfId="6631" xr:uid="{00000000-0005-0000-0000-00000D0E0000}"/>
    <cellStyle name="集計 2 11 3" xfId="1469" xr:uid="{00000000-0005-0000-0000-00000E0E0000}"/>
    <cellStyle name="集計 2 11 3 2" xfId="4433" xr:uid="{00000000-0005-0000-0000-00000F0E0000}"/>
    <cellStyle name="集計 2 11 3 2 2" xfId="9957" xr:uid="{00000000-0005-0000-0000-0000100E0000}"/>
    <cellStyle name="集計 2 11 3 3" xfId="3344" xr:uid="{00000000-0005-0000-0000-0000110E0000}"/>
    <cellStyle name="集計 2 11 3 3 2" xfId="8892" xr:uid="{00000000-0005-0000-0000-0000120E0000}"/>
    <cellStyle name="集計 2 11 3 4" xfId="7177" xr:uid="{00000000-0005-0000-0000-0000130E0000}"/>
    <cellStyle name="集計 2 11 4" xfId="6166" xr:uid="{00000000-0005-0000-0000-0000140E0000}"/>
    <cellStyle name="集計 2 12" xfId="637" xr:uid="{00000000-0005-0000-0000-0000150E0000}"/>
    <cellStyle name="集計 2 12 2" xfId="1743" xr:uid="{00000000-0005-0000-0000-0000160E0000}"/>
    <cellStyle name="集計 2 12 2 2" xfId="4652" xr:uid="{00000000-0005-0000-0000-0000170E0000}"/>
    <cellStyle name="集計 2 12 2 2 2" xfId="10154" xr:uid="{00000000-0005-0000-0000-0000180E0000}"/>
    <cellStyle name="集計 2 12 2 3" xfId="3345" xr:uid="{00000000-0005-0000-0000-0000190E0000}"/>
    <cellStyle name="集計 2 12 2 3 2" xfId="8893" xr:uid="{00000000-0005-0000-0000-00001A0E0000}"/>
    <cellStyle name="集計 2 12 2 4" xfId="7429" xr:uid="{00000000-0005-0000-0000-00001B0E0000}"/>
    <cellStyle name="集計 2 12 3" xfId="6420" xr:uid="{00000000-0005-0000-0000-00001C0E0000}"/>
    <cellStyle name="集計 2 13" xfId="1103" xr:uid="{00000000-0005-0000-0000-00001D0E0000}"/>
    <cellStyle name="集計 2 13 2" xfId="2207" xr:uid="{00000000-0005-0000-0000-00001E0E0000}"/>
    <cellStyle name="集計 2 13 2 2" xfId="5106" xr:uid="{00000000-0005-0000-0000-00001F0E0000}"/>
    <cellStyle name="集計 2 13 2 2 2" xfId="10563" xr:uid="{00000000-0005-0000-0000-0000200E0000}"/>
    <cellStyle name="集計 2 13 2 3" xfId="3347" xr:uid="{00000000-0005-0000-0000-0000210E0000}"/>
    <cellStyle name="集計 2 13 2 3 2" xfId="8895" xr:uid="{00000000-0005-0000-0000-0000220E0000}"/>
    <cellStyle name="集計 2 13 2 4" xfId="7848" xr:uid="{00000000-0005-0000-0000-0000230E0000}"/>
    <cellStyle name="集計 2 13 3" xfId="2501" xr:uid="{00000000-0005-0000-0000-0000240E0000}"/>
    <cellStyle name="集計 2 13 3 2" xfId="5369" xr:uid="{00000000-0005-0000-0000-0000250E0000}"/>
    <cellStyle name="集計 2 13 3 2 2" xfId="10736" xr:uid="{00000000-0005-0000-0000-0000260E0000}"/>
    <cellStyle name="集計 2 13 3 3" xfId="3348" xr:uid="{00000000-0005-0000-0000-0000270E0000}"/>
    <cellStyle name="集計 2 13 3 3 2" xfId="8896" xr:uid="{00000000-0005-0000-0000-0000280E0000}"/>
    <cellStyle name="集計 2 13 3 4" xfId="8051" xr:uid="{00000000-0005-0000-0000-0000290E0000}"/>
    <cellStyle name="集計 2 13 4" xfId="4189" xr:uid="{00000000-0005-0000-0000-00002A0E0000}"/>
    <cellStyle name="集計 2 13 4 2" xfId="9737" xr:uid="{00000000-0005-0000-0000-00002B0E0000}"/>
    <cellStyle name="集計 2 13 5" xfId="3346" xr:uid="{00000000-0005-0000-0000-00002C0E0000}"/>
    <cellStyle name="集計 2 13 5 2" xfId="8894" xr:uid="{00000000-0005-0000-0000-00002D0E0000}"/>
    <cellStyle name="集計 2 13 6" xfId="6841" xr:uid="{00000000-0005-0000-0000-00002E0E0000}"/>
    <cellStyle name="集計 2 14" xfId="1203" xr:uid="{00000000-0005-0000-0000-00002F0E0000}"/>
    <cellStyle name="集計 2 14 2" xfId="2550" xr:uid="{00000000-0005-0000-0000-0000300E0000}"/>
    <cellStyle name="集計 2 14 2 2" xfId="5417" xr:uid="{00000000-0005-0000-0000-0000310E0000}"/>
    <cellStyle name="集計 2 14 2 2 2" xfId="10783" xr:uid="{00000000-0005-0000-0000-0000320E0000}"/>
    <cellStyle name="集計 2 14 2 3" xfId="3350" xr:uid="{00000000-0005-0000-0000-0000330E0000}"/>
    <cellStyle name="集計 2 14 2 3 2" xfId="8898" xr:uid="{00000000-0005-0000-0000-0000340E0000}"/>
    <cellStyle name="集計 2 14 2 4" xfId="8099" xr:uid="{00000000-0005-0000-0000-0000350E0000}"/>
    <cellStyle name="集計 2 14 3" xfId="4200" xr:uid="{00000000-0005-0000-0000-0000360E0000}"/>
    <cellStyle name="集計 2 14 3 2" xfId="9746" xr:uid="{00000000-0005-0000-0000-0000370E0000}"/>
    <cellStyle name="集計 2 14 4" xfId="3349" xr:uid="{00000000-0005-0000-0000-0000380E0000}"/>
    <cellStyle name="集計 2 14 4 2" xfId="8897" xr:uid="{00000000-0005-0000-0000-0000390E0000}"/>
    <cellStyle name="集計 2 14 5" xfId="6934" xr:uid="{00000000-0005-0000-0000-00003A0E0000}"/>
    <cellStyle name="集計 2 15" xfId="1154" xr:uid="{00000000-0005-0000-0000-00003B0E0000}"/>
    <cellStyle name="集計 2 15 2" xfId="4195" xr:uid="{00000000-0005-0000-0000-00003C0E0000}"/>
    <cellStyle name="集計 2 15 2 2" xfId="9742" xr:uid="{00000000-0005-0000-0000-00003D0E0000}"/>
    <cellStyle name="集計 2 15 3" xfId="3351" xr:uid="{00000000-0005-0000-0000-00003E0E0000}"/>
    <cellStyle name="集計 2 15 3 2" xfId="8899" xr:uid="{00000000-0005-0000-0000-00003F0E0000}"/>
    <cellStyle name="集計 2 15 4" xfId="6887" xr:uid="{00000000-0005-0000-0000-0000400E0000}"/>
    <cellStyle name="集計 2 16" xfId="5919" xr:uid="{00000000-0005-0000-0000-0000410E0000}"/>
    <cellStyle name="集計 2 2" xfId="164" xr:uid="{00000000-0005-0000-0000-0000420E0000}"/>
    <cellStyle name="集計 2 2 2" xfId="195" xr:uid="{00000000-0005-0000-0000-0000430E0000}"/>
    <cellStyle name="集計 2 2 2 2" xfId="266" xr:uid="{00000000-0005-0000-0000-0000440E0000}"/>
    <cellStyle name="集計 2 2 2 2 2" xfId="488" xr:uid="{00000000-0005-0000-0000-0000450E0000}"/>
    <cellStyle name="集計 2 2 2 2 2 2" xfId="997" xr:uid="{00000000-0005-0000-0000-0000460E0000}"/>
    <cellStyle name="集計 2 2 2 2 2 2 2" xfId="2103" xr:uid="{00000000-0005-0000-0000-0000470E0000}"/>
    <cellStyle name="集計 2 2 2 2 2 2 2 2" xfId="5012" xr:uid="{00000000-0005-0000-0000-0000480E0000}"/>
    <cellStyle name="集計 2 2 2 2 2 2 2 2 2" xfId="10480" xr:uid="{00000000-0005-0000-0000-0000490E0000}"/>
    <cellStyle name="集計 2 2 2 2 2 2 2 3" xfId="3352" xr:uid="{00000000-0005-0000-0000-00004A0E0000}"/>
    <cellStyle name="集計 2 2 2 2 2 2 2 3 2" xfId="8900" xr:uid="{00000000-0005-0000-0000-00004B0E0000}"/>
    <cellStyle name="集計 2 2 2 2 2 2 2 4" xfId="7755" xr:uid="{00000000-0005-0000-0000-00004C0E0000}"/>
    <cellStyle name="集計 2 2 2 2 2 2 3" xfId="6746" xr:uid="{00000000-0005-0000-0000-00004D0E0000}"/>
    <cellStyle name="集計 2 2 2 2 2 3" xfId="1596" xr:uid="{00000000-0005-0000-0000-00004E0E0000}"/>
    <cellStyle name="集計 2 2 2 2 2 3 2" xfId="4560" xr:uid="{00000000-0005-0000-0000-00004F0E0000}"/>
    <cellStyle name="集計 2 2 2 2 2 3 2 2" xfId="10072" xr:uid="{00000000-0005-0000-0000-0000500E0000}"/>
    <cellStyle name="集計 2 2 2 2 2 3 3" xfId="3353" xr:uid="{00000000-0005-0000-0000-0000510E0000}"/>
    <cellStyle name="集計 2 2 2 2 2 3 3 2" xfId="8901" xr:uid="{00000000-0005-0000-0000-0000520E0000}"/>
    <cellStyle name="集計 2 2 2 2 2 3 4" xfId="7292" xr:uid="{00000000-0005-0000-0000-0000530E0000}"/>
    <cellStyle name="集計 2 2 2 2 2 4" xfId="6281" xr:uid="{00000000-0005-0000-0000-0000540E0000}"/>
    <cellStyle name="集計 2 2 2 2 3" xfId="775" xr:uid="{00000000-0005-0000-0000-0000550E0000}"/>
    <cellStyle name="集計 2 2 2 2 3 2" xfId="1881" xr:uid="{00000000-0005-0000-0000-0000560E0000}"/>
    <cellStyle name="集計 2 2 2 2 3 2 2" xfId="4790" xr:uid="{00000000-0005-0000-0000-0000570E0000}"/>
    <cellStyle name="集計 2 2 2 2 3 2 2 2" xfId="10280" xr:uid="{00000000-0005-0000-0000-0000580E0000}"/>
    <cellStyle name="集計 2 2 2 2 3 2 3" xfId="3354" xr:uid="{00000000-0005-0000-0000-0000590E0000}"/>
    <cellStyle name="集計 2 2 2 2 3 2 3 2" xfId="8902" xr:uid="{00000000-0005-0000-0000-00005A0E0000}"/>
    <cellStyle name="集計 2 2 2 2 3 2 4" xfId="7555" xr:uid="{00000000-0005-0000-0000-00005B0E0000}"/>
    <cellStyle name="集計 2 2 2 2 3 3" xfId="6546" xr:uid="{00000000-0005-0000-0000-00005C0E0000}"/>
    <cellStyle name="集計 2 2 2 2 4" xfId="1374" xr:uid="{00000000-0005-0000-0000-00005D0E0000}"/>
    <cellStyle name="集計 2 2 2 2 4 2" xfId="4338" xr:uid="{00000000-0005-0000-0000-00005E0E0000}"/>
    <cellStyle name="集計 2 2 2 2 4 2 2" xfId="9872" xr:uid="{00000000-0005-0000-0000-00005F0E0000}"/>
    <cellStyle name="集計 2 2 2 2 4 3" xfId="3355" xr:uid="{00000000-0005-0000-0000-0000600E0000}"/>
    <cellStyle name="集計 2 2 2 2 4 3 2" xfId="8903" xr:uid="{00000000-0005-0000-0000-0000610E0000}"/>
    <cellStyle name="集計 2 2 2 2 4 4" xfId="7092" xr:uid="{00000000-0005-0000-0000-0000620E0000}"/>
    <cellStyle name="集計 2 2 2 2 5" xfId="6081" xr:uid="{00000000-0005-0000-0000-0000630E0000}"/>
    <cellStyle name="集計 2 2 2 3" xfId="331" xr:uid="{00000000-0005-0000-0000-0000640E0000}"/>
    <cellStyle name="集計 2 2 2 3 2" xfId="553" xr:uid="{00000000-0005-0000-0000-0000650E0000}"/>
    <cellStyle name="集計 2 2 2 3 2 2" xfId="1062" xr:uid="{00000000-0005-0000-0000-0000660E0000}"/>
    <cellStyle name="集計 2 2 2 3 2 2 2" xfId="2168" xr:uid="{00000000-0005-0000-0000-0000670E0000}"/>
    <cellStyle name="集計 2 2 2 3 2 2 2 2" xfId="5077" xr:uid="{00000000-0005-0000-0000-0000680E0000}"/>
    <cellStyle name="集計 2 2 2 3 2 2 2 2 2" xfId="10539" xr:uid="{00000000-0005-0000-0000-0000690E0000}"/>
    <cellStyle name="集計 2 2 2 3 2 2 2 3" xfId="3356" xr:uid="{00000000-0005-0000-0000-00006A0E0000}"/>
    <cellStyle name="集計 2 2 2 3 2 2 2 3 2" xfId="8904" xr:uid="{00000000-0005-0000-0000-00006B0E0000}"/>
    <cellStyle name="集計 2 2 2 3 2 2 2 4" xfId="7814" xr:uid="{00000000-0005-0000-0000-00006C0E0000}"/>
    <cellStyle name="集計 2 2 2 3 2 2 3" xfId="6805" xr:uid="{00000000-0005-0000-0000-00006D0E0000}"/>
    <cellStyle name="集計 2 2 2 3 2 3" xfId="1661" xr:uid="{00000000-0005-0000-0000-00006E0E0000}"/>
    <cellStyle name="集計 2 2 2 3 2 3 2" xfId="4625" xr:uid="{00000000-0005-0000-0000-00006F0E0000}"/>
    <cellStyle name="集計 2 2 2 3 2 3 2 2" xfId="10131" xr:uid="{00000000-0005-0000-0000-0000700E0000}"/>
    <cellStyle name="集計 2 2 2 3 2 3 3" xfId="3357" xr:uid="{00000000-0005-0000-0000-0000710E0000}"/>
    <cellStyle name="集計 2 2 2 3 2 3 3 2" xfId="8905" xr:uid="{00000000-0005-0000-0000-0000720E0000}"/>
    <cellStyle name="集計 2 2 2 3 2 3 4" xfId="7351" xr:uid="{00000000-0005-0000-0000-0000730E0000}"/>
    <cellStyle name="集計 2 2 2 3 2 4" xfId="6340" xr:uid="{00000000-0005-0000-0000-0000740E0000}"/>
    <cellStyle name="集計 2 2 2 3 3" xfId="840" xr:uid="{00000000-0005-0000-0000-0000750E0000}"/>
    <cellStyle name="集計 2 2 2 3 3 2" xfId="1946" xr:uid="{00000000-0005-0000-0000-0000760E0000}"/>
    <cellStyle name="集計 2 2 2 3 3 2 2" xfId="4855" xr:uid="{00000000-0005-0000-0000-0000770E0000}"/>
    <cellStyle name="集計 2 2 2 3 3 2 2 2" xfId="10339" xr:uid="{00000000-0005-0000-0000-0000780E0000}"/>
    <cellStyle name="集計 2 2 2 3 3 2 3" xfId="3358" xr:uid="{00000000-0005-0000-0000-0000790E0000}"/>
    <cellStyle name="集計 2 2 2 3 3 2 3 2" xfId="8906" xr:uid="{00000000-0005-0000-0000-00007A0E0000}"/>
    <cellStyle name="集計 2 2 2 3 3 2 4" xfId="7614" xr:uid="{00000000-0005-0000-0000-00007B0E0000}"/>
    <cellStyle name="集計 2 2 2 3 3 3" xfId="6605" xr:uid="{00000000-0005-0000-0000-00007C0E0000}"/>
    <cellStyle name="集計 2 2 2 3 4" xfId="1439" xr:uid="{00000000-0005-0000-0000-00007D0E0000}"/>
    <cellStyle name="集計 2 2 2 3 4 2" xfId="4403" xr:uid="{00000000-0005-0000-0000-00007E0E0000}"/>
    <cellStyle name="集計 2 2 2 3 4 2 2" xfId="9931" xr:uid="{00000000-0005-0000-0000-00007F0E0000}"/>
    <cellStyle name="集計 2 2 2 3 4 3" xfId="3359" xr:uid="{00000000-0005-0000-0000-0000800E0000}"/>
    <cellStyle name="集計 2 2 2 3 4 3 2" xfId="8907" xr:uid="{00000000-0005-0000-0000-0000810E0000}"/>
    <cellStyle name="集計 2 2 2 3 4 4" xfId="7151" xr:uid="{00000000-0005-0000-0000-0000820E0000}"/>
    <cellStyle name="集計 2 2 2 3 5" xfId="6140" xr:uid="{00000000-0005-0000-0000-0000830E0000}"/>
    <cellStyle name="集計 2 2 2 4" xfId="417" xr:uid="{00000000-0005-0000-0000-0000840E0000}"/>
    <cellStyle name="集計 2 2 2 4 2" xfId="926" xr:uid="{00000000-0005-0000-0000-0000850E0000}"/>
    <cellStyle name="集計 2 2 2 4 2 2" xfId="2032" xr:uid="{00000000-0005-0000-0000-0000860E0000}"/>
    <cellStyle name="集計 2 2 2 4 2 2 2" xfId="4941" xr:uid="{00000000-0005-0000-0000-0000870E0000}"/>
    <cellStyle name="集計 2 2 2 4 2 2 2 2" xfId="10414" xr:uid="{00000000-0005-0000-0000-0000880E0000}"/>
    <cellStyle name="集計 2 2 2 4 2 2 3" xfId="3360" xr:uid="{00000000-0005-0000-0000-0000890E0000}"/>
    <cellStyle name="集計 2 2 2 4 2 2 3 2" xfId="8908" xr:uid="{00000000-0005-0000-0000-00008A0E0000}"/>
    <cellStyle name="集計 2 2 2 4 2 2 4" xfId="7689" xr:uid="{00000000-0005-0000-0000-00008B0E0000}"/>
    <cellStyle name="集計 2 2 2 4 2 3" xfId="6680" xr:uid="{00000000-0005-0000-0000-00008C0E0000}"/>
    <cellStyle name="集計 2 2 2 4 3" xfId="1525" xr:uid="{00000000-0005-0000-0000-00008D0E0000}"/>
    <cellStyle name="集計 2 2 2 4 3 2" xfId="4489" xr:uid="{00000000-0005-0000-0000-00008E0E0000}"/>
    <cellStyle name="集計 2 2 2 4 3 2 2" xfId="10006" xr:uid="{00000000-0005-0000-0000-00008F0E0000}"/>
    <cellStyle name="集計 2 2 2 4 3 3" xfId="3361" xr:uid="{00000000-0005-0000-0000-0000900E0000}"/>
    <cellStyle name="集計 2 2 2 4 3 3 2" xfId="8909" xr:uid="{00000000-0005-0000-0000-0000910E0000}"/>
    <cellStyle name="集計 2 2 2 4 3 4" xfId="7226" xr:uid="{00000000-0005-0000-0000-0000920E0000}"/>
    <cellStyle name="集計 2 2 2 4 4" xfId="6215" xr:uid="{00000000-0005-0000-0000-0000930E0000}"/>
    <cellStyle name="集計 2 2 2 5" xfId="704" xr:uid="{00000000-0005-0000-0000-0000940E0000}"/>
    <cellStyle name="集計 2 2 2 5 2" xfId="1810" xr:uid="{00000000-0005-0000-0000-0000950E0000}"/>
    <cellStyle name="集計 2 2 2 5 2 2" xfId="4719" xr:uid="{00000000-0005-0000-0000-0000960E0000}"/>
    <cellStyle name="集計 2 2 2 5 2 2 2" xfId="10214" xr:uid="{00000000-0005-0000-0000-0000970E0000}"/>
    <cellStyle name="集計 2 2 2 5 2 3" xfId="3362" xr:uid="{00000000-0005-0000-0000-0000980E0000}"/>
    <cellStyle name="集計 2 2 2 5 2 3 2" xfId="8910" xr:uid="{00000000-0005-0000-0000-0000990E0000}"/>
    <cellStyle name="集計 2 2 2 5 2 4" xfId="7489" xr:uid="{00000000-0005-0000-0000-00009A0E0000}"/>
    <cellStyle name="集計 2 2 2 5 3" xfId="6480" xr:uid="{00000000-0005-0000-0000-00009B0E0000}"/>
    <cellStyle name="集計 2 2 2 6" xfId="1303" xr:uid="{00000000-0005-0000-0000-00009C0E0000}"/>
    <cellStyle name="集計 2 2 2 6 2" xfId="4267" xr:uid="{00000000-0005-0000-0000-00009D0E0000}"/>
    <cellStyle name="集計 2 2 2 6 2 2" xfId="9806" xr:uid="{00000000-0005-0000-0000-00009E0E0000}"/>
    <cellStyle name="集計 2 2 2 6 3" xfId="3363" xr:uid="{00000000-0005-0000-0000-00009F0E0000}"/>
    <cellStyle name="集計 2 2 2 6 3 2" xfId="8911" xr:uid="{00000000-0005-0000-0000-0000A00E0000}"/>
    <cellStyle name="集計 2 2 2 6 4" xfId="7026" xr:uid="{00000000-0005-0000-0000-0000A10E0000}"/>
    <cellStyle name="集計 2 2 2 7" xfId="6015" xr:uid="{00000000-0005-0000-0000-0000A20E0000}"/>
    <cellStyle name="集計 2 2 3" xfId="216" xr:uid="{00000000-0005-0000-0000-0000A30E0000}"/>
    <cellStyle name="集計 2 2 3 2" xfId="284" xr:uid="{00000000-0005-0000-0000-0000A40E0000}"/>
    <cellStyle name="集計 2 2 3 2 2" xfId="506" xr:uid="{00000000-0005-0000-0000-0000A50E0000}"/>
    <cellStyle name="集計 2 2 3 2 2 2" xfId="1015" xr:uid="{00000000-0005-0000-0000-0000A60E0000}"/>
    <cellStyle name="集計 2 2 3 2 2 2 2" xfId="2121" xr:uid="{00000000-0005-0000-0000-0000A70E0000}"/>
    <cellStyle name="集計 2 2 3 2 2 2 2 2" xfId="5030" xr:uid="{00000000-0005-0000-0000-0000A80E0000}"/>
    <cellStyle name="集計 2 2 3 2 2 2 2 2 2" xfId="10498" xr:uid="{00000000-0005-0000-0000-0000A90E0000}"/>
    <cellStyle name="集計 2 2 3 2 2 2 2 3" xfId="3364" xr:uid="{00000000-0005-0000-0000-0000AA0E0000}"/>
    <cellStyle name="集計 2 2 3 2 2 2 2 3 2" xfId="8912" xr:uid="{00000000-0005-0000-0000-0000AB0E0000}"/>
    <cellStyle name="集計 2 2 3 2 2 2 2 4" xfId="7773" xr:uid="{00000000-0005-0000-0000-0000AC0E0000}"/>
    <cellStyle name="集計 2 2 3 2 2 2 3" xfId="6764" xr:uid="{00000000-0005-0000-0000-0000AD0E0000}"/>
    <cellStyle name="集計 2 2 3 2 2 3" xfId="1614" xr:uid="{00000000-0005-0000-0000-0000AE0E0000}"/>
    <cellStyle name="集計 2 2 3 2 2 3 2" xfId="4578" xr:uid="{00000000-0005-0000-0000-0000AF0E0000}"/>
    <cellStyle name="集計 2 2 3 2 2 3 2 2" xfId="10090" xr:uid="{00000000-0005-0000-0000-0000B00E0000}"/>
    <cellStyle name="集計 2 2 3 2 2 3 3" xfId="3365" xr:uid="{00000000-0005-0000-0000-0000B10E0000}"/>
    <cellStyle name="集計 2 2 3 2 2 3 3 2" xfId="8913" xr:uid="{00000000-0005-0000-0000-0000B20E0000}"/>
    <cellStyle name="集計 2 2 3 2 2 3 4" xfId="7310" xr:uid="{00000000-0005-0000-0000-0000B30E0000}"/>
    <cellStyle name="集計 2 2 3 2 2 4" xfId="6299" xr:uid="{00000000-0005-0000-0000-0000B40E0000}"/>
    <cellStyle name="集計 2 2 3 2 3" xfId="793" xr:uid="{00000000-0005-0000-0000-0000B50E0000}"/>
    <cellStyle name="集計 2 2 3 2 3 2" xfId="1899" xr:uid="{00000000-0005-0000-0000-0000B60E0000}"/>
    <cellStyle name="集計 2 2 3 2 3 2 2" xfId="4808" xr:uid="{00000000-0005-0000-0000-0000B70E0000}"/>
    <cellStyle name="集計 2 2 3 2 3 2 2 2" xfId="10298" xr:uid="{00000000-0005-0000-0000-0000B80E0000}"/>
    <cellStyle name="集計 2 2 3 2 3 2 3" xfId="3366" xr:uid="{00000000-0005-0000-0000-0000B90E0000}"/>
    <cellStyle name="集計 2 2 3 2 3 2 3 2" xfId="8914" xr:uid="{00000000-0005-0000-0000-0000BA0E0000}"/>
    <cellStyle name="集計 2 2 3 2 3 2 4" xfId="7573" xr:uid="{00000000-0005-0000-0000-0000BB0E0000}"/>
    <cellStyle name="集計 2 2 3 2 3 3" xfId="6564" xr:uid="{00000000-0005-0000-0000-0000BC0E0000}"/>
    <cellStyle name="集計 2 2 3 2 4" xfId="1392" xr:uid="{00000000-0005-0000-0000-0000BD0E0000}"/>
    <cellStyle name="集計 2 2 3 2 4 2" xfId="4356" xr:uid="{00000000-0005-0000-0000-0000BE0E0000}"/>
    <cellStyle name="集計 2 2 3 2 4 2 2" xfId="9890" xr:uid="{00000000-0005-0000-0000-0000BF0E0000}"/>
    <cellStyle name="集計 2 2 3 2 4 3" xfId="3367" xr:uid="{00000000-0005-0000-0000-0000C00E0000}"/>
    <cellStyle name="集計 2 2 3 2 4 3 2" xfId="8915" xr:uid="{00000000-0005-0000-0000-0000C10E0000}"/>
    <cellStyle name="集計 2 2 3 2 4 4" xfId="7110" xr:uid="{00000000-0005-0000-0000-0000C20E0000}"/>
    <cellStyle name="集計 2 2 3 2 5" xfId="6099" xr:uid="{00000000-0005-0000-0000-0000C30E0000}"/>
    <cellStyle name="集計 2 2 3 3" xfId="352" xr:uid="{00000000-0005-0000-0000-0000C40E0000}"/>
    <cellStyle name="集計 2 2 3 3 2" xfId="574" xr:uid="{00000000-0005-0000-0000-0000C50E0000}"/>
    <cellStyle name="集計 2 2 3 3 2 2" xfId="1083" xr:uid="{00000000-0005-0000-0000-0000C60E0000}"/>
    <cellStyle name="集計 2 2 3 3 2 2 2" xfId="2189" xr:uid="{00000000-0005-0000-0000-0000C70E0000}"/>
    <cellStyle name="集計 2 2 3 3 2 2 2 2" xfId="5098" xr:uid="{00000000-0005-0000-0000-0000C80E0000}"/>
    <cellStyle name="集計 2 2 3 3 2 2 2 2 2" xfId="10557" xr:uid="{00000000-0005-0000-0000-0000C90E0000}"/>
    <cellStyle name="集計 2 2 3 3 2 2 2 3" xfId="3368" xr:uid="{00000000-0005-0000-0000-0000CA0E0000}"/>
    <cellStyle name="集計 2 2 3 3 2 2 2 3 2" xfId="8916" xr:uid="{00000000-0005-0000-0000-0000CB0E0000}"/>
    <cellStyle name="集計 2 2 3 3 2 2 2 4" xfId="7832" xr:uid="{00000000-0005-0000-0000-0000CC0E0000}"/>
    <cellStyle name="集計 2 2 3 3 2 2 3" xfId="6823" xr:uid="{00000000-0005-0000-0000-0000CD0E0000}"/>
    <cellStyle name="集計 2 2 3 3 2 3" xfId="1682" xr:uid="{00000000-0005-0000-0000-0000CE0E0000}"/>
    <cellStyle name="集計 2 2 3 3 2 3 2" xfId="4646" xr:uid="{00000000-0005-0000-0000-0000CF0E0000}"/>
    <cellStyle name="集計 2 2 3 3 2 3 2 2" xfId="10149" xr:uid="{00000000-0005-0000-0000-0000D00E0000}"/>
    <cellStyle name="集計 2 2 3 3 2 3 3" xfId="3369" xr:uid="{00000000-0005-0000-0000-0000D10E0000}"/>
    <cellStyle name="集計 2 2 3 3 2 3 3 2" xfId="8917" xr:uid="{00000000-0005-0000-0000-0000D20E0000}"/>
    <cellStyle name="集計 2 2 3 3 2 3 4" xfId="7369" xr:uid="{00000000-0005-0000-0000-0000D30E0000}"/>
    <cellStyle name="集計 2 2 3 3 2 4" xfId="6358" xr:uid="{00000000-0005-0000-0000-0000D40E0000}"/>
    <cellStyle name="集計 2 2 3 3 3" xfId="861" xr:uid="{00000000-0005-0000-0000-0000D50E0000}"/>
    <cellStyle name="集計 2 2 3 3 3 2" xfId="1967" xr:uid="{00000000-0005-0000-0000-0000D60E0000}"/>
    <cellStyle name="集計 2 2 3 3 3 2 2" xfId="4876" xr:uid="{00000000-0005-0000-0000-0000D70E0000}"/>
    <cellStyle name="集計 2 2 3 3 3 2 2 2" xfId="10357" xr:uid="{00000000-0005-0000-0000-0000D80E0000}"/>
    <cellStyle name="集計 2 2 3 3 3 2 3" xfId="3370" xr:uid="{00000000-0005-0000-0000-0000D90E0000}"/>
    <cellStyle name="集計 2 2 3 3 3 2 3 2" xfId="8918" xr:uid="{00000000-0005-0000-0000-0000DA0E0000}"/>
    <cellStyle name="集計 2 2 3 3 3 2 4" xfId="7632" xr:uid="{00000000-0005-0000-0000-0000DB0E0000}"/>
    <cellStyle name="集計 2 2 3 3 3 3" xfId="6623" xr:uid="{00000000-0005-0000-0000-0000DC0E0000}"/>
    <cellStyle name="集計 2 2 3 3 4" xfId="1460" xr:uid="{00000000-0005-0000-0000-0000DD0E0000}"/>
    <cellStyle name="集計 2 2 3 3 4 2" xfId="4424" xr:uid="{00000000-0005-0000-0000-0000DE0E0000}"/>
    <cellStyle name="集計 2 2 3 3 4 2 2" xfId="9949" xr:uid="{00000000-0005-0000-0000-0000DF0E0000}"/>
    <cellStyle name="集計 2 2 3 3 4 3" xfId="3371" xr:uid="{00000000-0005-0000-0000-0000E00E0000}"/>
    <cellStyle name="集計 2 2 3 3 4 3 2" xfId="8919" xr:uid="{00000000-0005-0000-0000-0000E10E0000}"/>
    <cellStyle name="集計 2 2 3 3 4 4" xfId="7169" xr:uid="{00000000-0005-0000-0000-0000E20E0000}"/>
    <cellStyle name="集計 2 2 3 3 5" xfId="6158" xr:uid="{00000000-0005-0000-0000-0000E30E0000}"/>
    <cellStyle name="集計 2 2 3 4" xfId="438" xr:uid="{00000000-0005-0000-0000-0000E40E0000}"/>
    <cellStyle name="集計 2 2 3 4 2" xfId="947" xr:uid="{00000000-0005-0000-0000-0000E50E0000}"/>
    <cellStyle name="集計 2 2 3 4 2 2" xfId="2053" xr:uid="{00000000-0005-0000-0000-0000E60E0000}"/>
    <cellStyle name="集計 2 2 3 4 2 2 2" xfId="4962" xr:uid="{00000000-0005-0000-0000-0000E70E0000}"/>
    <cellStyle name="集計 2 2 3 4 2 2 2 2" xfId="10432" xr:uid="{00000000-0005-0000-0000-0000E80E0000}"/>
    <cellStyle name="集計 2 2 3 4 2 2 3" xfId="3372" xr:uid="{00000000-0005-0000-0000-0000E90E0000}"/>
    <cellStyle name="集計 2 2 3 4 2 2 3 2" xfId="8920" xr:uid="{00000000-0005-0000-0000-0000EA0E0000}"/>
    <cellStyle name="集計 2 2 3 4 2 2 4" xfId="7707" xr:uid="{00000000-0005-0000-0000-0000EB0E0000}"/>
    <cellStyle name="集計 2 2 3 4 2 3" xfId="6698" xr:uid="{00000000-0005-0000-0000-0000EC0E0000}"/>
    <cellStyle name="集計 2 2 3 4 3" xfId="1546" xr:uid="{00000000-0005-0000-0000-0000ED0E0000}"/>
    <cellStyle name="集計 2 2 3 4 3 2" xfId="4510" xr:uid="{00000000-0005-0000-0000-0000EE0E0000}"/>
    <cellStyle name="集計 2 2 3 4 3 2 2" xfId="10024" xr:uid="{00000000-0005-0000-0000-0000EF0E0000}"/>
    <cellStyle name="集計 2 2 3 4 3 3" xfId="3373" xr:uid="{00000000-0005-0000-0000-0000F00E0000}"/>
    <cellStyle name="集計 2 2 3 4 3 3 2" xfId="8921" xr:uid="{00000000-0005-0000-0000-0000F10E0000}"/>
    <cellStyle name="集計 2 2 3 4 3 4" xfId="7244" xr:uid="{00000000-0005-0000-0000-0000F20E0000}"/>
    <cellStyle name="集計 2 2 3 4 4" xfId="6233" xr:uid="{00000000-0005-0000-0000-0000F30E0000}"/>
    <cellStyle name="集計 2 2 3 5" xfId="725" xr:uid="{00000000-0005-0000-0000-0000F40E0000}"/>
    <cellStyle name="集計 2 2 3 5 2" xfId="1831" xr:uid="{00000000-0005-0000-0000-0000F50E0000}"/>
    <cellStyle name="集計 2 2 3 5 2 2" xfId="4740" xr:uid="{00000000-0005-0000-0000-0000F60E0000}"/>
    <cellStyle name="集計 2 2 3 5 2 2 2" xfId="10232" xr:uid="{00000000-0005-0000-0000-0000F70E0000}"/>
    <cellStyle name="集計 2 2 3 5 2 3" xfId="3374" xr:uid="{00000000-0005-0000-0000-0000F80E0000}"/>
    <cellStyle name="集計 2 2 3 5 2 3 2" xfId="8922" xr:uid="{00000000-0005-0000-0000-0000F90E0000}"/>
    <cellStyle name="集計 2 2 3 5 2 4" xfId="7507" xr:uid="{00000000-0005-0000-0000-0000FA0E0000}"/>
    <cellStyle name="集計 2 2 3 5 3" xfId="6498" xr:uid="{00000000-0005-0000-0000-0000FB0E0000}"/>
    <cellStyle name="集計 2 2 3 6" xfId="1324" xr:uid="{00000000-0005-0000-0000-0000FC0E0000}"/>
    <cellStyle name="集計 2 2 3 6 2" xfId="4288" xr:uid="{00000000-0005-0000-0000-0000FD0E0000}"/>
    <cellStyle name="集計 2 2 3 6 2 2" xfId="9824" xr:uid="{00000000-0005-0000-0000-0000FE0E0000}"/>
    <cellStyle name="集計 2 2 3 6 3" xfId="3375" xr:uid="{00000000-0005-0000-0000-0000FF0E0000}"/>
    <cellStyle name="集計 2 2 3 6 3 2" xfId="8923" xr:uid="{00000000-0005-0000-0000-0000000F0000}"/>
    <cellStyle name="集計 2 2 3 6 4" xfId="7044" xr:uid="{00000000-0005-0000-0000-0000010F0000}"/>
    <cellStyle name="集計 2 2 3 7" xfId="6033" xr:uid="{00000000-0005-0000-0000-0000020F0000}"/>
    <cellStyle name="集計 2 2 4" xfId="241" xr:uid="{00000000-0005-0000-0000-0000030F0000}"/>
    <cellStyle name="集計 2 2 4 2" xfId="463" xr:uid="{00000000-0005-0000-0000-0000040F0000}"/>
    <cellStyle name="集計 2 2 4 2 2" xfId="972" xr:uid="{00000000-0005-0000-0000-0000050F0000}"/>
    <cellStyle name="集計 2 2 4 2 2 2" xfId="2078" xr:uid="{00000000-0005-0000-0000-0000060F0000}"/>
    <cellStyle name="集計 2 2 4 2 2 2 2" xfId="4987" xr:uid="{00000000-0005-0000-0000-0000070F0000}"/>
    <cellStyle name="集計 2 2 4 2 2 2 2 2" xfId="10457" xr:uid="{00000000-0005-0000-0000-0000080F0000}"/>
    <cellStyle name="集計 2 2 4 2 2 2 3" xfId="3376" xr:uid="{00000000-0005-0000-0000-0000090F0000}"/>
    <cellStyle name="集計 2 2 4 2 2 2 3 2" xfId="8924" xr:uid="{00000000-0005-0000-0000-00000A0F0000}"/>
    <cellStyle name="集計 2 2 4 2 2 2 4" xfId="7732" xr:uid="{00000000-0005-0000-0000-00000B0F0000}"/>
    <cellStyle name="集計 2 2 4 2 2 3" xfId="6723" xr:uid="{00000000-0005-0000-0000-00000C0F0000}"/>
    <cellStyle name="集計 2 2 4 2 3" xfId="1571" xr:uid="{00000000-0005-0000-0000-00000D0F0000}"/>
    <cellStyle name="集計 2 2 4 2 3 2" xfId="4535" xr:uid="{00000000-0005-0000-0000-00000E0F0000}"/>
    <cellStyle name="集計 2 2 4 2 3 2 2" xfId="10049" xr:uid="{00000000-0005-0000-0000-00000F0F0000}"/>
    <cellStyle name="集計 2 2 4 2 3 3" xfId="3377" xr:uid="{00000000-0005-0000-0000-0000100F0000}"/>
    <cellStyle name="集計 2 2 4 2 3 3 2" xfId="8925" xr:uid="{00000000-0005-0000-0000-0000110F0000}"/>
    <cellStyle name="集計 2 2 4 2 3 4" xfId="7269" xr:uid="{00000000-0005-0000-0000-0000120F0000}"/>
    <cellStyle name="集計 2 2 4 2 4" xfId="6258" xr:uid="{00000000-0005-0000-0000-0000130F0000}"/>
    <cellStyle name="集計 2 2 4 3" xfId="750" xr:uid="{00000000-0005-0000-0000-0000140F0000}"/>
    <cellStyle name="集計 2 2 4 3 2" xfId="1856" xr:uid="{00000000-0005-0000-0000-0000150F0000}"/>
    <cellStyle name="集計 2 2 4 3 2 2" xfId="4765" xr:uid="{00000000-0005-0000-0000-0000160F0000}"/>
    <cellStyle name="集計 2 2 4 3 2 2 2" xfId="10257" xr:uid="{00000000-0005-0000-0000-0000170F0000}"/>
    <cellStyle name="集計 2 2 4 3 2 3" xfId="3378" xr:uid="{00000000-0005-0000-0000-0000180F0000}"/>
    <cellStyle name="集計 2 2 4 3 2 3 2" xfId="8926" xr:uid="{00000000-0005-0000-0000-0000190F0000}"/>
    <cellStyle name="集計 2 2 4 3 2 4" xfId="7532" xr:uid="{00000000-0005-0000-0000-00001A0F0000}"/>
    <cellStyle name="集計 2 2 4 3 3" xfId="6523" xr:uid="{00000000-0005-0000-0000-00001B0F0000}"/>
    <cellStyle name="集計 2 2 4 4" xfId="1349" xr:uid="{00000000-0005-0000-0000-00001C0F0000}"/>
    <cellStyle name="集計 2 2 4 4 2" xfId="4313" xr:uid="{00000000-0005-0000-0000-00001D0F0000}"/>
    <cellStyle name="集計 2 2 4 4 2 2" xfId="9849" xr:uid="{00000000-0005-0000-0000-00001E0F0000}"/>
    <cellStyle name="集計 2 2 4 4 3" xfId="3379" xr:uid="{00000000-0005-0000-0000-00001F0F0000}"/>
    <cellStyle name="集計 2 2 4 4 3 2" xfId="8927" xr:uid="{00000000-0005-0000-0000-0000200F0000}"/>
    <cellStyle name="集計 2 2 4 4 4" xfId="7069" xr:uid="{00000000-0005-0000-0000-0000210F0000}"/>
    <cellStyle name="集計 2 2 4 5" xfId="6058" xr:uid="{00000000-0005-0000-0000-0000220F0000}"/>
    <cellStyle name="集計 2 2 5" xfId="305" xr:uid="{00000000-0005-0000-0000-0000230F0000}"/>
    <cellStyle name="集計 2 2 5 2" xfId="527" xr:uid="{00000000-0005-0000-0000-0000240F0000}"/>
    <cellStyle name="集計 2 2 5 2 2" xfId="1036" xr:uid="{00000000-0005-0000-0000-0000250F0000}"/>
    <cellStyle name="集計 2 2 5 2 2 2" xfId="2142" xr:uid="{00000000-0005-0000-0000-0000260F0000}"/>
    <cellStyle name="集計 2 2 5 2 2 2 2" xfId="5051" xr:uid="{00000000-0005-0000-0000-0000270F0000}"/>
    <cellStyle name="集計 2 2 5 2 2 2 2 2" xfId="10516" xr:uid="{00000000-0005-0000-0000-0000280F0000}"/>
    <cellStyle name="集計 2 2 5 2 2 2 3" xfId="3380" xr:uid="{00000000-0005-0000-0000-0000290F0000}"/>
    <cellStyle name="集計 2 2 5 2 2 2 3 2" xfId="8928" xr:uid="{00000000-0005-0000-0000-00002A0F0000}"/>
    <cellStyle name="集計 2 2 5 2 2 2 4" xfId="7791" xr:uid="{00000000-0005-0000-0000-00002B0F0000}"/>
    <cellStyle name="集計 2 2 5 2 2 3" xfId="6782" xr:uid="{00000000-0005-0000-0000-00002C0F0000}"/>
    <cellStyle name="集計 2 2 5 2 3" xfId="1635" xr:uid="{00000000-0005-0000-0000-00002D0F0000}"/>
    <cellStyle name="集計 2 2 5 2 3 2" xfId="4599" xr:uid="{00000000-0005-0000-0000-00002E0F0000}"/>
    <cellStyle name="集計 2 2 5 2 3 2 2" xfId="10108" xr:uid="{00000000-0005-0000-0000-00002F0F0000}"/>
    <cellStyle name="集計 2 2 5 2 3 3" xfId="3381" xr:uid="{00000000-0005-0000-0000-0000300F0000}"/>
    <cellStyle name="集計 2 2 5 2 3 3 2" xfId="8929" xr:uid="{00000000-0005-0000-0000-0000310F0000}"/>
    <cellStyle name="集計 2 2 5 2 3 4" xfId="7328" xr:uid="{00000000-0005-0000-0000-0000320F0000}"/>
    <cellStyle name="集計 2 2 5 2 4" xfId="6317" xr:uid="{00000000-0005-0000-0000-0000330F0000}"/>
    <cellStyle name="集計 2 2 5 3" xfId="814" xr:uid="{00000000-0005-0000-0000-0000340F0000}"/>
    <cellStyle name="集計 2 2 5 3 2" xfId="1920" xr:uid="{00000000-0005-0000-0000-0000350F0000}"/>
    <cellStyle name="集計 2 2 5 3 2 2" xfId="4829" xr:uid="{00000000-0005-0000-0000-0000360F0000}"/>
    <cellStyle name="集計 2 2 5 3 2 2 2" xfId="10316" xr:uid="{00000000-0005-0000-0000-0000370F0000}"/>
    <cellStyle name="集計 2 2 5 3 2 3" xfId="3382" xr:uid="{00000000-0005-0000-0000-0000380F0000}"/>
    <cellStyle name="集計 2 2 5 3 2 3 2" xfId="8930" xr:uid="{00000000-0005-0000-0000-0000390F0000}"/>
    <cellStyle name="集計 2 2 5 3 2 4" xfId="7591" xr:uid="{00000000-0005-0000-0000-00003A0F0000}"/>
    <cellStyle name="集計 2 2 5 3 3" xfId="6582" xr:uid="{00000000-0005-0000-0000-00003B0F0000}"/>
    <cellStyle name="集計 2 2 5 4" xfId="1413" xr:uid="{00000000-0005-0000-0000-00003C0F0000}"/>
    <cellStyle name="集計 2 2 5 4 2" xfId="4377" xr:uid="{00000000-0005-0000-0000-00003D0F0000}"/>
    <cellStyle name="集計 2 2 5 4 2 2" xfId="9908" xr:uid="{00000000-0005-0000-0000-00003E0F0000}"/>
    <cellStyle name="集計 2 2 5 4 3" xfId="3383" xr:uid="{00000000-0005-0000-0000-00003F0F0000}"/>
    <cellStyle name="集計 2 2 5 4 3 2" xfId="8931" xr:uid="{00000000-0005-0000-0000-0000400F0000}"/>
    <cellStyle name="集計 2 2 5 4 4" xfId="7128" xr:uid="{00000000-0005-0000-0000-0000410F0000}"/>
    <cellStyle name="集計 2 2 5 5" xfId="6117" xr:uid="{00000000-0005-0000-0000-0000420F0000}"/>
    <cellStyle name="集計 2 2 6" xfId="388" xr:uid="{00000000-0005-0000-0000-0000430F0000}"/>
    <cellStyle name="集計 2 2 6 2" xfId="897" xr:uid="{00000000-0005-0000-0000-0000440F0000}"/>
    <cellStyle name="集計 2 2 6 2 2" xfId="2003" xr:uid="{00000000-0005-0000-0000-0000450F0000}"/>
    <cellStyle name="集計 2 2 6 2 2 2" xfId="4912" xr:uid="{00000000-0005-0000-0000-0000460F0000}"/>
    <cellStyle name="集計 2 2 6 2 2 2 2" xfId="10388" xr:uid="{00000000-0005-0000-0000-0000470F0000}"/>
    <cellStyle name="集計 2 2 6 2 2 3" xfId="3384" xr:uid="{00000000-0005-0000-0000-0000480F0000}"/>
    <cellStyle name="集計 2 2 6 2 2 3 2" xfId="8932" xr:uid="{00000000-0005-0000-0000-0000490F0000}"/>
    <cellStyle name="集計 2 2 6 2 2 4" xfId="7663" xr:uid="{00000000-0005-0000-0000-00004A0F0000}"/>
    <cellStyle name="集計 2 2 6 2 3" xfId="6654" xr:uid="{00000000-0005-0000-0000-00004B0F0000}"/>
    <cellStyle name="集計 2 2 6 3" xfId="1496" xr:uid="{00000000-0005-0000-0000-00004C0F0000}"/>
    <cellStyle name="集計 2 2 6 3 2" xfId="4460" xr:uid="{00000000-0005-0000-0000-00004D0F0000}"/>
    <cellStyle name="集計 2 2 6 3 2 2" xfId="9980" xr:uid="{00000000-0005-0000-0000-00004E0F0000}"/>
    <cellStyle name="集計 2 2 6 3 3" xfId="3385" xr:uid="{00000000-0005-0000-0000-00004F0F0000}"/>
    <cellStyle name="集計 2 2 6 3 3 2" xfId="8933" xr:uid="{00000000-0005-0000-0000-0000500F0000}"/>
    <cellStyle name="集計 2 2 6 3 4" xfId="7200" xr:uid="{00000000-0005-0000-0000-0000510F0000}"/>
    <cellStyle name="集計 2 2 6 4" xfId="6189" xr:uid="{00000000-0005-0000-0000-0000520F0000}"/>
    <cellStyle name="集計 2 2 7" xfId="673" xr:uid="{00000000-0005-0000-0000-0000530F0000}"/>
    <cellStyle name="集計 2 2 7 2" xfId="1779" xr:uid="{00000000-0005-0000-0000-0000540F0000}"/>
    <cellStyle name="集計 2 2 7 2 2" xfId="4688" xr:uid="{00000000-0005-0000-0000-0000550F0000}"/>
    <cellStyle name="集計 2 2 7 2 2 2" xfId="10186" xr:uid="{00000000-0005-0000-0000-0000560F0000}"/>
    <cellStyle name="集計 2 2 7 2 3" xfId="3386" xr:uid="{00000000-0005-0000-0000-0000570F0000}"/>
    <cellStyle name="集計 2 2 7 2 3 2" xfId="8934" xr:uid="{00000000-0005-0000-0000-0000580F0000}"/>
    <cellStyle name="集計 2 2 7 2 4" xfId="7461" xr:uid="{00000000-0005-0000-0000-0000590F0000}"/>
    <cellStyle name="集計 2 2 7 3" xfId="6452" xr:uid="{00000000-0005-0000-0000-00005A0F0000}"/>
    <cellStyle name="集計 2 2 8" xfId="1272" xr:uid="{00000000-0005-0000-0000-00005B0F0000}"/>
    <cellStyle name="集計 2 2 8 2" xfId="4236" xr:uid="{00000000-0005-0000-0000-00005C0F0000}"/>
    <cellStyle name="集計 2 2 8 2 2" xfId="9778" xr:uid="{00000000-0005-0000-0000-00005D0F0000}"/>
    <cellStyle name="集計 2 2 8 3" xfId="3387" xr:uid="{00000000-0005-0000-0000-00005E0F0000}"/>
    <cellStyle name="集計 2 2 8 3 2" xfId="8935" xr:uid="{00000000-0005-0000-0000-00005F0F0000}"/>
    <cellStyle name="集計 2 2 8 4" xfId="6998" xr:uid="{00000000-0005-0000-0000-0000600F0000}"/>
    <cellStyle name="集計 2 2 9" xfId="5987" xr:uid="{00000000-0005-0000-0000-0000610F0000}"/>
    <cellStyle name="集計 2 3" xfId="157" xr:uid="{00000000-0005-0000-0000-0000620F0000}"/>
    <cellStyle name="集計 2 3 2" xfId="190" xr:uid="{00000000-0005-0000-0000-0000630F0000}"/>
    <cellStyle name="集計 2 3 2 2" xfId="261" xr:uid="{00000000-0005-0000-0000-0000640F0000}"/>
    <cellStyle name="集計 2 3 2 2 2" xfId="483" xr:uid="{00000000-0005-0000-0000-0000650F0000}"/>
    <cellStyle name="集計 2 3 2 2 2 2" xfId="992" xr:uid="{00000000-0005-0000-0000-0000660F0000}"/>
    <cellStyle name="集計 2 3 2 2 2 2 2" xfId="2098" xr:uid="{00000000-0005-0000-0000-0000670F0000}"/>
    <cellStyle name="集計 2 3 2 2 2 2 2 2" xfId="5007" xr:uid="{00000000-0005-0000-0000-0000680F0000}"/>
    <cellStyle name="集計 2 3 2 2 2 2 2 2 2" xfId="10476" xr:uid="{00000000-0005-0000-0000-0000690F0000}"/>
    <cellStyle name="集計 2 3 2 2 2 2 2 3" xfId="3388" xr:uid="{00000000-0005-0000-0000-00006A0F0000}"/>
    <cellStyle name="集計 2 3 2 2 2 2 2 3 2" xfId="8936" xr:uid="{00000000-0005-0000-0000-00006B0F0000}"/>
    <cellStyle name="集計 2 3 2 2 2 2 2 4" xfId="7751" xr:uid="{00000000-0005-0000-0000-00006C0F0000}"/>
    <cellStyle name="集計 2 3 2 2 2 2 3" xfId="6742" xr:uid="{00000000-0005-0000-0000-00006D0F0000}"/>
    <cellStyle name="集計 2 3 2 2 2 3" xfId="1591" xr:uid="{00000000-0005-0000-0000-00006E0F0000}"/>
    <cellStyle name="集計 2 3 2 2 2 3 2" xfId="4555" xr:uid="{00000000-0005-0000-0000-00006F0F0000}"/>
    <cellStyle name="集計 2 3 2 2 2 3 2 2" xfId="10068" xr:uid="{00000000-0005-0000-0000-0000700F0000}"/>
    <cellStyle name="集計 2 3 2 2 2 3 3" xfId="3389" xr:uid="{00000000-0005-0000-0000-0000710F0000}"/>
    <cellStyle name="集計 2 3 2 2 2 3 3 2" xfId="8937" xr:uid="{00000000-0005-0000-0000-0000720F0000}"/>
    <cellStyle name="集計 2 3 2 2 2 3 4" xfId="7288" xr:uid="{00000000-0005-0000-0000-0000730F0000}"/>
    <cellStyle name="集計 2 3 2 2 2 4" xfId="6277" xr:uid="{00000000-0005-0000-0000-0000740F0000}"/>
    <cellStyle name="集計 2 3 2 2 3" xfId="770" xr:uid="{00000000-0005-0000-0000-0000750F0000}"/>
    <cellStyle name="集計 2 3 2 2 3 2" xfId="1876" xr:uid="{00000000-0005-0000-0000-0000760F0000}"/>
    <cellStyle name="集計 2 3 2 2 3 2 2" xfId="4785" xr:uid="{00000000-0005-0000-0000-0000770F0000}"/>
    <cellStyle name="集計 2 3 2 2 3 2 2 2" xfId="10276" xr:uid="{00000000-0005-0000-0000-0000780F0000}"/>
    <cellStyle name="集計 2 3 2 2 3 2 3" xfId="3390" xr:uid="{00000000-0005-0000-0000-0000790F0000}"/>
    <cellStyle name="集計 2 3 2 2 3 2 3 2" xfId="8938" xr:uid="{00000000-0005-0000-0000-00007A0F0000}"/>
    <cellStyle name="集計 2 3 2 2 3 2 4" xfId="7551" xr:uid="{00000000-0005-0000-0000-00007B0F0000}"/>
    <cellStyle name="集計 2 3 2 2 3 3" xfId="6542" xr:uid="{00000000-0005-0000-0000-00007C0F0000}"/>
    <cellStyle name="集計 2 3 2 2 4" xfId="1369" xr:uid="{00000000-0005-0000-0000-00007D0F0000}"/>
    <cellStyle name="集計 2 3 2 2 4 2" xfId="4333" xr:uid="{00000000-0005-0000-0000-00007E0F0000}"/>
    <cellStyle name="集計 2 3 2 2 4 2 2" xfId="9868" xr:uid="{00000000-0005-0000-0000-00007F0F0000}"/>
    <cellStyle name="集計 2 3 2 2 4 3" xfId="3391" xr:uid="{00000000-0005-0000-0000-0000800F0000}"/>
    <cellStyle name="集計 2 3 2 2 4 3 2" xfId="8939" xr:uid="{00000000-0005-0000-0000-0000810F0000}"/>
    <cellStyle name="集計 2 3 2 2 4 4" xfId="7088" xr:uid="{00000000-0005-0000-0000-0000820F0000}"/>
    <cellStyle name="集計 2 3 2 2 5" xfId="6077" xr:uid="{00000000-0005-0000-0000-0000830F0000}"/>
    <cellStyle name="集計 2 3 2 3" xfId="326" xr:uid="{00000000-0005-0000-0000-0000840F0000}"/>
    <cellStyle name="集計 2 3 2 3 2" xfId="548" xr:uid="{00000000-0005-0000-0000-0000850F0000}"/>
    <cellStyle name="集計 2 3 2 3 2 2" xfId="1057" xr:uid="{00000000-0005-0000-0000-0000860F0000}"/>
    <cellStyle name="集計 2 3 2 3 2 2 2" xfId="2163" xr:uid="{00000000-0005-0000-0000-0000870F0000}"/>
    <cellStyle name="集計 2 3 2 3 2 2 2 2" xfId="5072" xr:uid="{00000000-0005-0000-0000-0000880F0000}"/>
    <cellStyle name="集計 2 3 2 3 2 2 2 2 2" xfId="10535" xr:uid="{00000000-0005-0000-0000-0000890F0000}"/>
    <cellStyle name="集計 2 3 2 3 2 2 2 3" xfId="3392" xr:uid="{00000000-0005-0000-0000-00008A0F0000}"/>
    <cellStyle name="集計 2 3 2 3 2 2 2 3 2" xfId="8940" xr:uid="{00000000-0005-0000-0000-00008B0F0000}"/>
    <cellStyle name="集計 2 3 2 3 2 2 2 4" xfId="7810" xr:uid="{00000000-0005-0000-0000-00008C0F0000}"/>
    <cellStyle name="集計 2 3 2 3 2 2 3" xfId="6801" xr:uid="{00000000-0005-0000-0000-00008D0F0000}"/>
    <cellStyle name="集計 2 3 2 3 2 3" xfId="1656" xr:uid="{00000000-0005-0000-0000-00008E0F0000}"/>
    <cellStyle name="集計 2 3 2 3 2 3 2" xfId="4620" xr:uid="{00000000-0005-0000-0000-00008F0F0000}"/>
    <cellStyle name="集計 2 3 2 3 2 3 2 2" xfId="10127" xr:uid="{00000000-0005-0000-0000-0000900F0000}"/>
    <cellStyle name="集計 2 3 2 3 2 3 3" xfId="3393" xr:uid="{00000000-0005-0000-0000-0000910F0000}"/>
    <cellStyle name="集計 2 3 2 3 2 3 3 2" xfId="8941" xr:uid="{00000000-0005-0000-0000-0000920F0000}"/>
    <cellStyle name="集計 2 3 2 3 2 3 4" xfId="7347" xr:uid="{00000000-0005-0000-0000-0000930F0000}"/>
    <cellStyle name="集計 2 3 2 3 2 4" xfId="6336" xr:uid="{00000000-0005-0000-0000-0000940F0000}"/>
    <cellStyle name="集計 2 3 2 3 3" xfId="835" xr:uid="{00000000-0005-0000-0000-0000950F0000}"/>
    <cellStyle name="集計 2 3 2 3 3 2" xfId="1941" xr:uid="{00000000-0005-0000-0000-0000960F0000}"/>
    <cellStyle name="集計 2 3 2 3 3 2 2" xfId="4850" xr:uid="{00000000-0005-0000-0000-0000970F0000}"/>
    <cellStyle name="集計 2 3 2 3 3 2 2 2" xfId="10335" xr:uid="{00000000-0005-0000-0000-0000980F0000}"/>
    <cellStyle name="集計 2 3 2 3 3 2 3" xfId="3394" xr:uid="{00000000-0005-0000-0000-0000990F0000}"/>
    <cellStyle name="集計 2 3 2 3 3 2 3 2" xfId="8942" xr:uid="{00000000-0005-0000-0000-00009A0F0000}"/>
    <cellStyle name="集計 2 3 2 3 3 2 4" xfId="7610" xr:uid="{00000000-0005-0000-0000-00009B0F0000}"/>
    <cellStyle name="集計 2 3 2 3 3 3" xfId="6601" xr:uid="{00000000-0005-0000-0000-00009C0F0000}"/>
    <cellStyle name="集計 2 3 2 3 4" xfId="1434" xr:uid="{00000000-0005-0000-0000-00009D0F0000}"/>
    <cellStyle name="集計 2 3 2 3 4 2" xfId="4398" xr:uid="{00000000-0005-0000-0000-00009E0F0000}"/>
    <cellStyle name="集計 2 3 2 3 4 2 2" xfId="9927" xr:uid="{00000000-0005-0000-0000-00009F0F0000}"/>
    <cellStyle name="集計 2 3 2 3 4 3" xfId="3395" xr:uid="{00000000-0005-0000-0000-0000A00F0000}"/>
    <cellStyle name="集計 2 3 2 3 4 3 2" xfId="8943" xr:uid="{00000000-0005-0000-0000-0000A10F0000}"/>
    <cellStyle name="集計 2 3 2 3 4 4" xfId="7147" xr:uid="{00000000-0005-0000-0000-0000A20F0000}"/>
    <cellStyle name="集計 2 3 2 3 5" xfId="6136" xr:uid="{00000000-0005-0000-0000-0000A30F0000}"/>
    <cellStyle name="集計 2 3 2 4" xfId="412" xr:uid="{00000000-0005-0000-0000-0000A40F0000}"/>
    <cellStyle name="集計 2 3 2 4 2" xfId="921" xr:uid="{00000000-0005-0000-0000-0000A50F0000}"/>
    <cellStyle name="集計 2 3 2 4 2 2" xfId="2027" xr:uid="{00000000-0005-0000-0000-0000A60F0000}"/>
    <cellStyle name="集計 2 3 2 4 2 2 2" xfId="4936" xr:uid="{00000000-0005-0000-0000-0000A70F0000}"/>
    <cellStyle name="集計 2 3 2 4 2 2 2 2" xfId="10410" xr:uid="{00000000-0005-0000-0000-0000A80F0000}"/>
    <cellStyle name="集計 2 3 2 4 2 2 3" xfId="3396" xr:uid="{00000000-0005-0000-0000-0000A90F0000}"/>
    <cellStyle name="集計 2 3 2 4 2 2 3 2" xfId="8944" xr:uid="{00000000-0005-0000-0000-0000AA0F0000}"/>
    <cellStyle name="集計 2 3 2 4 2 2 4" xfId="7685" xr:uid="{00000000-0005-0000-0000-0000AB0F0000}"/>
    <cellStyle name="集計 2 3 2 4 2 3" xfId="6676" xr:uid="{00000000-0005-0000-0000-0000AC0F0000}"/>
    <cellStyle name="集計 2 3 2 4 3" xfId="1520" xr:uid="{00000000-0005-0000-0000-0000AD0F0000}"/>
    <cellStyle name="集計 2 3 2 4 3 2" xfId="4484" xr:uid="{00000000-0005-0000-0000-0000AE0F0000}"/>
    <cellStyle name="集計 2 3 2 4 3 2 2" xfId="10002" xr:uid="{00000000-0005-0000-0000-0000AF0F0000}"/>
    <cellStyle name="集計 2 3 2 4 3 3" xfId="3397" xr:uid="{00000000-0005-0000-0000-0000B00F0000}"/>
    <cellStyle name="集計 2 3 2 4 3 3 2" xfId="8945" xr:uid="{00000000-0005-0000-0000-0000B10F0000}"/>
    <cellStyle name="集計 2 3 2 4 3 4" xfId="7222" xr:uid="{00000000-0005-0000-0000-0000B20F0000}"/>
    <cellStyle name="集計 2 3 2 4 4" xfId="6211" xr:uid="{00000000-0005-0000-0000-0000B30F0000}"/>
    <cellStyle name="集計 2 3 2 5" xfId="699" xr:uid="{00000000-0005-0000-0000-0000B40F0000}"/>
    <cellStyle name="集計 2 3 2 5 2" xfId="1805" xr:uid="{00000000-0005-0000-0000-0000B50F0000}"/>
    <cellStyle name="集計 2 3 2 5 2 2" xfId="4714" xr:uid="{00000000-0005-0000-0000-0000B60F0000}"/>
    <cellStyle name="集計 2 3 2 5 2 2 2" xfId="10210" xr:uid="{00000000-0005-0000-0000-0000B70F0000}"/>
    <cellStyle name="集計 2 3 2 5 2 3" xfId="3398" xr:uid="{00000000-0005-0000-0000-0000B80F0000}"/>
    <cellStyle name="集計 2 3 2 5 2 3 2" xfId="8946" xr:uid="{00000000-0005-0000-0000-0000B90F0000}"/>
    <cellStyle name="集計 2 3 2 5 2 4" xfId="7485" xr:uid="{00000000-0005-0000-0000-0000BA0F0000}"/>
    <cellStyle name="集計 2 3 2 5 3" xfId="6476" xr:uid="{00000000-0005-0000-0000-0000BB0F0000}"/>
    <cellStyle name="集計 2 3 2 6" xfId="1298" xr:uid="{00000000-0005-0000-0000-0000BC0F0000}"/>
    <cellStyle name="集計 2 3 2 6 2" xfId="4262" xr:uid="{00000000-0005-0000-0000-0000BD0F0000}"/>
    <cellStyle name="集計 2 3 2 6 2 2" xfId="9802" xr:uid="{00000000-0005-0000-0000-0000BE0F0000}"/>
    <cellStyle name="集計 2 3 2 6 3" xfId="3399" xr:uid="{00000000-0005-0000-0000-0000BF0F0000}"/>
    <cellStyle name="集計 2 3 2 6 3 2" xfId="8947" xr:uid="{00000000-0005-0000-0000-0000C00F0000}"/>
    <cellStyle name="集計 2 3 2 6 4" xfId="7022" xr:uid="{00000000-0005-0000-0000-0000C10F0000}"/>
    <cellStyle name="集計 2 3 2 7" xfId="6011" xr:uid="{00000000-0005-0000-0000-0000C20F0000}"/>
    <cellStyle name="集計 2 3 3" xfId="209" xr:uid="{00000000-0005-0000-0000-0000C30F0000}"/>
    <cellStyle name="集計 2 3 3 2" xfId="279" xr:uid="{00000000-0005-0000-0000-0000C40F0000}"/>
    <cellStyle name="集計 2 3 3 2 2" xfId="501" xr:uid="{00000000-0005-0000-0000-0000C50F0000}"/>
    <cellStyle name="集計 2 3 3 2 2 2" xfId="1010" xr:uid="{00000000-0005-0000-0000-0000C60F0000}"/>
    <cellStyle name="集計 2 3 3 2 2 2 2" xfId="2116" xr:uid="{00000000-0005-0000-0000-0000C70F0000}"/>
    <cellStyle name="集計 2 3 3 2 2 2 2 2" xfId="5025" xr:uid="{00000000-0005-0000-0000-0000C80F0000}"/>
    <cellStyle name="集計 2 3 3 2 2 2 2 2 2" xfId="10493" xr:uid="{00000000-0005-0000-0000-0000C90F0000}"/>
    <cellStyle name="集計 2 3 3 2 2 2 2 3" xfId="3400" xr:uid="{00000000-0005-0000-0000-0000CA0F0000}"/>
    <cellStyle name="集計 2 3 3 2 2 2 2 3 2" xfId="8948" xr:uid="{00000000-0005-0000-0000-0000CB0F0000}"/>
    <cellStyle name="集計 2 3 3 2 2 2 2 4" xfId="7768" xr:uid="{00000000-0005-0000-0000-0000CC0F0000}"/>
    <cellStyle name="集計 2 3 3 2 2 2 3" xfId="6759" xr:uid="{00000000-0005-0000-0000-0000CD0F0000}"/>
    <cellStyle name="集計 2 3 3 2 2 3" xfId="1609" xr:uid="{00000000-0005-0000-0000-0000CE0F0000}"/>
    <cellStyle name="集計 2 3 3 2 2 3 2" xfId="4573" xr:uid="{00000000-0005-0000-0000-0000CF0F0000}"/>
    <cellStyle name="集計 2 3 3 2 2 3 2 2" xfId="10085" xr:uid="{00000000-0005-0000-0000-0000D00F0000}"/>
    <cellStyle name="集計 2 3 3 2 2 3 3" xfId="3401" xr:uid="{00000000-0005-0000-0000-0000D10F0000}"/>
    <cellStyle name="集計 2 3 3 2 2 3 3 2" xfId="8949" xr:uid="{00000000-0005-0000-0000-0000D20F0000}"/>
    <cellStyle name="集計 2 3 3 2 2 3 4" xfId="7305" xr:uid="{00000000-0005-0000-0000-0000D30F0000}"/>
    <cellStyle name="集計 2 3 3 2 2 4" xfId="6294" xr:uid="{00000000-0005-0000-0000-0000D40F0000}"/>
    <cellStyle name="集計 2 3 3 2 3" xfId="788" xr:uid="{00000000-0005-0000-0000-0000D50F0000}"/>
    <cellStyle name="集計 2 3 3 2 3 2" xfId="1894" xr:uid="{00000000-0005-0000-0000-0000D60F0000}"/>
    <cellStyle name="集計 2 3 3 2 3 2 2" xfId="4803" xr:uid="{00000000-0005-0000-0000-0000D70F0000}"/>
    <cellStyle name="集計 2 3 3 2 3 2 2 2" xfId="10293" xr:uid="{00000000-0005-0000-0000-0000D80F0000}"/>
    <cellStyle name="集計 2 3 3 2 3 2 3" xfId="3402" xr:uid="{00000000-0005-0000-0000-0000D90F0000}"/>
    <cellStyle name="集計 2 3 3 2 3 2 3 2" xfId="8950" xr:uid="{00000000-0005-0000-0000-0000DA0F0000}"/>
    <cellStyle name="集計 2 3 3 2 3 2 4" xfId="7568" xr:uid="{00000000-0005-0000-0000-0000DB0F0000}"/>
    <cellStyle name="集計 2 3 3 2 3 3" xfId="6559" xr:uid="{00000000-0005-0000-0000-0000DC0F0000}"/>
    <cellStyle name="集計 2 3 3 2 4" xfId="1387" xr:uid="{00000000-0005-0000-0000-0000DD0F0000}"/>
    <cellStyle name="集計 2 3 3 2 4 2" xfId="4351" xr:uid="{00000000-0005-0000-0000-0000DE0F0000}"/>
    <cellStyle name="集計 2 3 3 2 4 2 2" xfId="9885" xr:uid="{00000000-0005-0000-0000-0000DF0F0000}"/>
    <cellStyle name="集計 2 3 3 2 4 3" xfId="3403" xr:uid="{00000000-0005-0000-0000-0000E00F0000}"/>
    <cellStyle name="集計 2 3 3 2 4 3 2" xfId="8951" xr:uid="{00000000-0005-0000-0000-0000E10F0000}"/>
    <cellStyle name="集計 2 3 3 2 4 4" xfId="7105" xr:uid="{00000000-0005-0000-0000-0000E20F0000}"/>
    <cellStyle name="集計 2 3 3 2 5" xfId="6094" xr:uid="{00000000-0005-0000-0000-0000E30F0000}"/>
    <cellStyle name="集計 2 3 3 3" xfId="345" xr:uid="{00000000-0005-0000-0000-0000E40F0000}"/>
    <cellStyle name="集計 2 3 3 3 2" xfId="567" xr:uid="{00000000-0005-0000-0000-0000E50F0000}"/>
    <cellStyle name="集計 2 3 3 3 2 2" xfId="1076" xr:uid="{00000000-0005-0000-0000-0000E60F0000}"/>
    <cellStyle name="集計 2 3 3 3 2 2 2" xfId="2182" xr:uid="{00000000-0005-0000-0000-0000E70F0000}"/>
    <cellStyle name="集計 2 3 3 3 2 2 2 2" xfId="5091" xr:uid="{00000000-0005-0000-0000-0000E80F0000}"/>
    <cellStyle name="集計 2 3 3 3 2 2 2 2 2" xfId="10552" xr:uid="{00000000-0005-0000-0000-0000E90F0000}"/>
    <cellStyle name="集計 2 3 3 3 2 2 2 3" xfId="3404" xr:uid="{00000000-0005-0000-0000-0000EA0F0000}"/>
    <cellStyle name="集計 2 3 3 3 2 2 2 3 2" xfId="8952" xr:uid="{00000000-0005-0000-0000-0000EB0F0000}"/>
    <cellStyle name="集計 2 3 3 3 2 2 2 4" xfId="7827" xr:uid="{00000000-0005-0000-0000-0000EC0F0000}"/>
    <cellStyle name="集計 2 3 3 3 2 2 3" xfId="6818" xr:uid="{00000000-0005-0000-0000-0000ED0F0000}"/>
    <cellStyle name="集計 2 3 3 3 2 3" xfId="1675" xr:uid="{00000000-0005-0000-0000-0000EE0F0000}"/>
    <cellStyle name="集計 2 3 3 3 2 3 2" xfId="4639" xr:uid="{00000000-0005-0000-0000-0000EF0F0000}"/>
    <cellStyle name="集計 2 3 3 3 2 3 2 2" xfId="10144" xr:uid="{00000000-0005-0000-0000-0000F00F0000}"/>
    <cellStyle name="集計 2 3 3 3 2 3 3" xfId="3405" xr:uid="{00000000-0005-0000-0000-0000F10F0000}"/>
    <cellStyle name="集計 2 3 3 3 2 3 3 2" xfId="8953" xr:uid="{00000000-0005-0000-0000-0000F20F0000}"/>
    <cellStyle name="集計 2 3 3 3 2 3 4" xfId="7364" xr:uid="{00000000-0005-0000-0000-0000F30F0000}"/>
    <cellStyle name="集計 2 3 3 3 2 4" xfId="6353" xr:uid="{00000000-0005-0000-0000-0000F40F0000}"/>
    <cellStyle name="集計 2 3 3 3 3" xfId="854" xr:uid="{00000000-0005-0000-0000-0000F50F0000}"/>
    <cellStyle name="集計 2 3 3 3 3 2" xfId="1960" xr:uid="{00000000-0005-0000-0000-0000F60F0000}"/>
    <cellStyle name="集計 2 3 3 3 3 2 2" xfId="4869" xr:uid="{00000000-0005-0000-0000-0000F70F0000}"/>
    <cellStyle name="集計 2 3 3 3 3 2 2 2" xfId="10352" xr:uid="{00000000-0005-0000-0000-0000F80F0000}"/>
    <cellStyle name="集計 2 3 3 3 3 2 3" xfId="3406" xr:uid="{00000000-0005-0000-0000-0000F90F0000}"/>
    <cellStyle name="集計 2 3 3 3 3 2 3 2" xfId="8954" xr:uid="{00000000-0005-0000-0000-0000FA0F0000}"/>
    <cellStyle name="集計 2 3 3 3 3 2 4" xfId="7627" xr:uid="{00000000-0005-0000-0000-0000FB0F0000}"/>
    <cellStyle name="集計 2 3 3 3 3 3" xfId="6618" xr:uid="{00000000-0005-0000-0000-0000FC0F0000}"/>
    <cellStyle name="集計 2 3 3 3 4" xfId="1453" xr:uid="{00000000-0005-0000-0000-0000FD0F0000}"/>
    <cellStyle name="集計 2 3 3 3 4 2" xfId="4417" xr:uid="{00000000-0005-0000-0000-0000FE0F0000}"/>
    <cellStyle name="集計 2 3 3 3 4 2 2" xfId="9944" xr:uid="{00000000-0005-0000-0000-0000FF0F0000}"/>
    <cellStyle name="集計 2 3 3 3 4 3" xfId="3407" xr:uid="{00000000-0005-0000-0000-000000100000}"/>
    <cellStyle name="集計 2 3 3 3 4 3 2" xfId="8955" xr:uid="{00000000-0005-0000-0000-000001100000}"/>
    <cellStyle name="集計 2 3 3 3 4 4" xfId="7164" xr:uid="{00000000-0005-0000-0000-000002100000}"/>
    <cellStyle name="集計 2 3 3 3 5" xfId="6153" xr:uid="{00000000-0005-0000-0000-000003100000}"/>
    <cellStyle name="集計 2 3 3 4" xfId="431" xr:uid="{00000000-0005-0000-0000-000004100000}"/>
    <cellStyle name="集計 2 3 3 4 2" xfId="940" xr:uid="{00000000-0005-0000-0000-000005100000}"/>
    <cellStyle name="集計 2 3 3 4 2 2" xfId="2046" xr:uid="{00000000-0005-0000-0000-000006100000}"/>
    <cellStyle name="集計 2 3 3 4 2 2 2" xfId="4955" xr:uid="{00000000-0005-0000-0000-000007100000}"/>
    <cellStyle name="集計 2 3 3 4 2 2 2 2" xfId="10427" xr:uid="{00000000-0005-0000-0000-000008100000}"/>
    <cellStyle name="集計 2 3 3 4 2 2 3" xfId="3408" xr:uid="{00000000-0005-0000-0000-000009100000}"/>
    <cellStyle name="集計 2 3 3 4 2 2 3 2" xfId="8956" xr:uid="{00000000-0005-0000-0000-00000A100000}"/>
    <cellStyle name="集計 2 3 3 4 2 2 4" xfId="7702" xr:uid="{00000000-0005-0000-0000-00000B100000}"/>
    <cellStyle name="集計 2 3 3 4 2 3" xfId="6693" xr:uid="{00000000-0005-0000-0000-00000C100000}"/>
    <cellStyle name="集計 2 3 3 4 3" xfId="1539" xr:uid="{00000000-0005-0000-0000-00000D100000}"/>
    <cellStyle name="集計 2 3 3 4 3 2" xfId="4503" xr:uid="{00000000-0005-0000-0000-00000E100000}"/>
    <cellStyle name="集計 2 3 3 4 3 2 2" xfId="10019" xr:uid="{00000000-0005-0000-0000-00000F100000}"/>
    <cellStyle name="集計 2 3 3 4 3 3" xfId="3409" xr:uid="{00000000-0005-0000-0000-000010100000}"/>
    <cellStyle name="集計 2 3 3 4 3 3 2" xfId="8957" xr:uid="{00000000-0005-0000-0000-000011100000}"/>
    <cellStyle name="集計 2 3 3 4 3 4" xfId="7239" xr:uid="{00000000-0005-0000-0000-000012100000}"/>
    <cellStyle name="集計 2 3 3 4 4" xfId="6228" xr:uid="{00000000-0005-0000-0000-000013100000}"/>
    <cellStyle name="集計 2 3 3 5" xfId="718" xr:uid="{00000000-0005-0000-0000-000014100000}"/>
    <cellStyle name="集計 2 3 3 5 2" xfId="1824" xr:uid="{00000000-0005-0000-0000-000015100000}"/>
    <cellStyle name="集計 2 3 3 5 2 2" xfId="4733" xr:uid="{00000000-0005-0000-0000-000016100000}"/>
    <cellStyle name="集計 2 3 3 5 2 2 2" xfId="10227" xr:uid="{00000000-0005-0000-0000-000017100000}"/>
    <cellStyle name="集計 2 3 3 5 2 3" xfId="3410" xr:uid="{00000000-0005-0000-0000-000018100000}"/>
    <cellStyle name="集計 2 3 3 5 2 3 2" xfId="8958" xr:uid="{00000000-0005-0000-0000-000019100000}"/>
    <cellStyle name="集計 2 3 3 5 2 4" xfId="7502" xr:uid="{00000000-0005-0000-0000-00001A100000}"/>
    <cellStyle name="集計 2 3 3 5 3" xfId="6493" xr:uid="{00000000-0005-0000-0000-00001B100000}"/>
    <cellStyle name="集計 2 3 3 6" xfId="1317" xr:uid="{00000000-0005-0000-0000-00001C100000}"/>
    <cellStyle name="集計 2 3 3 6 2" xfId="4281" xr:uid="{00000000-0005-0000-0000-00001D100000}"/>
    <cellStyle name="集計 2 3 3 6 2 2" xfId="9819" xr:uid="{00000000-0005-0000-0000-00001E100000}"/>
    <cellStyle name="集計 2 3 3 6 3" xfId="3411" xr:uid="{00000000-0005-0000-0000-00001F100000}"/>
    <cellStyle name="集計 2 3 3 6 3 2" xfId="8959" xr:uid="{00000000-0005-0000-0000-000020100000}"/>
    <cellStyle name="集計 2 3 3 6 4" xfId="7039" xr:uid="{00000000-0005-0000-0000-000021100000}"/>
    <cellStyle name="集計 2 3 3 7" xfId="6028" xr:uid="{00000000-0005-0000-0000-000022100000}"/>
    <cellStyle name="集計 2 3 4" xfId="236" xr:uid="{00000000-0005-0000-0000-000023100000}"/>
    <cellStyle name="集計 2 3 4 2" xfId="458" xr:uid="{00000000-0005-0000-0000-000024100000}"/>
    <cellStyle name="集計 2 3 4 2 2" xfId="967" xr:uid="{00000000-0005-0000-0000-000025100000}"/>
    <cellStyle name="集計 2 3 4 2 2 2" xfId="2073" xr:uid="{00000000-0005-0000-0000-000026100000}"/>
    <cellStyle name="集計 2 3 4 2 2 2 2" xfId="4982" xr:uid="{00000000-0005-0000-0000-000027100000}"/>
    <cellStyle name="集計 2 3 4 2 2 2 2 2" xfId="10452" xr:uid="{00000000-0005-0000-0000-000028100000}"/>
    <cellStyle name="集計 2 3 4 2 2 2 3" xfId="3412" xr:uid="{00000000-0005-0000-0000-000029100000}"/>
    <cellStyle name="集計 2 3 4 2 2 2 3 2" xfId="8960" xr:uid="{00000000-0005-0000-0000-00002A100000}"/>
    <cellStyle name="集計 2 3 4 2 2 2 4" xfId="7727" xr:uid="{00000000-0005-0000-0000-00002B100000}"/>
    <cellStyle name="集計 2 3 4 2 2 3" xfId="6718" xr:uid="{00000000-0005-0000-0000-00002C100000}"/>
    <cellStyle name="集計 2 3 4 2 3" xfId="1566" xr:uid="{00000000-0005-0000-0000-00002D100000}"/>
    <cellStyle name="集計 2 3 4 2 3 2" xfId="4530" xr:uid="{00000000-0005-0000-0000-00002E100000}"/>
    <cellStyle name="集計 2 3 4 2 3 2 2" xfId="10044" xr:uid="{00000000-0005-0000-0000-00002F100000}"/>
    <cellStyle name="集計 2 3 4 2 3 3" xfId="3413" xr:uid="{00000000-0005-0000-0000-000030100000}"/>
    <cellStyle name="集計 2 3 4 2 3 3 2" xfId="8961" xr:uid="{00000000-0005-0000-0000-000031100000}"/>
    <cellStyle name="集計 2 3 4 2 3 4" xfId="7264" xr:uid="{00000000-0005-0000-0000-000032100000}"/>
    <cellStyle name="集計 2 3 4 2 4" xfId="6253" xr:uid="{00000000-0005-0000-0000-000033100000}"/>
    <cellStyle name="集計 2 3 4 3" xfId="745" xr:uid="{00000000-0005-0000-0000-000034100000}"/>
    <cellStyle name="集計 2 3 4 3 2" xfId="1851" xr:uid="{00000000-0005-0000-0000-000035100000}"/>
    <cellStyle name="集計 2 3 4 3 2 2" xfId="4760" xr:uid="{00000000-0005-0000-0000-000036100000}"/>
    <cellStyle name="集計 2 3 4 3 2 2 2" xfId="10252" xr:uid="{00000000-0005-0000-0000-000037100000}"/>
    <cellStyle name="集計 2 3 4 3 2 3" xfId="3414" xr:uid="{00000000-0005-0000-0000-000038100000}"/>
    <cellStyle name="集計 2 3 4 3 2 3 2" xfId="8962" xr:uid="{00000000-0005-0000-0000-000039100000}"/>
    <cellStyle name="集計 2 3 4 3 2 4" xfId="7527" xr:uid="{00000000-0005-0000-0000-00003A100000}"/>
    <cellStyle name="集計 2 3 4 3 3" xfId="6518" xr:uid="{00000000-0005-0000-0000-00003B100000}"/>
    <cellStyle name="集計 2 3 4 4" xfId="1344" xr:uid="{00000000-0005-0000-0000-00003C100000}"/>
    <cellStyle name="集計 2 3 4 4 2" xfId="4308" xr:uid="{00000000-0005-0000-0000-00003D100000}"/>
    <cellStyle name="集計 2 3 4 4 2 2" xfId="9844" xr:uid="{00000000-0005-0000-0000-00003E100000}"/>
    <cellStyle name="集計 2 3 4 4 3" xfId="3415" xr:uid="{00000000-0005-0000-0000-00003F100000}"/>
    <cellStyle name="集計 2 3 4 4 3 2" xfId="8963" xr:uid="{00000000-0005-0000-0000-000040100000}"/>
    <cellStyle name="集計 2 3 4 4 4" xfId="7064" xr:uid="{00000000-0005-0000-0000-000041100000}"/>
    <cellStyle name="集計 2 3 4 5" xfId="6053" xr:uid="{00000000-0005-0000-0000-000042100000}"/>
    <cellStyle name="集計 2 3 5" xfId="298" xr:uid="{00000000-0005-0000-0000-000043100000}"/>
    <cellStyle name="集計 2 3 5 2" xfId="520" xr:uid="{00000000-0005-0000-0000-000044100000}"/>
    <cellStyle name="集計 2 3 5 2 2" xfId="1029" xr:uid="{00000000-0005-0000-0000-000045100000}"/>
    <cellStyle name="集計 2 3 5 2 2 2" xfId="2135" xr:uid="{00000000-0005-0000-0000-000046100000}"/>
    <cellStyle name="集計 2 3 5 2 2 2 2" xfId="5044" xr:uid="{00000000-0005-0000-0000-000047100000}"/>
    <cellStyle name="集計 2 3 5 2 2 2 2 2" xfId="10511" xr:uid="{00000000-0005-0000-0000-000048100000}"/>
    <cellStyle name="集計 2 3 5 2 2 2 3" xfId="3416" xr:uid="{00000000-0005-0000-0000-000049100000}"/>
    <cellStyle name="集計 2 3 5 2 2 2 3 2" xfId="8964" xr:uid="{00000000-0005-0000-0000-00004A100000}"/>
    <cellStyle name="集計 2 3 5 2 2 2 4" xfId="7786" xr:uid="{00000000-0005-0000-0000-00004B100000}"/>
    <cellStyle name="集計 2 3 5 2 2 3" xfId="6777" xr:uid="{00000000-0005-0000-0000-00004C100000}"/>
    <cellStyle name="集計 2 3 5 2 3" xfId="1628" xr:uid="{00000000-0005-0000-0000-00004D100000}"/>
    <cellStyle name="集計 2 3 5 2 3 2" xfId="4592" xr:uid="{00000000-0005-0000-0000-00004E100000}"/>
    <cellStyle name="集計 2 3 5 2 3 2 2" xfId="10103" xr:uid="{00000000-0005-0000-0000-00004F100000}"/>
    <cellStyle name="集計 2 3 5 2 3 3" xfId="3417" xr:uid="{00000000-0005-0000-0000-000050100000}"/>
    <cellStyle name="集計 2 3 5 2 3 3 2" xfId="8965" xr:uid="{00000000-0005-0000-0000-000051100000}"/>
    <cellStyle name="集計 2 3 5 2 3 4" xfId="7323" xr:uid="{00000000-0005-0000-0000-000052100000}"/>
    <cellStyle name="集計 2 3 5 2 4" xfId="6312" xr:uid="{00000000-0005-0000-0000-000053100000}"/>
    <cellStyle name="集計 2 3 5 3" xfId="807" xr:uid="{00000000-0005-0000-0000-000054100000}"/>
    <cellStyle name="集計 2 3 5 3 2" xfId="1913" xr:uid="{00000000-0005-0000-0000-000055100000}"/>
    <cellStyle name="集計 2 3 5 3 2 2" xfId="4822" xr:uid="{00000000-0005-0000-0000-000056100000}"/>
    <cellStyle name="集計 2 3 5 3 2 2 2" xfId="10311" xr:uid="{00000000-0005-0000-0000-000057100000}"/>
    <cellStyle name="集計 2 3 5 3 2 3" xfId="3418" xr:uid="{00000000-0005-0000-0000-000058100000}"/>
    <cellStyle name="集計 2 3 5 3 2 3 2" xfId="8966" xr:uid="{00000000-0005-0000-0000-000059100000}"/>
    <cellStyle name="集計 2 3 5 3 2 4" xfId="7586" xr:uid="{00000000-0005-0000-0000-00005A100000}"/>
    <cellStyle name="集計 2 3 5 3 3" xfId="6577" xr:uid="{00000000-0005-0000-0000-00005B100000}"/>
    <cellStyle name="集計 2 3 5 4" xfId="1406" xr:uid="{00000000-0005-0000-0000-00005C100000}"/>
    <cellStyle name="集計 2 3 5 4 2" xfId="4370" xr:uid="{00000000-0005-0000-0000-00005D100000}"/>
    <cellStyle name="集計 2 3 5 4 2 2" xfId="9903" xr:uid="{00000000-0005-0000-0000-00005E100000}"/>
    <cellStyle name="集計 2 3 5 4 3" xfId="3419" xr:uid="{00000000-0005-0000-0000-00005F100000}"/>
    <cellStyle name="集計 2 3 5 4 3 2" xfId="8967" xr:uid="{00000000-0005-0000-0000-000060100000}"/>
    <cellStyle name="集計 2 3 5 4 4" xfId="7123" xr:uid="{00000000-0005-0000-0000-000061100000}"/>
    <cellStyle name="集計 2 3 5 5" xfId="6112" xr:uid="{00000000-0005-0000-0000-000062100000}"/>
    <cellStyle name="集計 2 3 6" xfId="381" xr:uid="{00000000-0005-0000-0000-000063100000}"/>
    <cellStyle name="集計 2 3 6 2" xfId="890" xr:uid="{00000000-0005-0000-0000-000064100000}"/>
    <cellStyle name="集計 2 3 6 2 2" xfId="1996" xr:uid="{00000000-0005-0000-0000-000065100000}"/>
    <cellStyle name="集計 2 3 6 2 2 2" xfId="4905" xr:uid="{00000000-0005-0000-0000-000066100000}"/>
    <cellStyle name="集計 2 3 6 2 2 2 2" xfId="10383" xr:uid="{00000000-0005-0000-0000-000067100000}"/>
    <cellStyle name="集計 2 3 6 2 2 3" xfId="3420" xr:uid="{00000000-0005-0000-0000-000068100000}"/>
    <cellStyle name="集計 2 3 6 2 2 3 2" xfId="8968" xr:uid="{00000000-0005-0000-0000-000069100000}"/>
    <cellStyle name="集計 2 3 6 2 2 4" xfId="7658" xr:uid="{00000000-0005-0000-0000-00006A100000}"/>
    <cellStyle name="集計 2 3 6 2 3" xfId="6649" xr:uid="{00000000-0005-0000-0000-00006B100000}"/>
    <cellStyle name="集計 2 3 6 3" xfId="1489" xr:uid="{00000000-0005-0000-0000-00006C100000}"/>
    <cellStyle name="集計 2 3 6 3 2" xfId="4453" xr:uid="{00000000-0005-0000-0000-00006D100000}"/>
    <cellStyle name="集計 2 3 6 3 2 2" xfId="9975" xr:uid="{00000000-0005-0000-0000-00006E100000}"/>
    <cellStyle name="集計 2 3 6 3 3" xfId="3421" xr:uid="{00000000-0005-0000-0000-00006F100000}"/>
    <cellStyle name="集計 2 3 6 3 3 2" xfId="8969" xr:uid="{00000000-0005-0000-0000-000070100000}"/>
    <cellStyle name="集計 2 3 6 3 4" xfId="7195" xr:uid="{00000000-0005-0000-0000-000071100000}"/>
    <cellStyle name="集計 2 3 6 4" xfId="6184" xr:uid="{00000000-0005-0000-0000-000072100000}"/>
    <cellStyle name="集計 2 3 7" xfId="666" xr:uid="{00000000-0005-0000-0000-000073100000}"/>
    <cellStyle name="集計 2 3 7 2" xfId="1772" xr:uid="{00000000-0005-0000-0000-000074100000}"/>
    <cellStyle name="集計 2 3 7 2 2" xfId="4681" xr:uid="{00000000-0005-0000-0000-000075100000}"/>
    <cellStyle name="集計 2 3 7 2 2 2" xfId="10181" xr:uid="{00000000-0005-0000-0000-000076100000}"/>
    <cellStyle name="集計 2 3 7 2 3" xfId="3422" xr:uid="{00000000-0005-0000-0000-000077100000}"/>
    <cellStyle name="集計 2 3 7 2 3 2" xfId="8970" xr:uid="{00000000-0005-0000-0000-000078100000}"/>
    <cellStyle name="集計 2 3 7 2 4" xfId="7456" xr:uid="{00000000-0005-0000-0000-000079100000}"/>
    <cellStyle name="集計 2 3 7 3" xfId="6447" xr:uid="{00000000-0005-0000-0000-00007A100000}"/>
    <cellStyle name="集計 2 3 8" xfId="1265" xr:uid="{00000000-0005-0000-0000-00007B100000}"/>
    <cellStyle name="集計 2 3 8 2" xfId="4229" xr:uid="{00000000-0005-0000-0000-00007C100000}"/>
    <cellStyle name="集計 2 3 8 2 2" xfId="9773" xr:uid="{00000000-0005-0000-0000-00007D100000}"/>
    <cellStyle name="集計 2 3 8 3" xfId="3423" xr:uid="{00000000-0005-0000-0000-00007E100000}"/>
    <cellStyle name="集計 2 3 8 3 2" xfId="8971" xr:uid="{00000000-0005-0000-0000-00007F100000}"/>
    <cellStyle name="集計 2 3 8 4" xfId="6993" xr:uid="{00000000-0005-0000-0000-000080100000}"/>
    <cellStyle name="集計 2 3 9" xfId="5982" xr:uid="{00000000-0005-0000-0000-000081100000}"/>
    <cellStyle name="集計 2 4" xfId="159" xr:uid="{00000000-0005-0000-0000-000082100000}"/>
    <cellStyle name="集計 2 4 2" xfId="191" xr:uid="{00000000-0005-0000-0000-000083100000}"/>
    <cellStyle name="集計 2 4 2 2" xfId="262" xr:uid="{00000000-0005-0000-0000-000084100000}"/>
    <cellStyle name="集計 2 4 2 2 2" xfId="484" xr:uid="{00000000-0005-0000-0000-000085100000}"/>
    <cellStyle name="集計 2 4 2 2 2 2" xfId="993" xr:uid="{00000000-0005-0000-0000-000086100000}"/>
    <cellStyle name="集計 2 4 2 2 2 2 2" xfId="2099" xr:uid="{00000000-0005-0000-0000-000087100000}"/>
    <cellStyle name="集計 2 4 2 2 2 2 2 2" xfId="5008" xr:uid="{00000000-0005-0000-0000-000088100000}"/>
    <cellStyle name="集計 2 4 2 2 2 2 2 2 2" xfId="10477" xr:uid="{00000000-0005-0000-0000-000089100000}"/>
    <cellStyle name="集計 2 4 2 2 2 2 2 3" xfId="3424" xr:uid="{00000000-0005-0000-0000-00008A100000}"/>
    <cellStyle name="集計 2 4 2 2 2 2 2 3 2" xfId="8972" xr:uid="{00000000-0005-0000-0000-00008B100000}"/>
    <cellStyle name="集計 2 4 2 2 2 2 2 4" xfId="7752" xr:uid="{00000000-0005-0000-0000-00008C100000}"/>
    <cellStyle name="集計 2 4 2 2 2 2 3" xfId="6743" xr:uid="{00000000-0005-0000-0000-00008D100000}"/>
    <cellStyle name="集計 2 4 2 2 2 3" xfId="1592" xr:uid="{00000000-0005-0000-0000-00008E100000}"/>
    <cellStyle name="集計 2 4 2 2 2 3 2" xfId="4556" xr:uid="{00000000-0005-0000-0000-00008F100000}"/>
    <cellStyle name="集計 2 4 2 2 2 3 2 2" xfId="10069" xr:uid="{00000000-0005-0000-0000-000090100000}"/>
    <cellStyle name="集計 2 4 2 2 2 3 3" xfId="3425" xr:uid="{00000000-0005-0000-0000-000091100000}"/>
    <cellStyle name="集計 2 4 2 2 2 3 3 2" xfId="8973" xr:uid="{00000000-0005-0000-0000-000092100000}"/>
    <cellStyle name="集計 2 4 2 2 2 3 4" xfId="7289" xr:uid="{00000000-0005-0000-0000-000093100000}"/>
    <cellStyle name="集計 2 4 2 2 2 4" xfId="6278" xr:uid="{00000000-0005-0000-0000-000094100000}"/>
    <cellStyle name="集計 2 4 2 2 3" xfId="771" xr:uid="{00000000-0005-0000-0000-000095100000}"/>
    <cellStyle name="集計 2 4 2 2 3 2" xfId="1877" xr:uid="{00000000-0005-0000-0000-000096100000}"/>
    <cellStyle name="集計 2 4 2 2 3 2 2" xfId="4786" xr:uid="{00000000-0005-0000-0000-000097100000}"/>
    <cellStyle name="集計 2 4 2 2 3 2 2 2" xfId="10277" xr:uid="{00000000-0005-0000-0000-000098100000}"/>
    <cellStyle name="集計 2 4 2 2 3 2 3" xfId="3426" xr:uid="{00000000-0005-0000-0000-000099100000}"/>
    <cellStyle name="集計 2 4 2 2 3 2 3 2" xfId="8974" xr:uid="{00000000-0005-0000-0000-00009A100000}"/>
    <cellStyle name="集計 2 4 2 2 3 2 4" xfId="7552" xr:uid="{00000000-0005-0000-0000-00009B100000}"/>
    <cellStyle name="集計 2 4 2 2 3 3" xfId="6543" xr:uid="{00000000-0005-0000-0000-00009C100000}"/>
    <cellStyle name="集計 2 4 2 2 4" xfId="1370" xr:uid="{00000000-0005-0000-0000-00009D100000}"/>
    <cellStyle name="集計 2 4 2 2 4 2" xfId="4334" xr:uid="{00000000-0005-0000-0000-00009E100000}"/>
    <cellStyle name="集計 2 4 2 2 4 2 2" xfId="9869" xr:uid="{00000000-0005-0000-0000-00009F100000}"/>
    <cellStyle name="集計 2 4 2 2 4 3" xfId="3427" xr:uid="{00000000-0005-0000-0000-0000A0100000}"/>
    <cellStyle name="集計 2 4 2 2 4 3 2" xfId="8975" xr:uid="{00000000-0005-0000-0000-0000A1100000}"/>
    <cellStyle name="集計 2 4 2 2 4 4" xfId="7089" xr:uid="{00000000-0005-0000-0000-0000A2100000}"/>
    <cellStyle name="集計 2 4 2 2 5" xfId="6078" xr:uid="{00000000-0005-0000-0000-0000A3100000}"/>
    <cellStyle name="集計 2 4 2 3" xfId="327" xr:uid="{00000000-0005-0000-0000-0000A4100000}"/>
    <cellStyle name="集計 2 4 2 3 2" xfId="549" xr:uid="{00000000-0005-0000-0000-0000A5100000}"/>
    <cellStyle name="集計 2 4 2 3 2 2" xfId="1058" xr:uid="{00000000-0005-0000-0000-0000A6100000}"/>
    <cellStyle name="集計 2 4 2 3 2 2 2" xfId="2164" xr:uid="{00000000-0005-0000-0000-0000A7100000}"/>
    <cellStyle name="集計 2 4 2 3 2 2 2 2" xfId="5073" xr:uid="{00000000-0005-0000-0000-0000A8100000}"/>
    <cellStyle name="集計 2 4 2 3 2 2 2 2 2" xfId="10536" xr:uid="{00000000-0005-0000-0000-0000A9100000}"/>
    <cellStyle name="集計 2 4 2 3 2 2 2 3" xfId="3428" xr:uid="{00000000-0005-0000-0000-0000AA100000}"/>
    <cellStyle name="集計 2 4 2 3 2 2 2 3 2" xfId="8976" xr:uid="{00000000-0005-0000-0000-0000AB100000}"/>
    <cellStyle name="集計 2 4 2 3 2 2 2 4" xfId="7811" xr:uid="{00000000-0005-0000-0000-0000AC100000}"/>
    <cellStyle name="集計 2 4 2 3 2 2 3" xfId="6802" xr:uid="{00000000-0005-0000-0000-0000AD100000}"/>
    <cellStyle name="集計 2 4 2 3 2 3" xfId="1657" xr:uid="{00000000-0005-0000-0000-0000AE100000}"/>
    <cellStyle name="集計 2 4 2 3 2 3 2" xfId="4621" xr:uid="{00000000-0005-0000-0000-0000AF100000}"/>
    <cellStyle name="集計 2 4 2 3 2 3 2 2" xfId="10128" xr:uid="{00000000-0005-0000-0000-0000B0100000}"/>
    <cellStyle name="集計 2 4 2 3 2 3 3" xfId="3429" xr:uid="{00000000-0005-0000-0000-0000B1100000}"/>
    <cellStyle name="集計 2 4 2 3 2 3 3 2" xfId="8977" xr:uid="{00000000-0005-0000-0000-0000B2100000}"/>
    <cellStyle name="集計 2 4 2 3 2 3 4" xfId="7348" xr:uid="{00000000-0005-0000-0000-0000B3100000}"/>
    <cellStyle name="集計 2 4 2 3 2 4" xfId="6337" xr:uid="{00000000-0005-0000-0000-0000B4100000}"/>
    <cellStyle name="集計 2 4 2 3 3" xfId="836" xr:uid="{00000000-0005-0000-0000-0000B5100000}"/>
    <cellStyle name="集計 2 4 2 3 3 2" xfId="1942" xr:uid="{00000000-0005-0000-0000-0000B6100000}"/>
    <cellStyle name="集計 2 4 2 3 3 2 2" xfId="4851" xr:uid="{00000000-0005-0000-0000-0000B7100000}"/>
    <cellStyle name="集計 2 4 2 3 3 2 2 2" xfId="10336" xr:uid="{00000000-0005-0000-0000-0000B8100000}"/>
    <cellStyle name="集計 2 4 2 3 3 2 3" xfId="3430" xr:uid="{00000000-0005-0000-0000-0000B9100000}"/>
    <cellStyle name="集計 2 4 2 3 3 2 3 2" xfId="8978" xr:uid="{00000000-0005-0000-0000-0000BA100000}"/>
    <cellStyle name="集計 2 4 2 3 3 2 4" xfId="7611" xr:uid="{00000000-0005-0000-0000-0000BB100000}"/>
    <cellStyle name="集計 2 4 2 3 3 3" xfId="6602" xr:uid="{00000000-0005-0000-0000-0000BC100000}"/>
    <cellStyle name="集計 2 4 2 3 4" xfId="1435" xr:uid="{00000000-0005-0000-0000-0000BD100000}"/>
    <cellStyle name="集計 2 4 2 3 4 2" xfId="4399" xr:uid="{00000000-0005-0000-0000-0000BE100000}"/>
    <cellStyle name="集計 2 4 2 3 4 2 2" xfId="9928" xr:uid="{00000000-0005-0000-0000-0000BF100000}"/>
    <cellStyle name="集計 2 4 2 3 4 3" xfId="3431" xr:uid="{00000000-0005-0000-0000-0000C0100000}"/>
    <cellStyle name="集計 2 4 2 3 4 3 2" xfId="8979" xr:uid="{00000000-0005-0000-0000-0000C1100000}"/>
    <cellStyle name="集計 2 4 2 3 4 4" xfId="7148" xr:uid="{00000000-0005-0000-0000-0000C2100000}"/>
    <cellStyle name="集計 2 4 2 3 5" xfId="6137" xr:uid="{00000000-0005-0000-0000-0000C3100000}"/>
    <cellStyle name="集計 2 4 2 4" xfId="413" xr:uid="{00000000-0005-0000-0000-0000C4100000}"/>
    <cellStyle name="集計 2 4 2 4 2" xfId="922" xr:uid="{00000000-0005-0000-0000-0000C5100000}"/>
    <cellStyle name="集計 2 4 2 4 2 2" xfId="2028" xr:uid="{00000000-0005-0000-0000-0000C6100000}"/>
    <cellStyle name="集計 2 4 2 4 2 2 2" xfId="4937" xr:uid="{00000000-0005-0000-0000-0000C7100000}"/>
    <cellStyle name="集計 2 4 2 4 2 2 2 2" xfId="10411" xr:uid="{00000000-0005-0000-0000-0000C8100000}"/>
    <cellStyle name="集計 2 4 2 4 2 2 3" xfId="3432" xr:uid="{00000000-0005-0000-0000-0000C9100000}"/>
    <cellStyle name="集計 2 4 2 4 2 2 3 2" xfId="8980" xr:uid="{00000000-0005-0000-0000-0000CA100000}"/>
    <cellStyle name="集計 2 4 2 4 2 2 4" xfId="7686" xr:uid="{00000000-0005-0000-0000-0000CB100000}"/>
    <cellStyle name="集計 2 4 2 4 2 3" xfId="6677" xr:uid="{00000000-0005-0000-0000-0000CC100000}"/>
    <cellStyle name="集計 2 4 2 4 3" xfId="1521" xr:uid="{00000000-0005-0000-0000-0000CD100000}"/>
    <cellStyle name="集計 2 4 2 4 3 2" xfId="4485" xr:uid="{00000000-0005-0000-0000-0000CE100000}"/>
    <cellStyle name="集計 2 4 2 4 3 2 2" xfId="10003" xr:uid="{00000000-0005-0000-0000-0000CF100000}"/>
    <cellStyle name="集計 2 4 2 4 3 3" xfId="3433" xr:uid="{00000000-0005-0000-0000-0000D0100000}"/>
    <cellStyle name="集計 2 4 2 4 3 3 2" xfId="8981" xr:uid="{00000000-0005-0000-0000-0000D1100000}"/>
    <cellStyle name="集計 2 4 2 4 3 4" xfId="7223" xr:uid="{00000000-0005-0000-0000-0000D2100000}"/>
    <cellStyle name="集計 2 4 2 4 4" xfId="6212" xr:uid="{00000000-0005-0000-0000-0000D3100000}"/>
    <cellStyle name="集計 2 4 2 5" xfId="700" xr:uid="{00000000-0005-0000-0000-0000D4100000}"/>
    <cellStyle name="集計 2 4 2 5 2" xfId="1806" xr:uid="{00000000-0005-0000-0000-0000D5100000}"/>
    <cellStyle name="集計 2 4 2 5 2 2" xfId="4715" xr:uid="{00000000-0005-0000-0000-0000D6100000}"/>
    <cellStyle name="集計 2 4 2 5 2 2 2" xfId="10211" xr:uid="{00000000-0005-0000-0000-0000D7100000}"/>
    <cellStyle name="集計 2 4 2 5 2 3" xfId="3434" xr:uid="{00000000-0005-0000-0000-0000D8100000}"/>
    <cellStyle name="集計 2 4 2 5 2 3 2" xfId="8982" xr:uid="{00000000-0005-0000-0000-0000D9100000}"/>
    <cellStyle name="集計 2 4 2 5 2 4" xfId="7486" xr:uid="{00000000-0005-0000-0000-0000DA100000}"/>
    <cellStyle name="集計 2 4 2 5 3" xfId="6477" xr:uid="{00000000-0005-0000-0000-0000DB100000}"/>
    <cellStyle name="集計 2 4 2 6" xfId="1299" xr:uid="{00000000-0005-0000-0000-0000DC100000}"/>
    <cellStyle name="集計 2 4 2 6 2" xfId="4263" xr:uid="{00000000-0005-0000-0000-0000DD100000}"/>
    <cellStyle name="集計 2 4 2 6 2 2" xfId="9803" xr:uid="{00000000-0005-0000-0000-0000DE100000}"/>
    <cellStyle name="集計 2 4 2 6 3" xfId="3435" xr:uid="{00000000-0005-0000-0000-0000DF100000}"/>
    <cellStyle name="集計 2 4 2 6 3 2" xfId="8983" xr:uid="{00000000-0005-0000-0000-0000E0100000}"/>
    <cellStyle name="集計 2 4 2 6 4" xfId="7023" xr:uid="{00000000-0005-0000-0000-0000E1100000}"/>
    <cellStyle name="集計 2 4 2 7" xfId="6012" xr:uid="{00000000-0005-0000-0000-0000E2100000}"/>
    <cellStyle name="集計 2 4 3" xfId="211" xr:uid="{00000000-0005-0000-0000-0000E3100000}"/>
    <cellStyle name="集計 2 4 3 2" xfId="280" xr:uid="{00000000-0005-0000-0000-0000E4100000}"/>
    <cellStyle name="集計 2 4 3 2 2" xfId="502" xr:uid="{00000000-0005-0000-0000-0000E5100000}"/>
    <cellStyle name="集計 2 4 3 2 2 2" xfId="1011" xr:uid="{00000000-0005-0000-0000-0000E6100000}"/>
    <cellStyle name="集計 2 4 3 2 2 2 2" xfId="2117" xr:uid="{00000000-0005-0000-0000-0000E7100000}"/>
    <cellStyle name="集計 2 4 3 2 2 2 2 2" xfId="5026" xr:uid="{00000000-0005-0000-0000-0000E8100000}"/>
    <cellStyle name="集計 2 4 3 2 2 2 2 2 2" xfId="10494" xr:uid="{00000000-0005-0000-0000-0000E9100000}"/>
    <cellStyle name="集計 2 4 3 2 2 2 2 3" xfId="3436" xr:uid="{00000000-0005-0000-0000-0000EA100000}"/>
    <cellStyle name="集計 2 4 3 2 2 2 2 3 2" xfId="8984" xr:uid="{00000000-0005-0000-0000-0000EB100000}"/>
    <cellStyle name="集計 2 4 3 2 2 2 2 4" xfId="7769" xr:uid="{00000000-0005-0000-0000-0000EC100000}"/>
    <cellStyle name="集計 2 4 3 2 2 2 3" xfId="6760" xr:uid="{00000000-0005-0000-0000-0000ED100000}"/>
    <cellStyle name="集計 2 4 3 2 2 3" xfId="1610" xr:uid="{00000000-0005-0000-0000-0000EE100000}"/>
    <cellStyle name="集計 2 4 3 2 2 3 2" xfId="4574" xr:uid="{00000000-0005-0000-0000-0000EF100000}"/>
    <cellStyle name="集計 2 4 3 2 2 3 2 2" xfId="10086" xr:uid="{00000000-0005-0000-0000-0000F0100000}"/>
    <cellStyle name="集計 2 4 3 2 2 3 3" xfId="3437" xr:uid="{00000000-0005-0000-0000-0000F1100000}"/>
    <cellStyle name="集計 2 4 3 2 2 3 3 2" xfId="8985" xr:uid="{00000000-0005-0000-0000-0000F2100000}"/>
    <cellStyle name="集計 2 4 3 2 2 3 4" xfId="7306" xr:uid="{00000000-0005-0000-0000-0000F3100000}"/>
    <cellStyle name="集計 2 4 3 2 2 4" xfId="6295" xr:uid="{00000000-0005-0000-0000-0000F4100000}"/>
    <cellStyle name="集計 2 4 3 2 3" xfId="789" xr:uid="{00000000-0005-0000-0000-0000F5100000}"/>
    <cellStyle name="集計 2 4 3 2 3 2" xfId="1895" xr:uid="{00000000-0005-0000-0000-0000F6100000}"/>
    <cellStyle name="集計 2 4 3 2 3 2 2" xfId="4804" xr:uid="{00000000-0005-0000-0000-0000F7100000}"/>
    <cellStyle name="集計 2 4 3 2 3 2 2 2" xfId="10294" xr:uid="{00000000-0005-0000-0000-0000F8100000}"/>
    <cellStyle name="集計 2 4 3 2 3 2 3" xfId="3438" xr:uid="{00000000-0005-0000-0000-0000F9100000}"/>
    <cellStyle name="集計 2 4 3 2 3 2 3 2" xfId="8986" xr:uid="{00000000-0005-0000-0000-0000FA100000}"/>
    <cellStyle name="集計 2 4 3 2 3 2 4" xfId="7569" xr:uid="{00000000-0005-0000-0000-0000FB100000}"/>
    <cellStyle name="集計 2 4 3 2 3 3" xfId="6560" xr:uid="{00000000-0005-0000-0000-0000FC100000}"/>
    <cellStyle name="集計 2 4 3 2 4" xfId="1388" xr:uid="{00000000-0005-0000-0000-0000FD100000}"/>
    <cellStyle name="集計 2 4 3 2 4 2" xfId="4352" xr:uid="{00000000-0005-0000-0000-0000FE100000}"/>
    <cellStyle name="集計 2 4 3 2 4 2 2" xfId="9886" xr:uid="{00000000-0005-0000-0000-0000FF100000}"/>
    <cellStyle name="集計 2 4 3 2 4 3" xfId="3439" xr:uid="{00000000-0005-0000-0000-000000110000}"/>
    <cellStyle name="集計 2 4 3 2 4 3 2" xfId="8987" xr:uid="{00000000-0005-0000-0000-000001110000}"/>
    <cellStyle name="集計 2 4 3 2 4 4" xfId="7106" xr:uid="{00000000-0005-0000-0000-000002110000}"/>
    <cellStyle name="集計 2 4 3 2 5" xfId="6095" xr:uid="{00000000-0005-0000-0000-000003110000}"/>
    <cellStyle name="集計 2 4 3 3" xfId="347" xr:uid="{00000000-0005-0000-0000-000004110000}"/>
    <cellStyle name="集計 2 4 3 3 2" xfId="569" xr:uid="{00000000-0005-0000-0000-000005110000}"/>
    <cellStyle name="集計 2 4 3 3 2 2" xfId="1078" xr:uid="{00000000-0005-0000-0000-000006110000}"/>
    <cellStyle name="集計 2 4 3 3 2 2 2" xfId="2184" xr:uid="{00000000-0005-0000-0000-000007110000}"/>
    <cellStyle name="集計 2 4 3 3 2 2 2 2" xfId="5093" xr:uid="{00000000-0005-0000-0000-000008110000}"/>
    <cellStyle name="集計 2 4 3 3 2 2 2 2 2" xfId="10553" xr:uid="{00000000-0005-0000-0000-000009110000}"/>
    <cellStyle name="集計 2 4 3 3 2 2 2 3" xfId="3440" xr:uid="{00000000-0005-0000-0000-00000A110000}"/>
    <cellStyle name="集計 2 4 3 3 2 2 2 3 2" xfId="8988" xr:uid="{00000000-0005-0000-0000-00000B110000}"/>
    <cellStyle name="集計 2 4 3 3 2 2 2 4" xfId="7828" xr:uid="{00000000-0005-0000-0000-00000C110000}"/>
    <cellStyle name="集計 2 4 3 3 2 2 3" xfId="6819" xr:uid="{00000000-0005-0000-0000-00000D110000}"/>
    <cellStyle name="集計 2 4 3 3 2 3" xfId="1677" xr:uid="{00000000-0005-0000-0000-00000E110000}"/>
    <cellStyle name="集計 2 4 3 3 2 3 2" xfId="4641" xr:uid="{00000000-0005-0000-0000-00000F110000}"/>
    <cellStyle name="集計 2 4 3 3 2 3 2 2" xfId="10145" xr:uid="{00000000-0005-0000-0000-000010110000}"/>
    <cellStyle name="集計 2 4 3 3 2 3 3" xfId="3441" xr:uid="{00000000-0005-0000-0000-000011110000}"/>
    <cellStyle name="集計 2 4 3 3 2 3 3 2" xfId="8989" xr:uid="{00000000-0005-0000-0000-000012110000}"/>
    <cellStyle name="集計 2 4 3 3 2 3 4" xfId="7365" xr:uid="{00000000-0005-0000-0000-000013110000}"/>
    <cellStyle name="集計 2 4 3 3 2 4" xfId="6354" xr:uid="{00000000-0005-0000-0000-000014110000}"/>
    <cellStyle name="集計 2 4 3 3 3" xfId="856" xr:uid="{00000000-0005-0000-0000-000015110000}"/>
    <cellStyle name="集計 2 4 3 3 3 2" xfId="1962" xr:uid="{00000000-0005-0000-0000-000016110000}"/>
    <cellStyle name="集計 2 4 3 3 3 2 2" xfId="4871" xr:uid="{00000000-0005-0000-0000-000017110000}"/>
    <cellStyle name="集計 2 4 3 3 3 2 2 2" xfId="10353" xr:uid="{00000000-0005-0000-0000-000018110000}"/>
    <cellStyle name="集計 2 4 3 3 3 2 3" xfId="3442" xr:uid="{00000000-0005-0000-0000-000019110000}"/>
    <cellStyle name="集計 2 4 3 3 3 2 3 2" xfId="8990" xr:uid="{00000000-0005-0000-0000-00001A110000}"/>
    <cellStyle name="集計 2 4 3 3 3 2 4" xfId="7628" xr:uid="{00000000-0005-0000-0000-00001B110000}"/>
    <cellStyle name="集計 2 4 3 3 3 3" xfId="6619" xr:uid="{00000000-0005-0000-0000-00001C110000}"/>
    <cellStyle name="集計 2 4 3 3 4" xfId="1455" xr:uid="{00000000-0005-0000-0000-00001D110000}"/>
    <cellStyle name="集計 2 4 3 3 4 2" xfId="4419" xr:uid="{00000000-0005-0000-0000-00001E110000}"/>
    <cellStyle name="集計 2 4 3 3 4 2 2" xfId="9945" xr:uid="{00000000-0005-0000-0000-00001F110000}"/>
    <cellStyle name="集計 2 4 3 3 4 3" xfId="3443" xr:uid="{00000000-0005-0000-0000-000020110000}"/>
    <cellStyle name="集計 2 4 3 3 4 3 2" xfId="8991" xr:uid="{00000000-0005-0000-0000-000021110000}"/>
    <cellStyle name="集計 2 4 3 3 4 4" xfId="7165" xr:uid="{00000000-0005-0000-0000-000022110000}"/>
    <cellStyle name="集計 2 4 3 3 5" xfId="6154" xr:uid="{00000000-0005-0000-0000-000023110000}"/>
    <cellStyle name="集計 2 4 3 4" xfId="433" xr:uid="{00000000-0005-0000-0000-000024110000}"/>
    <cellStyle name="集計 2 4 3 4 2" xfId="942" xr:uid="{00000000-0005-0000-0000-000025110000}"/>
    <cellStyle name="集計 2 4 3 4 2 2" xfId="2048" xr:uid="{00000000-0005-0000-0000-000026110000}"/>
    <cellStyle name="集計 2 4 3 4 2 2 2" xfId="4957" xr:uid="{00000000-0005-0000-0000-000027110000}"/>
    <cellStyle name="集計 2 4 3 4 2 2 2 2" xfId="10428" xr:uid="{00000000-0005-0000-0000-000028110000}"/>
    <cellStyle name="集計 2 4 3 4 2 2 3" xfId="3444" xr:uid="{00000000-0005-0000-0000-000029110000}"/>
    <cellStyle name="集計 2 4 3 4 2 2 3 2" xfId="8992" xr:uid="{00000000-0005-0000-0000-00002A110000}"/>
    <cellStyle name="集計 2 4 3 4 2 2 4" xfId="7703" xr:uid="{00000000-0005-0000-0000-00002B110000}"/>
    <cellStyle name="集計 2 4 3 4 2 3" xfId="6694" xr:uid="{00000000-0005-0000-0000-00002C110000}"/>
    <cellStyle name="集計 2 4 3 4 3" xfId="1541" xr:uid="{00000000-0005-0000-0000-00002D110000}"/>
    <cellStyle name="集計 2 4 3 4 3 2" xfId="4505" xr:uid="{00000000-0005-0000-0000-00002E110000}"/>
    <cellStyle name="集計 2 4 3 4 3 2 2" xfId="10020" xr:uid="{00000000-0005-0000-0000-00002F110000}"/>
    <cellStyle name="集計 2 4 3 4 3 3" xfId="3445" xr:uid="{00000000-0005-0000-0000-000030110000}"/>
    <cellStyle name="集計 2 4 3 4 3 3 2" xfId="8993" xr:uid="{00000000-0005-0000-0000-000031110000}"/>
    <cellStyle name="集計 2 4 3 4 3 4" xfId="7240" xr:uid="{00000000-0005-0000-0000-000032110000}"/>
    <cellStyle name="集計 2 4 3 4 4" xfId="6229" xr:uid="{00000000-0005-0000-0000-000033110000}"/>
    <cellStyle name="集計 2 4 3 5" xfId="720" xr:uid="{00000000-0005-0000-0000-000034110000}"/>
    <cellStyle name="集計 2 4 3 5 2" xfId="1826" xr:uid="{00000000-0005-0000-0000-000035110000}"/>
    <cellStyle name="集計 2 4 3 5 2 2" xfId="4735" xr:uid="{00000000-0005-0000-0000-000036110000}"/>
    <cellStyle name="集計 2 4 3 5 2 2 2" xfId="10228" xr:uid="{00000000-0005-0000-0000-000037110000}"/>
    <cellStyle name="集計 2 4 3 5 2 3" xfId="3446" xr:uid="{00000000-0005-0000-0000-000038110000}"/>
    <cellStyle name="集計 2 4 3 5 2 3 2" xfId="8994" xr:uid="{00000000-0005-0000-0000-000039110000}"/>
    <cellStyle name="集計 2 4 3 5 2 4" xfId="7503" xr:uid="{00000000-0005-0000-0000-00003A110000}"/>
    <cellStyle name="集計 2 4 3 5 3" xfId="6494" xr:uid="{00000000-0005-0000-0000-00003B110000}"/>
    <cellStyle name="集計 2 4 3 6" xfId="1319" xr:uid="{00000000-0005-0000-0000-00003C110000}"/>
    <cellStyle name="集計 2 4 3 6 2" xfId="4283" xr:uid="{00000000-0005-0000-0000-00003D110000}"/>
    <cellStyle name="集計 2 4 3 6 2 2" xfId="9820" xr:uid="{00000000-0005-0000-0000-00003E110000}"/>
    <cellStyle name="集計 2 4 3 6 3" xfId="3447" xr:uid="{00000000-0005-0000-0000-00003F110000}"/>
    <cellStyle name="集計 2 4 3 6 3 2" xfId="8995" xr:uid="{00000000-0005-0000-0000-000040110000}"/>
    <cellStyle name="集計 2 4 3 6 4" xfId="7040" xr:uid="{00000000-0005-0000-0000-000041110000}"/>
    <cellStyle name="集計 2 4 3 7" xfId="6029" xr:uid="{00000000-0005-0000-0000-000042110000}"/>
    <cellStyle name="集計 2 4 4" xfId="237" xr:uid="{00000000-0005-0000-0000-000043110000}"/>
    <cellStyle name="集計 2 4 4 2" xfId="459" xr:uid="{00000000-0005-0000-0000-000044110000}"/>
    <cellStyle name="集計 2 4 4 2 2" xfId="968" xr:uid="{00000000-0005-0000-0000-000045110000}"/>
    <cellStyle name="集計 2 4 4 2 2 2" xfId="2074" xr:uid="{00000000-0005-0000-0000-000046110000}"/>
    <cellStyle name="集計 2 4 4 2 2 2 2" xfId="4983" xr:uid="{00000000-0005-0000-0000-000047110000}"/>
    <cellStyle name="集計 2 4 4 2 2 2 2 2" xfId="10453" xr:uid="{00000000-0005-0000-0000-000048110000}"/>
    <cellStyle name="集計 2 4 4 2 2 2 3" xfId="3448" xr:uid="{00000000-0005-0000-0000-000049110000}"/>
    <cellStyle name="集計 2 4 4 2 2 2 3 2" xfId="8996" xr:uid="{00000000-0005-0000-0000-00004A110000}"/>
    <cellStyle name="集計 2 4 4 2 2 2 4" xfId="7728" xr:uid="{00000000-0005-0000-0000-00004B110000}"/>
    <cellStyle name="集計 2 4 4 2 2 3" xfId="6719" xr:uid="{00000000-0005-0000-0000-00004C110000}"/>
    <cellStyle name="集計 2 4 4 2 3" xfId="1567" xr:uid="{00000000-0005-0000-0000-00004D110000}"/>
    <cellStyle name="集計 2 4 4 2 3 2" xfId="4531" xr:uid="{00000000-0005-0000-0000-00004E110000}"/>
    <cellStyle name="集計 2 4 4 2 3 2 2" xfId="10045" xr:uid="{00000000-0005-0000-0000-00004F110000}"/>
    <cellStyle name="集計 2 4 4 2 3 3" xfId="3449" xr:uid="{00000000-0005-0000-0000-000050110000}"/>
    <cellStyle name="集計 2 4 4 2 3 3 2" xfId="8997" xr:uid="{00000000-0005-0000-0000-000051110000}"/>
    <cellStyle name="集計 2 4 4 2 3 4" xfId="7265" xr:uid="{00000000-0005-0000-0000-000052110000}"/>
    <cellStyle name="集計 2 4 4 2 4" xfId="6254" xr:uid="{00000000-0005-0000-0000-000053110000}"/>
    <cellStyle name="集計 2 4 4 3" xfId="746" xr:uid="{00000000-0005-0000-0000-000054110000}"/>
    <cellStyle name="集計 2 4 4 3 2" xfId="1852" xr:uid="{00000000-0005-0000-0000-000055110000}"/>
    <cellStyle name="集計 2 4 4 3 2 2" xfId="4761" xr:uid="{00000000-0005-0000-0000-000056110000}"/>
    <cellStyle name="集計 2 4 4 3 2 2 2" xfId="10253" xr:uid="{00000000-0005-0000-0000-000057110000}"/>
    <cellStyle name="集計 2 4 4 3 2 3" xfId="3450" xr:uid="{00000000-0005-0000-0000-000058110000}"/>
    <cellStyle name="集計 2 4 4 3 2 3 2" xfId="8998" xr:uid="{00000000-0005-0000-0000-000059110000}"/>
    <cellStyle name="集計 2 4 4 3 2 4" xfId="7528" xr:uid="{00000000-0005-0000-0000-00005A110000}"/>
    <cellStyle name="集計 2 4 4 3 3" xfId="6519" xr:uid="{00000000-0005-0000-0000-00005B110000}"/>
    <cellStyle name="集計 2 4 4 4" xfId="1345" xr:uid="{00000000-0005-0000-0000-00005C110000}"/>
    <cellStyle name="集計 2 4 4 4 2" xfId="4309" xr:uid="{00000000-0005-0000-0000-00005D110000}"/>
    <cellStyle name="集計 2 4 4 4 2 2" xfId="9845" xr:uid="{00000000-0005-0000-0000-00005E110000}"/>
    <cellStyle name="集計 2 4 4 4 3" xfId="3451" xr:uid="{00000000-0005-0000-0000-00005F110000}"/>
    <cellStyle name="集計 2 4 4 4 3 2" xfId="8999" xr:uid="{00000000-0005-0000-0000-000060110000}"/>
    <cellStyle name="集計 2 4 4 4 4" xfId="7065" xr:uid="{00000000-0005-0000-0000-000061110000}"/>
    <cellStyle name="集計 2 4 4 5" xfId="6054" xr:uid="{00000000-0005-0000-0000-000062110000}"/>
    <cellStyle name="集計 2 4 5" xfId="300" xr:uid="{00000000-0005-0000-0000-000063110000}"/>
    <cellStyle name="集計 2 4 5 2" xfId="522" xr:uid="{00000000-0005-0000-0000-000064110000}"/>
    <cellStyle name="集計 2 4 5 2 2" xfId="1031" xr:uid="{00000000-0005-0000-0000-000065110000}"/>
    <cellStyle name="集計 2 4 5 2 2 2" xfId="2137" xr:uid="{00000000-0005-0000-0000-000066110000}"/>
    <cellStyle name="集計 2 4 5 2 2 2 2" xfId="5046" xr:uid="{00000000-0005-0000-0000-000067110000}"/>
    <cellStyle name="集計 2 4 5 2 2 2 2 2" xfId="10512" xr:uid="{00000000-0005-0000-0000-000068110000}"/>
    <cellStyle name="集計 2 4 5 2 2 2 3" xfId="3452" xr:uid="{00000000-0005-0000-0000-000069110000}"/>
    <cellStyle name="集計 2 4 5 2 2 2 3 2" xfId="9000" xr:uid="{00000000-0005-0000-0000-00006A110000}"/>
    <cellStyle name="集計 2 4 5 2 2 2 4" xfId="7787" xr:uid="{00000000-0005-0000-0000-00006B110000}"/>
    <cellStyle name="集計 2 4 5 2 2 3" xfId="6778" xr:uid="{00000000-0005-0000-0000-00006C110000}"/>
    <cellStyle name="集計 2 4 5 2 3" xfId="1630" xr:uid="{00000000-0005-0000-0000-00006D110000}"/>
    <cellStyle name="集計 2 4 5 2 3 2" xfId="4594" xr:uid="{00000000-0005-0000-0000-00006E110000}"/>
    <cellStyle name="集計 2 4 5 2 3 2 2" xfId="10104" xr:uid="{00000000-0005-0000-0000-00006F110000}"/>
    <cellStyle name="集計 2 4 5 2 3 3" xfId="3453" xr:uid="{00000000-0005-0000-0000-000070110000}"/>
    <cellStyle name="集計 2 4 5 2 3 3 2" xfId="9001" xr:uid="{00000000-0005-0000-0000-000071110000}"/>
    <cellStyle name="集計 2 4 5 2 3 4" xfId="7324" xr:uid="{00000000-0005-0000-0000-000072110000}"/>
    <cellStyle name="集計 2 4 5 2 4" xfId="6313" xr:uid="{00000000-0005-0000-0000-000073110000}"/>
    <cellStyle name="集計 2 4 5 3" xfId="809" xr:uid="{00000000-0005-0000-0000-000074110000}"/>
    <cellStyle name="集計 2 4 5 3 2" xfId="1915" xr:uid="{00000000-0005-0000-0000-000075110000}"/>
    <cellStyle name="集計 2 4 5 3 2 2" xfId="4824" xr:uid="{00000000-0005-0000-0000-000076110000}"/>
    <cellStyle name="集計 2 4 5 3 2 2 2" xfId="10312" xr:uid="{00000000-0005-0000-0000-000077110000}"/>
    <cellStyle name="集計 2 4 5 3 2 3" xfId="3454" xr:uid="{00000000-0005-0000-0000-000078110000}"/>
    <cellStyle name="集計 2 4 5 3 2 3 2" xfId="9002" xr:uid="{00000000-0005-0000-0000-000079110000}"/>
    <cellStyle name="集計 2 4 5 3 2 4" xfId="7587" xr:uid="{00000000-0005-0000-0000-00007A110000}"/>
    <cellStyle name="集計 2 4 5 3 3" xfId="6578" xr:uid="{00000000-0005-0000-0000-00007B110000}"/>
    <cellStyle name="集計 2 4 5 4" xfId="1408" xr:uid="{00000000-0005-0000-0000-00007C110000}"/>
    <cellStyle name="集計 2 4 5 4 2" xfId="4372" xr:uid="{00000000-0005-0000-0000-00007D110000}"/>
    <cellStyle name="集計 2 4 5 4 2 2" xfId="9904" xr:uid="{00000000-0005-0000-0000-00007E110000}"/>
    <cellStyle name="集計 2 4 5 4 3" xfId="3455" xr:uid="{00000000-0005-0000-0000-00007F110000}"/>
    <cellStyle name="集計 2 4 5 4 3 2" xfId="9003" xr:uid="{00000000-0005-0000-0000-000080110000}"/>
    <cellStyle name="集計 2 4 5 4 4" xfId="7124" xr:uid="{00000000-0005-0000-0000-000081110000}"/>
    <cellStyle name="集計 2 4 5 5" xfId="6113" xr:uid="{00000000-0005-0000-0000-000082110000}"/>
    <cellStyle name="集計 2 4 6" xfId="383" xr:uid="{00000000-0005-0000-0000-000083110000}"/>
    <cellStyle name="集計 2 4 6 2" xfId="892" xr:uid="{00000000-0005-0000-0000-000084110000}"/>
    <cellStyle name="集計 2 4 6 2 2" xfId="1998" xr:uid="{00000000-0005-0000-0000-000085110000}"/>
    <cellStyle name="集計 2 4 6 2 2 2" xfId="4907" xr:uid="{00000000-0005-0000-0000-000086110000}"/>
    <cellStyle name="集計 2 4 6 2 2 2 2" xfId="10384" xr:uid="{00000000-0005-0000-0000-000087110000}"/>
    <cellStyle name="集計 2 4 6 2 2 3" xfId="3456" xr:uid="{00000000-0005-0000-0000-000088110000}"/>
    <cellStyle name="集計 2 4 6 2 2 3 2" xfId="9004" xr:uid="{00000000-0005-0000-0000-000089110000}"/>
    <cellStyle name="集計 2 4 6 2 2 4" xfId="7659" xr:uid="{00000000-0005-0000-0000-00008A110000}"/>
    <cellStyle name="集計 2 4 6 2 3" xfId="6650" xr:uid="{00000000-0005-0000-0000-00008B110000}"/>
    <cellStyle name="集計 2 4 6 3" xfId="1491" xr:uid="{00000000-0005-0000-0000-00008C110000}"/>
    <cellStyle name="集計 2 4 6 3 2" xfId="4455" xr:uid="{00000000-0005-0000-0000-00008D110000}"/>
    <cellStyle name="集計 2 4 6 3 2 2" xfId="9976" xr:uid="{00000000-0005-0000-0000-00008E110000}"/>
    <cellStyle name="集計 2 4 6 3 3" xfId="3457" xr:uid="{00000000-0005-0000-0000-00008F110000}"/>
    <cellStyle name="集計 2 4 6 3 3 2" xfId="9005" xr:uid="{00000000-0005-0000-0000-000090110000}"/>
    <cellStyle name="集計 2 4 6 3 4" xfId="7196" xr:uid="{00000000-0005-0000-0000-000091110000}"/>
    <cellStyle name="集計 2 4 6 4" xfId="6185" xr:uid="{00000000-0005-0000-0000-000092110000}"/>
    <cellStyle name="集計 2 4 7" xfId="668" xr:uid="{00000000-0005-0000-0000-000093110000}"/>
    <cellStyle name="集計 2 4 7 2" xfId="1774" xr:uid="{00000000-0005-0000-0000-000094110000}"/>
    <cellStyle name="集計 2 4 7 2 2" xfId="4683" xr:uid="{00000000-0005-0000-0000-000095110000}"/>
    <cellStyle name="集計 2 4 7 2 2 2" xfId="10182" xr:uid="{00000000-0005-0000-0000-000096110000}"/>
    <cellStyle name="集計 2 4 7 2 3" xfId="3458" xr:uid="{00000000-0005-0000-0000-000097110000}"/>
    <cellStyle name="集計 2 4 7 2 3 2" xfId="9006" xr:uid="{00000000-0005-0000-0000-000098110000}"/>
    <cellStyle name="集計 2 4 7 2 4" xfId="7457" xr:uid="{00000000-0005-0000-0000-000099110000}"/>
    <cellStyle name="集計 2 4 7 3" xfId="6448" xr:uid="{00000000-0005-0000-0000-00009A110000}"/>
    <cellStyle name="集計 2 4 8" xfId="1267" xr:uid="{00000000-0005-0000-0000-00009B110000}"/>
    <cellStyle name="集計 2 4 8 2" xfId="4231" xr:uid="{00000000-0005-0000-0000-00009C110000}"/>
    <cellStyle name="集計 2 4 8 2 2" xfId="9774" xr:uid="{00000000-0005-0000-0000-00009D110000}"/>
    <cellStyle name="集計 2 4 8 3" xfId="3459" xr:uid="{00000000-0005-0000-0000-00009E110000}"/>
    <cellStyle name="集計 2 4 8 3 2" xfId="9007" xr:uid="{00000000-0005-0000-0000-00009F110000}"/>
    <cellStyle name="集計 2 4 8 4" xfId="6994" xr:uid="{00000000-0005-0000-0000-0000A0110000}"/>
    <cellStyle name="集計 2 4 9" xfId="5983" xr:uid="{00000000-0005-0000-0000-0000A1110000}"/>
    <cellStyle name="集計 2 5" xfId="155" xr:uid="{00000000-0005-0000-0000-0000A2110000}"/>
    <cellStyle name="集計 2 5 2" xfId="189" xr:uid="{00000000-0005-0000-0000-0000A3110000}"/>
    <cellStyle name="集計 2 5 2 2" xfId="260" xr:uid="{00000000-0005-0000-0000-0000A4110000}"/>
    <cellStyle name="集計 2 5 2 2 2" xfId="482" xr:uid="{00000000-0005-0000-0000-0000A5110000}"/>
    <cellStyle name="集計 2 5 2 2 2 2" xfId="991" xr:uid="{00000000-0005-0000-0000-0000A6110000}"/>
    <cellStyle name="集計 2 5 2 2 2 2 2" xfId="2097" xr:uid="{00000000-0005-0000-0000-0000A7110000}"/>
    <cellStyle name="集計 2 5 2 2 2 2 2 2" xfId="5006" xr:uid="{00000000-0005-0000-0000-0000A8110000}"/>
    <cellStyle name="集計 2 5 2 2 2 2 2 2 2" xfId="10475" xr:uid="{00000000-0005-0000-0000-0000A9110000}"/>
    <cellStyle name="集計 2 5 2 2 2 2 2 3" xfId="3460" xr:uid="{00000000-0005-0000-0000-0000AA110000}"/>
    <cellStyle name="集計 2 5 2 2 2 2 2 3 2" xfId="9008" xr:uid="{00000000-0005-0000-0000-0000AB110000}"/>
    <cellStyle name="集計 2 5 2 2 2 2 2 4" xfId="7750" xr:uid="{00000000-0005-0000-0000-0000AC110000}"/>
    <cellStyle name="集計 2 5 2 2 2 2 3" xfId="6741" xr:uid="{00000000-0005-0000-0000-0000AD110000}"/>
    <cellStyle name="集計 2 5 2 2 2 3" xfId="1590" xr:uid="{00000000-0005-0000-0000-0000AE110000}"/>
    <cellStyle name="集計 2 5 2 2 2 3 2" xfId="4554" xr:uid="{00000000-0005-0000-0000-0000AF110000}"/>
    <cellStyle name="集計 2 5 2 2 2 3 2 2" xfId="10067" xr:uid="{00000000-0005-0000-0000-0000B0110000}"/>
    <cellStyle name="集計 2 5 2 2 2 3 3" xfId="3461" xr:uid="{00000000-0005-0000-0000-0000B1110000}"/>
    <cellStyle name="集計 2 5 2 2 2 3 3 2" xfId="9009" xr:uid="{00000000-0005-0000-0000-0000B2110000}"/>
    <cellStyle name="集計 2 5 2 2 2 3 4" xfId="7287" xr:uid="{00000000-0005-0000-0000-0000B3110000}"/>
    <cellStyle name="集計 2 5 2 2 2 4" xfId="6276" xr:uid="{00000000-0005-0000-0000-0000B4110000}"/>
    <cellStyle name="集計 2 5 2 2 3" xfId="769" xr:uid="{00000000-0005-0000-0000-0000B5110000}"/>
    <cellStyle name="集計 2 5 2 2 3 2" xfId="1875" xr:uid="{00000000-0005-0000-0000-0000B6110000}"/>
    <cellStyle name="集計 2 5 2 2 3 2 2" xfId="4784" xr:uid="{00000000-0005-0000-0000-0000B7110000}"/>
    <cellStyle name="集計 2 5 2 2 3 2 2 2" xfId="10275" xr:uid="{00000000-0005-0000-0000-0000B8110000}"/>
    <cellStyle name="集計 2 5 2 2 3 2 3" xfId="3462" xr:uid="{00000000-0005-0000-0000-0000B9110000}"/>
    <cellStyle name="集計 2 5 2 2 3 2 3 2" xfId="9010" xr:uid="{00000000-0005-0000-0000-0000BA110000}"/>
    <cellStyle name="集計 2 5 2 2 3 2 4" xfId="7550" xr:uid="{00000000-0005-0000-0000-0000BB110000}"/>
    <cellStyle name="集計 2 5 2 2 3 3" xfId="6541" xr:uid="{00000000-0005-0000-0000-0000BC110000}"/>
    <cellStyle name="集計 2 5 2 2 4" xfId="1368" xr:uid="{00000000-0005-0000-0000-0000BD110000}"/>
    <cellStyle name="集計 2 5 2 2 4 2" xfId="4332" xr:uid="{00000000-0005-0000-0000-0000BE110000}"/>
    <cellStyle name="集計 2 5 2 2 4 2 2" xfId="9867" xr:uid="{00000000-0005-0000-0000-0000BF110000}"/>
    <cellStyle name="集計 2 5 2 2 4 3" xfId="3463" xr:uid="{00000000-0005-0000-0000-0000C0110000}"/>
    <cellStyle name="集計 2 5 2 2 4 3 2" xfId="9011" xr:uid="{00000000-0005-0000-0000-0000C1110000}"/>
    <cellStyle name="集計 2 5 2 2 4 4" xfId="7087" xr:uid="{00000000-0005-0000-0000-0000C2110000}"/>
    <cellStyle name="集計 2 5 2 2 5" xfId="6076" xr:uid="{00000000-0005-0000-0000-0000C3110000}"/>
    <cellStyle name="集計 2 5 2 3" xfId="325" xr:uid="{00000000-0005-0000-0000-0000C4110000}"/>
    <cellStyle name="集計 2 5 2 3 2" xfId="547" xr:uid="{00000000-0005-0000-0000-0000C5110000}"/>
    <cellStyle name="集計 2 5 2 3 2 2" xfId="1056" xr:uid="{00000000-0005-0000-0000-0000C6110000}"/>
    <cellStyle name="集計 2 5 2 3 2 2 2" xfId="2162" xr:uid="{00000000-0005-0000-0000-0000C7110000}"/>
    <cellStyle name="集計 2 5 2 3 2 2 2 2" xfId="5071" xr:uid="{00000000-0005-0000-0000-0000C8110000}"/>
    <cellStyle name="集計 2 5 2 3 2 2 2 2 2" xfId="10534" xr:uid="{00000000-0005-0000-0000-0000C9110000}"/>
    <cellStyle name="集計 2 5 2 3 2 2 2 3" xfId="3464" xr:uid="{00000000-0005-0000-0000-0000CA110000}"/>
    <cellStyle name="集計 2 5 2 3 2 2 2 3 2" xfId="9012" xr:uid="{00000000-0005-0000-0000-0000CB110000}"/>
    <cellStyle name="集計 2 5 2 3 2 2 2 4" xfId="7809" xr:uid="{00000000-0005-0000-0000-0000CC110000}"/>
    <cellStyle name="集計 2 5 2 3 2 2 3" xfId="6800" xr:uid="{00000000-0005-0000-0000-0000CD110000}"/>
    <cellStyle name="集計 2 5 2 3 2 3" xfId="1655" xr:uid="{00000000-0005-0000-0000-0000CE110000}"/>
    <cellStyle name="集計 2 5 2 3 2 3 2" xfId="4619" xr:uid="{00000000-0005-0000-0000-0000CF110000}"/>
    <cellStyle name="集計 2 5 2 3 2 3 2 2" xfId="10126" xr:uid="{00000000-0005-0000-0000-0000D0110000}"/>
    <cellStyle name="集計 2 5 2 3 2 3 3" xfId="3465" xr:uid="{00000000-0005-0000-0000-0000D1110000}"/>
    <cellStyle name="集計 2 5 2 3 2 3 3 2" xfId="9013" xr:uid="{00000000-0005-0000-0000-0000D2110000}"/>
    <cellStyle name="集計 2 5 2 3 2 3 4" xfId="7346" xr:uid="{00000000-0005-0000-0000-0000D3110000}"/>
    <cellStyle name="集計 2 5 2 3 2 4" xfId="6335" xr:uid="{00000000-0005-0000-0000-0000D4110000}"/>
    <cellStyle name="集計 2 5 2 3 3" xfId="834" xr:uid="{00000000-0005-0000-0000-0000D5110000}"/>
    <cellStyle name="集計 2 5 2 3 3 2" xfId="1940" xr:uid="{00000000-0005-0000-0000-0000D6110000}"/>
    <cellStyle name="集計 2 5 2 3 3 2 2" xfId="4849" xr:uid="{00000000-0005-0000-0000-0000D7110000}"/>
    <cellStyle name="集計 2 5 2 3 3 2 2 2" xfId="10334" xr:uid="{00000000-0005-0000-0000-0000D8110000}"/>
    <cellStyle name="集計 2 5 2 3 3 2 3" xfId="3466" xr:uid="{00000000-0005-0000-0000-0000D9110000}"/>
    <cellStyle name="集計 2 5 2 3 3 2 3 2" xfId="9014" xr:uid="{00000000-0005-0000-0000-0000DA110000}"/>
    <cellStyle name="集計 2 5 2 3 3 2 4" xfId="7609" xr:uid="{00000000-0005-0000-0000-0000DB110000}"/>
    <cellStyle name="集計 2 5 2 3 3 3" xfId="6600" xr:uid="{00000000-0005-0000-0000-0000DC110000}"/>
    <cellStyle name="集計 2 5 2 3 4" xfId="1433" xr:uid="{00000000-0005-0000-0000-0000DD110000}"/>
    <cellStyle name="集計 2 5 2 3 4 2" xfId="4397" xr:uid="{00000000-0005-0000-0000-0000DE110000}"/>
    <cellStyle name="集計 2 5 2 3 4 2 2" xfId="9926" xr:uid="{00000000-0005-0000-0000-0000DF110000}"/>
    <cellStyle name="集計 2 5 2 3 4 3" xfId="3467" xr:uid="{00000000-0005-0000-0000-0000E0110000}"/>
    <cellStyle name="集計 2 5 2 3 4 3 2" xfId="9015" xr:uid="{00000000-0005-0000-0000-0000E1110000}"/>
    <cellStyle name="集計 2 5 2 3 4 4" xfId="7146" xr:uid="{00000000-0005-0000-0000-0000E2110000}"/>
    <cellStyle name="集計 2 5 2 3 5" xfId="6135" xr:uid="{00000000-0005-0000-0000-0000E3110000}"/>
    <cellStyle name="集計 2 5 2 4" xfId="411" xr:uid="{00000000-0005-0000-0000-0000E4110000}"/>
    <cellStyle name="集計 2 5 2 4 2" xfId="920" xr:uid="{00000000-0005-0000-0000-0000E5110000}"/>
    <cellStyle name="集計 2 5 2 4 2 2" xfId="2026" xr:uid="{00000000-0005-0000-0000-0000E6110000}"/>
    <cellStyle name="集計 2 5 2 4 2 2 2" xfId="4935" xr:uid="{00000000-0005-0000-0000-0000E7110000}"/>
    <cellStyle name="集計 2 5 2 4 2 2 2 2" xfId="10409" xr:uid="{00000000-0005-0000-0000-0000E8110000}"/>
    <cellStyle name="集計 2 5 2 4 2 2 3" xfId="3468" xr:uid="{00000000-0005-0000-0000-0000E9110000}"/>
    <cellStyle name="集計 2 5 2 4 2 2 3 2" xfId="9016" xr:uid="{00000000-0005-0000-0000-0000EA110000}"/>
    <cellStyle name="集計 2 5 2 4 2 2 4" xfId="7684" xr:uid="{00000000-0005-0000-0000-0000EB110000}"/>
    <cellStyle name="集計 2 5 2 4 2 3" xfId="6675" xr:uid="{00000000-0005-0000-0000-0000EC110000}"/>
    <cellStyle name="集計 2 5 2 4 3" xfId="1519" xr:uid="{00000000-0005-0000-0000-0000ED110000}"/>
    <cellStyle name="集計 2 5 2 4 3 2" xfId="4483" xr:uid="{00000000-0005-0000-0000-0000EE110000}"/>
    <cellStyle name="集計 2 5 2 4 3 2 2" xfId="10001" xr:uid="{00000000-0005-0000-0000-0000EF110000}"/>
    <cellStyle name="集計 2 5 2 4 3 3" xfId="3469" xr:uid="{00000000-0005-0000-0000-0000F0110000}"/>
    <cellStyle name="集計 2 5 2 4 3 3 2" xfId="9017" xr:uid="{00000000-0005-0000-0000-0000F1110000}"/>
    <cellStyle name="集計 2 5 2 4 3 4" xfId="7221" xr:uid="{00000000-0005-0000-0000-0000F2110000}"/>
    <cellStyle name="集計 2 5 2 4 4" xfId="6210" xr:uid="{00000000-0005-0000-0000-0000F3110000}"/>
    <cellStyle name="集計 2 5 2 5" xfId="698" xr:uid="{00000000-0005-0000-0000-0000F4110000}"/>
    <cellStyle name="集計 2 5 2 5 2" xfId="1804" xr:uid="{00000000-0005-0000-0000-0000F5110000}"/>
    <cellStyle name="集計 2 5 2 5 2 2" xfId="4713" xr:uid="{00000000-0005-0000-0000-0000F6110000}"/>
    <cellStyle name="集計 2 5 2 5 2 2 2" xfId="10209" xr:uid="{00000000-0005-0000-0000-0000F7110000}"/>
    <cellStyle name="集計 2 5 2 5 2 3" xfId="3470" xr:uid="{00000000-0005-0000-0000-0000F8110000}"/>
    <cellStyle name="集計 2 5 2 5 2 3 2" xfId="9018" xr:uid="{00000000-0005-0000-0000-0000F9110000}"/>
    <cellStyle name="集計 2 5 2 5 2 4" xfId="7484" xr:uid="{00000000-0005-0000-0000-0000FA110000}"/>
    <cellStyle name="集計 2 5 2 5 3" xfId="6475" xr:uid="{00000000-0005-0000-0000-0000FB110000}"/>
    <cellStyle name="集計 2 5 2 6" xfId="1297" xr:uid="{00000000-0005-0000-0000-0000FC110000}"/>
    <cellStyle name="集計 2 5 2 6 2" xfId="4261" xr:uid="{00000000-0005-0000-0000-0000FD110000}"/>
    <cellStyle name="集計 2 5 2 6 2 2" xfId="9801" xr:uid="{00000000-0005-0000-0000-0000FE110000}"/>
    <cellStyle name="集計 2 5 2 6 3" xfId="3471" xr:uid="{00000000-0005-0000-0000-0000FF110000}"/>
    <cellStyle name="集計 2 5 2 6 3 2" xfId="9019" xr:uid="{00000000-0005-0000-0000-000000120000}"/>
    <cellStyle name="集計 2 5 2 6 4" xfId="7021" xr:uid="{00000000-0005-0000-0000-000001120000}"/>
    <cellStyle name="集計 2 5 2 7" xfId="6010" xr:uid="{00000000-0005-0000-0000-000002120000}"/>
    <cellStyle name="集計 2 5 3" xfId="208" xr:uid="{00000000-0005-0000-0000-000003120000}"/>
    <cellStyle name="集計 2 5 3 2" xfId="278" xr:uid="{00000000-0005-0000-0000-000004120000}"/>
    <cellStyle name="集計 2 5 3 2 2" xfId="500" xr:uid="{00000000-0005-0000-0000-000005120000}"/>
    <cellStyle name="集計 2 5 3 2 2 2" xfId="1009" xr:uid="{00000000-0005-0000-0000-000006120000}"/>
    <cellStyle name="集計 2 5 3 2 2 2 2" xfId="2115" xr:uid="{00000000-0005-0000-0000-000007120000}"/>
    <cellStyle name="集計 2 5 3 2 2 2 2 2" xfId="5024" xr:uid="{00000000-0005-0000-0000-000008120000}"/>
    <cellStyle name="集計 2 5 3 2 2 2 2 2 2" xfId="10492" xr:uid="{00000000-0005-0000-0000-000009120000}"/>
    <cellStyle name="集計 2 5 3 2 2 2 2 3" xfId="3472" xr:uid="{00000000-0005-0000-0000-00000A120000}"/>
    <cellStyle name="集計 2 5 3 2 2 2 2 3 2" xfId="9020" xr:uid="{00000000-0005-0000-0000-00000B120000}"/>
    <cellStyle name="集計 2 5 3 2 2 2 2 4" xfId="7767" xr:uid="{00000000-0005-0000-0000-00000C120000}"/>
    <cellStyle name="集計 2 5 3 2 2 2 3" xfId="6758" xr:uid="{00000000-0005-0000-0000-00000D120000}"/>
    <cellStyle name="集計 2 5 3 2 2 3" xfId="1608" xr:uid="{00000000-0005-0000-0000-00000E120000}"/>
    <cellStyle name="集計 2 5 3 2 2 3 2" xfId="4572" xr:uid="{00000000-0005-0000-0000-00000F120000}"/>
    <cellStyle name="集計 2 5 3 2 2 3 2 2" xfId="10084" xr:uid="{00000000-0005-0000-0000-000010120000}"/>
    <cellStyle name="集計 2 5 3 2 2 3 3" xfId="3473" xr:uid="{00000000-0005-0000-0000-000011120000}"/>
    <cellStyle name="集計 2 5 3 2 2 3 3 2" xfId="9021" xr:uid="{00000000-0005-0000-0000-000012120000}"/>
    <cellStyle name="集計 2 5 3 2 2 3 4" xfId="7304" xr:uid="{00000000-0005-0000-0000-000013120000}"/>
    <cellStyle name="集計 2 5 3 2 2 4" xfId="6293" xr:uid="{00000000-0005-0000-0000-000014120000}"/>
    <cellStyle name="集計 2 5 3 2 3" xfId="787" xr:uid="{00000000-0005-0000-0000-000015120000}"/>
    <cellStyle name="集計 2 5 3 2 3 2" xfId="1893" xr:uid="{00000000-0005-0000-0000-000016120000}"/>
    <cellStyle name="集計 2 5 3 2 3 2 2" xfId="4802" xr:uid="{00000000-0005-0000-0000-000017120000}"/>
    <cellStyle name="集計 2 5 3 2 3 2 2 2" xfId="10292" xr:uid="{00000000-0005-0000-0000-000018120000}"/>
    <cellStyle name="集計 2 5 3 2 3 2 3" xfId="3474" xr:uid="{00000000-0005-0000-0000-000019120000}"/>
    <cellStyle name="集計 2 5 3 2 3 2 3 2" xfId="9022" xr:uid="{00000000-0005-0000-0000-00001A120000}"/>
    <cellStyle name="集計 2 5 3 2 3 2 4" xfId="7567" xr:uid="{00000000-0005-0000-0000-00001B120000}"/>
    <cellStyle name="集計 2 5 3 2 3 3" xfId="6558" xr:uid="{00000000-0005-0000-0000-00001C120000}"/>
    <cellStyle name="集計 2 5 3 2 4" xfId="1386" xr:uid="{00000000-0005-0000-0000-00001D120000}"/>
    <cellStyle name="集計 2 5 3 2 4 2" xfId="4350" xr:uid="{00000000-0005-0000-0000-00001E120000}"/>
    <cellStyle name="集計 2 5 3 2 4 2 2" xfId="9884" xr:uid="{00000000-0005-0000-0000-00001F120000}"/>
    <cellStyle name="集計 2 5 3 2 4 3" xfId="3475" xr:uid="{00000000-0005-0000-0000-000020120000}"/>
    <cellStyle name="集計 2 5 3 2 4 3 2" xfId="9023" xr:uid="{00000000-0005-0000-0000-000021120000}"/>
    <cellStyle name="集計 2 5 3 2 4 4" xfId="7104" xr:uid="{00000000-0005-0000-0000-000022120000}"/>
    <cellStyle name="集計 2 5 3 2 5" xfId="6093" xr:uid="{00000000-0005-0000-0000-000023120000}"/>
    <cellStyle name="集計 2 5 3 3" xfId="344" xr:uid="{00000000-0005-0000-0000-000024120000}"/>
    <cellStyle name="集計 2 5 3 3 2" xfId="566" xr:uid="{00000000-0005-0000-0000-000025120000}"/>
    <cellStyle name="集計 2 5 3 3 2 2" xfId="1075" xr:uid="{00000000-0005-0000-0000-000026120000}"/>
    <cellStyle name="集計 2 5 3 3 2 2 2" xfId="2181" xr:uid="{00000000-0005-0000-0000-000027120000}"/>
    <cellStyle name="集計 2 5 3 3 2 2 2 2" xfId="5090" xr:uid="{00000000-0005-0000-0000-000028120000}"/>
    <cellStyle name="集計 2 5 3 3 2 2 2 2 2" xfId="10551" xr:uid="{00000000-0005-0000-0000-000029120000}"/>
    <cellStyle name="集計 2 5 3 3 2 2 2 3" xfId="3476" xr:uid="{00000000-0005-0000-0000-00002A120000}"/>
    <cellStyle name="集計 2 5 3 3 2 2 2 3 2" xfId="9024" xr:uid="{00000000-0005-0000-0000-00002B120000}"/>
    <cellStyle name="集計 2 5 3 3 2 2 2 4" xfId="7826" xr:uid="{00000000-0005-0000-0000-00002C120000}"/>
    <cellStyle name="集計 2 5 3 3 2 2 3" xfId="6817" xr:uid="{00000000-0005-0000-0000-00002D120000}"/>
    <cellStyle name="集計 2 5 3 3 2 3" xfId="1674" xr:uid="{00000000-0005-0000-0000-00002E120000}"/>
    <cellStyle name="集計 2 5 3 3 2 3 2" xfId="4638" xr:uid="{00000000-0005-0000-0000-00002F120000}"/>
    <cellStyle name="集計 2 5 3 3 2 3 2 2" xfId="10143" xr:uid="{00000000-0005-0000-0000-000030120000}"/>
    <cellStyle name="集計 2 5 3 3 2 3 3" xfId="3477" xr:uid="{00000000-0005-0000-0000-000031120000}"/>
    <cellStyle name="集計 2 5 3 3 2 3 3 2" xfId="9025" xr:uid="{00000000-0005-0000-0000-000032120000}"/>
    <cellStyle name="集計 2 5 3 3 2 3 4" xfId="7363" xr:uid="{00000000-0005-0000-0000-000033120000}"/>
    <cellStyle name="集計 2 5 3 3 2 4" xfId="6352" xr:uid="{00000000-0005-0000-0000-000034120000}"/>
    <cellStyle name="集計 2 5 3 3 3" xfId="853" xr:uid="{00000000-0005-0000-0000-000035120000}"/>
    <cellStyle name="集計 2 5 3 3 3 2" xfId="1959" xr:uid="{00000000-0005-0000-0000-000036120000}"/>
    <cellStyle name="集計 2 5 3 3 3 2 2" xfId="4868" xr:uid="{00000000-0005-0000-0000-000037120000}"/>
    <cellStyle name="集計 2 5 3 3 3 2 2 2" xfId="10351" xr:uid="{00000000-0005-0000-0000-000038120000}"/>
    <cellStyle name="集計 2 5 3 3 3 2 3" xfId="3478" xr:uid="{00000000-0005-0000-0000-000039120000}"/>
    <cellStyle name="集計 2 5 3 3 3 2 3 2" xfId="9026" xr:uid="{00000000-0005-0000-0000-00003A120000}"/>
    <cellStyle name="集計 2 5 3 3 3 2 4" xfId="7626" xr:uid="{00000000-0005-0000-0000-00003B120000}"/>
    <cellStyle name="集計 2 5 3 3 3 3" xfId="6617" xr:uid="{00000000-0005-0000-0000-00003C120000}"/>
    <cellStyle name="集計 2 5 3 3 4" xfId="1452" xr:uid="{00000000-0005-0000-0000-00003D120000}"/>
    <cellStyle name="集計 2 5 3 3 4 2" xfId="4416" xr:uid="{00000000-0005-0000-0000-00003E120000}"/>
    <cellStyle name="集計 2 5 3 3 4 2 2" xfId="9943" xr:uid="{00000000-0005-0000-0000-00003F120000}"/>
    <cellStyle name="集計 2 5 3 3 4 3" xfId="3479" xr:uid="{00000000-0005-0000-0000-000040120000}"/>
    <cellStyle name="集計 2 5 3 3 4 3 2" xfId="9027" xr:uid="{00000000-0005-0000-0000-000041120000}"/>
    <cellStyle name="集計 2 5 3 3 4 4" xfId="7163" xr:uid="{00000000-0005-0000-0000-000042120000}"/>
    <cellStyle name="集計 2 5 3 3 5" xfId="6152" xr:uid="{00000000-0005-0000-0000-000043120000}"/>
    <cellStyle name="集計 2 5 3 4" xfId="430" xr:uid="{00000000-0005-0000-0000-000044120000}"/>
    <cellStyle name="集計 2 5 3 4 2" xfId="939" xr:uid="{00000000-0005-0000-0000-000045120000}"/>
    <cellStyle name="集計 2 5 3 4 2 2" xfId="2045" xr:uid="{00000000-0005-0000-0000-000046120000}"/>
    <cellStyle name="集計 2 5 3 4 2 2 2" xfId="4954" xr:uid="{00000000-0005-0000-0000-000047120000}"/>
    <cellStyle name="集計 2 5 3 4 2 2 2 2" xfId="10426" xr:uid="{00000000-0005-0000-0000-000048120000}"/>
    <cellStyle name="集計 2 5 3 4 2 2 3" xfId="3480" xr:uid="{00000000-0005-0000-0000-000049120000}"/>
    <cellStyle name="集計 2 5 3 4 2 2 3 2" xfId="9028" xr:uid="{00000000-0005-0000-0000-00004A120000}"/>
    <cellStyle name="集計 2 5 3 4 2 2 4" xfId="7701" xr:uid="{00000000-0005-0000-0000-00004B120000}"/>
    <cellStyle name="集計 2 5 3 4 2 3" xfId="6692" xr:uid="{00000000-0005-0000-0000-00004C120000}"/>
    <cellStyle name="集計 2 5 3 4 3" xfId="1538" xr:uid="{00000000-0005-0000-0000-00004D120000}"/>
    <cellStyle name="集計 2 5 3 4 3 2" xfId="4502" xr:uid="{00000000-0005-0000-0000-00004E120000}"/>
    <cellStyle name="集計 2 5 3 4 3 2 2" xfId="10018" xr:uid="{00000000-0005-0000-0000-00004F120000}"/>
    <cellStyle name="集計 2 5 3 4 3 3" xfId="3481" xr:uid="{00000000-0005-0000-0000-000050120000}"/>
    <cellStyle name="集計 2 5 3 4 3 3 2" xfId="9029" xr:uid="{00000000-0005-0000-0000-000051120000}"/>
    <cellStyle name="集計 2 5 3 4 3 4" xfId="7238" xr:uid="{00000000-0005-0000-0000-000052120000}"/>
    <cellStyle name="集計 2 5 3 4 4" xfId="6227" xr:uid="{00000000-0005-0000-0000-000053120000}"/>
    <cellStyle name="集計 2 5 3 5" xfId="717" xr:uid="{00000000-0005-0000-0000-000054120000}"/>
    <cellStyle name="集計 2 5 3 5 2" xfId="1823" xr:uid="{00000000-0005-0000-0000-000055120000}"/>
    <cellStyle name="集計 2 5 3 5 2 2" xfId="4732" xr:uid="{00000000-0005-0000-0000-000056120000}"/>
    <cellStyle name="集計 2 5 3 5 2 2 2" xfId="10226" xr:uid="{00000000-0005-0000-0000-000057120000}"/>
    <cellStyle name="集計 2 5 3 5 2 3" xfId="3482" xr:uid="{00000000-0005-0000-0000-000058120000}"/>
    <cellStyle name="集計 2 5 3 5 2 3 2" xfId="9030" xr:uid="{00000000-0005-0000-0000-000059120000}"/>
    <cellStyle name="集計 2 5 3 5 2 4" xfId="7501" xr:uid="{00000000-0005-0000-0000-00005A120000}"/>
    <cellStyle name="集計 2 5 3 5 3" xfId="6492" xr:uid="{00000000-0005-0000-0000-00005B120000}"/>
    <cellStyle name="集計 2 5 3 6" xfId="1316" xr:uid="{00000000-0005-0000-0000-00005C120000}"/>
    <cellStyle name="集計 2 5 3 6 2" xfId="4280" xr:uid="{00000000-0005-0000-0000-00005D120000}"/>
    <cellStyle name="集計 2 5 3 6 2 2" xfId="9818" xr:uid="{00000000-0005-0000-0000-00005E120000}"/>
    <cellStyle name="集計 2 5 3 6 3" xfId="3483" xr:uid="{00000000-0005-0000-0000-00005F120000}"/>
    <cellStyle name="集計 2 5 3 6 3 2" xfId="9031" xr:uid="{00000000-0005-0000-0000-000060120000}"/>
    <cellStyle name="集計 2 5 3 6 4" xfId="7038" xr:uid="{00000000-0005-0000-0000-000061120000}"/>
    <cellStyle name="集計 2 5 3 7" xfId="6027" xr:uid="{00000000-0005-0000-0000-000062120000}"/>
    <cellStyle name="集計 2 5 4" xfId="235" xr:uid="{00000000-0005-0000-0000-000063120000}"/>
    <cellStyle name="集計 2 5 4 2" xfId="457" xr:uid="{00000000-0005-0000-0000-000064120000}"/>
    <cellStyle name="集計 2 5 4 2 2" xfId="966" xr:uid="{00000000-0005-0000-0000-000065120000}"/>
    <cellStyle name="集計 2 5 4 2 2 2" xfId="2072" xr:uid="{00000000-0005-0000-0000-000066120000}"/>
    <cellStyle name="集計 2 5 4 2 2 2 2" xfId="4981" xr:uid="{00000000-0005-0000-0000-000067120000}"/>
    <cellStyle name="集計 2 5 4 2 2 2 2 2" xfId="10451" xr:uid="{00000000-0005-0000-0000-000068120000}"/>
    <cellStyle name="集計 2 5 4 2 2 2 3" xfId="3484" xr:uid="{00000000-0005-0000-0000-000069120000}"/>
    <cellStyle name="集計 2 5 4 2 2 2 3 2" xfId="9032" xr:uid="{00000000-0005-0000-0000-00006A120000}"/>
    <cellStyle name="集計 2 5 4 2 2 2 4" xfId="7726" xr:uid="{00000000-0005-0000-0000-00006B120000}"/>
    <cellStyle name="集計 2 5 4 2 2 3" xfId="6717" xr:uid="{00000000-0005-0000-0000-00006C120000}"/>
    <cellStyle name="集計 2 5 4 2 3" xfId="1565" xr:uid="{00000000-0005-0000-0000-00006D120000}"/>
    <cellStyle name="集計 2 5 4 2 3 2" xfId="4529" xr:uid="{00000000-0005-0000-0000-00006E120000}"/>
    <cellStyle name="集計 2 5 4 2 3 2 2" xfId="10043" xr:uid="{00000000-0005-0000-0000-00006F120000}"/>
    <cellStyle name="集計 2 5 4 2 3 3" xfId="3485" xr:uid="{00000000-0005-0000-0000-000070120000}"/>
    <cellStyle name="集計 2 5 4 2 3 3 2" xfId="9033" xr:uid="{00000000-0005-0000-0000-000071120000}"/>
    <cellStyle name="集計 2 5 4 2 3 4" xfId="7263" xr:uid="{00000000-0005-0000-0000-000072120000}"/>
    <cellStyle name="集計 2 5 4 2 4" xfId="6252" xr:uid="{00000000-0005-0000-0000-000073120000}"/>
    <cellStyle name="集計 2 5 4 3" xfId="744" xr:uid="{00000000-0005-0000-0000-000074120000}"/>
    <cellStyle name="集計 2 5 4 3 2" xfId="1850" xr:uid="{00000000-0005-0000-0000-000075120000}"/>
    <cellStyle name="集計 2 5 4 3 2 2" xfId="4759" xr:uid="{00000000-0005-0000-0000-000076120000}"/>
    <cellStyle name="集計 2 5 4 3 2 2 2" xfId="10251" xr:uid="{00000000-0005-0000-0000-000077120000}"/>
    <cellStyle name="集計 2 5 4 3 2 3" xfId="3486" xr:uid="{00000000-0005-0000-0000-000078120000}"/>
    <cellStyle name="集計 2 5 4 3 2 3 2" xfId="9034" xr:uid="{00000000-0005-0000-0000-000079120000}"/>
    <cellStyle name="集計 2 5 4 3 2 4" xfId="7526" xr:uid="{00000000-0005-0000-0000-00007A120000}"/>
    <cellStyle name="集計 2 5 4 3 3" xfId="6517" xr:uid="{00000000-0005-0000-0000-00007B120000}"/>
    <cellStyle name="集計 2 5 4 4" xfId="1343" xr:uid="{00000000-0005-0000-0000-00007C120000}"/>
    <cellStyle name="集計 2 5 4 4 2" xfId="4307" xr:uid="{00000000-0005-0000-0000-00007D120000}"/>
    <cellStyle name="集計 2 5 4 4 2 2" xfId="9843" xr:uid="{00000000-0005-0000-0000-00007E120000}"/>
    <cellStyle name="集計 2 5 4 4 3" xfId="3487" xr:uid="{00000000-0005-0000-0000-00007F120000}"/>
    <cellStyle name="集計 2 5 4 4 3 2" xfId="9035" xr:uid="{00000000-0005-0000-0000-000080120000}"/>
    <cellStyle name="集計 2 5 4 4 4" xfId="7063" xr:uid="{00000000-0005-0000-0000-000081120000}"/>
    <cellStyle name="集計 2 5 4 5" xfId="6052" xr:uid="{00000000-0005-0000-0000-000082120000}"/>
    <cellStyle name="集計 2 5 5" xfId="297" xr:uid="{00000000-0005-0000-0000-000083120000}"/>
    <cellStyle name="集計 2 5 5 2" xfId="519" xr:uid="{00000000-0005-0000-0000-000084120000}"/>
    <cellStyle name="集計 2 5 5 2 2" xfId="1028" xr:uid="{00000000-0005-0000-0000-000085120000}"/>
    <cellStyle name="集計 2 5 5 2 2 2" xfId="2134" xr:uid="{00000000-0005-0000-0000-000086120000}"/>
    <cellStyle name="集計 2 5 5 2 2 2 2" xfId="5043" xr:uid="{00000000-0005-0000-0000-000087120000}"/>
    <cellStyle name="集計 2 5 5 2 2 2 2 2" xfId="10510" xr:uid="{00000000-0005-0000-0000-000088120000}"/>
    <cellStyle name="集計 2 5 5 2 2 2 3" xfId="3488" xr:uid="{00000000-0005-0000-0000-000089120000}"/>
    <cellStyle name="集計 2 5 5 2 2 2 3 2" xfId="9036" xr:uid="{00000000-0005-0000-0000-00008A120000}"/>
    <cellStyle name="集計 2 5 5 2 2 2 4" xfId="7785" xr:uid="{00000000-0005-0000-0000-00008B120000}"/>
    <cellStyle name="集計 2 5 5 2 2 3" xfId="6776" xr:uid="{00000000-0005-0000-0000-00008C120000}"/>
    <cellStyle name="集計 2 5 5 2 3" xfId="1627" xr:uid="{00000000-0005-0000-0000-00008D120000}"/>
    <cellStyle name="集計 2 5 5 2 3 2" xfId="4591" xr:uid="{00000000-0005-0000-0000-00008E120000}"/>
    <cellStyle name="集計 2 5 5 2 3 2 2" xfId="10102" xr:uid="{00000000-0005-0000-0000-00008F120000}"/>
    <cellStyle name="集計 2 5 5 2 3 3" xfId="3489" xr:uid="{00000000-0005-0000-0000-000090120000}"/>
    <cellStyle name="集計 2 5 5 2 3 3 2" xfId="9037" xr:uid="{00000000-0005-0000-0000-000091120000}"/>
    <cellStyle name="集計 2 5 5 2 3 4" xfId="7322" xr:uid="{00000000-0005-0000-0000-000092120000}"/>
    <cellStyle name="集計 2 5 5 2 4" xfId="6311" xr:uid="{00000000-0005-0000-0000-000093120000}"/>
    <cellStyle name="集計 2 5 5 3" xfId="806" xr:uid="{00000000-0005-0000-0000-000094120000}"/>
    <cellStyle name="集計 2 5 5 3 2" xfId="1912" xr:uid="{00000000-0005-0000-0000-000095120000}"/>
    <cellStyle name="集計 2 5 5 3 2 2" xfId="4821" xr:uid="{00000000-0005-0000-0000-000096120000}"/>
    <cellStyle name="集計 2 5 5 3 2 2 2" xfId="10310" xr:uid="{00000000-0005-0000-0000-000097120000}"/>
    <cellStyle name="集計 2 5 5 3 2 3" xfId="3490" xr:uid="{00000000-0005-0000-0000-000098120000}"/>
    <cellStyle name="集計 2 5 5 3 2 3 2" xfId="9038" xr:uid="{00000000-0005-0000-0000-000099120000}"/>
    <cellStyle name="集計 2 5 5 3 2 4" xfId="7585" xr:uid="{00000000-0005-0000-0000-00009A120000}"/>
    <cellStyle name="集計 2 5 5 3 3" xfId="6576" xr:uid="{00000000-0005-0000-0000-00009B120000}"/>
    <cellStyle name="集計 2 5 5 4" xfId="1405" xr:uid="{00000000-0005-0000-0000-00009C120000}"/>
    <cellStyle name="集計 2 5 5 4 2" xfId="4369" xr:uid="{00000000-0005-0000-0000-00009D120000}"/>
    <cellStyle name="集計 2 5 5 4 2 2" xfId="9902" xr:uid="{00000000-0005-0000-0000-00009E120000}"/>
    <cellStyle name="集計 2 5 5 4 3" xfId="3491" xr:uid="{00000000-0005-0000-0000-00009F120000}"/>
    <cellStyle name="集計 2 5 5 4 3 2" xfId="9039" xr:uid="{00000000-0005-0000-0000-0000A0120000}"/>
    <cellStyle name="集計 2 5 5 4 4" xfId="7122" xr:uid="{00000000-0005-0000-0000-0000A1120000}"/>
    <cellStyle name="集計 2 5 5 5" xfId="6111" xr:uid="{00000000-0005-0000-0000-0000A2120000}"/>
    <cellStyle name="集計 2 5 6" xfId="380" xr:uid="{00000000-0005-0000-0000-0000A3120000}"/>
    <cellStyle name="集計 2 5 6 2" xfId="889" xr:uid="{00000000-0005-0000-0000-0000A4120000}"/>
    <cellStyle name="集計 2 5 6 2 2" xfId="1995" xr:uid="{00000000-0005-0000-0000-0000A5120000}"/>
    <cellStyle name="集計 2 5 6 2 2 2" xfId="4904" xr:uid="{00000000-0005-0000-0000-0000A6120000}"/>
    <cellStyle name="集計 2 5 6 2 2 2 2" xfId="10382" xr:uid="{00000000-0005-0000-0000-0000A7120000}"/>
    <cellStyle name="集計 2 5 6 2 2 3" xfId="3492" xr:uid="{00000000-0005-0000-0000-0000A8120000}"/>
    <cellStyle name="集計 2 5 6 2 2 3 2" xfId="9040" xr:uid="{00000000-0005-0000-0000-0000A9120000}"/>
    <cellStyle name="集計 2 5 6 2 2 4" xfId="7657" xr:uid="{00000000-0005-0000-0000-0000AA120000}"/>
    <cellStyle name="集計 2 5 6 2 3" xfId="6648" xr:uid="{00000000-0005-0000-0000-0000AB120000}"/>
    <cellStyle name="集計 2 5 6 3" xfId="1488" xr:uid="{00000000-0005-0000-0000-0000AC120000}"/>
    <cellStyle name="集計 2 5 6 3 2" xfId="4452" xr:uid="{00000000-0005-0000-0000-0000AD120000}"/>
    <cellStyle name="集計 2 5 6 3 2 2" xfId="9974" xr:uid="{00000000-0005-0000-0000-0000AE120000}"/>
    <cellStyle name="集計 2 5 6 3 3" xfId="3493" xr:uid="{00000000-0005-0000-0000-0000AF120000}"/>
    <cellStyle name="集計 2 5 6 3 3 2" xfId="9041" xr:uid="{00000000-0005-0000-0000-0000B0120000}"/>
    <cellStyle name="集計 2 5 6 3 4" xfId="7194" xr:uid="{00000000-0005-0000-0000-0000B1120000}"/>
    <cellStyle name="集計 2 5 6 4" xfId="6183" xr:uid="{00000000-0005-0000-0000-0000B2120000}"/>
    <cellStyle name="集計 2 5 7" xfId="665" xr:uid="{00000000-0005-0000-0000-0000B3120000}"/>
    <cellStyle name="集計 2 5 7 2" xfId="1771" xr:uid="{00000000-0005-0000-0000-0000B4120000}"/>
    <cellStyle name="集計 2 5 7 2 2" xfId="4680" xr:uid="{00000000-0005-0000-0000-0000B5120000}"/>
    <cellStyle name="集計 2 5 7 2 2 2" xfId="10180" xr:uid="{00000000-0005-0000-0000-0000B6120000}"/>
    <cellStyle name="集計 2 5 7 2 3" xfId="3494" xr:uid="{00000000-0005-0000-0000-0000B7120000}"/>
    <cellStyle name="集計 2 5 7 2 3 2" xfId="9042" xr:uid="{00000000-0005-0000-0000-0000B8120000}"/>
    <cellStyle name="集計 2 5 7 2 4" xfId="7455" xr:uid="{00000000-0005-0000-0000-0000B9120000}"/>
    <cellStyle name="集計 2 5 7 3" xfId="6446" xr:uid="{00000000-0005-0000-0000-0000BA120000}"/>
    <cellStyle name="集計 2 5 8" xfId="1264" xr:uid="{00000000-0005-0000-0000-0000BB120000}"/>
    <cellStyle name="集計 2 5 8 2" xfId="4228" xr:uid="{00000000-0005-0000-0000-0000BC120000}"/>
    <cellStyle name="集計 2 5 8 2 2" xfId="9772" xr:uid="{00000000-0005-0000-0000-0000BD120000}"/>
    <cellStyle name="集計 2 5 8 3" xfId="3495" xr:uid="{00000000-0005-0000-0000-0000BE120000}"/>
    <cellStyle name="集計 2 5 8 3 2" xfId="9043" xr:uid="{00000000-0005-0000-0000-0000BF120000}"/>
    <cellStyle name="集計 2 5 8 4" xfId="6992" xr:uid="{00000000-0005-0000-0000-0000C0120000}"/>
    <cellStyle name="集計 2 5 9" xfId="5980" xr:uid="{00000000-0005-0000-0000-0000C1120000}"/>
    <cellStyle name="集計 2 6" xfId="160" xr:uid="{00000000-0005-0000-0000-0000C2120000}"/>
    <cellStyle name="集計 2 6 2" xfId="212" xr:uid="{00000000-0005-0000-0000-0000C3120000}"/>
    <cellStyle name="集計 2 6 2 2" xfId="281" xr:uid="{00000000-0005-0000-0000-0000C4120000}"/>
    <cellStyle name="集計 2 6 2 2 2" xfId="503" xr:uid="{00000000-0005-0000-0000-0000C5120000}"/>
    <cellStyle name="集計 2 6 2 2 2 2" xfId="1012" xr:uid="{00000000-0005-0000-0000-0000C6120000}"/>
    <cellStyle name="集計 2 6 2 2 2 2 2" xfId="2118" xr:uid="{00000000-0005-0000-0000-0000C7120000}"/>
    <cellStyle name="集計 2 6 2 2 2 2 2 2" xfId="5027" xr:uid="{00000000-0005-0000-0000-0000C8120000}"/>
    <cellStyle name="集計 2 6 2 2 2 2 2 2 2" xfId="10495" xr:uid="{00000000-0005-0000-0000-0000C9120000}"/>
    <cellStyle name="集計 2 6 2 2 2 2 2 3" xfId="3496" xr:uid="{00000000-0005-0000-0000-0000CA120000}"/>
    <cellStyle name="集計 2 6 2 2 2 2 2 3 2" xfId="9044" xr:uid="{00000000-0005-0000-0000-0000CB120000}"/>
    <cellStyle name="集計 2 6 2 2 2 2 2 4" xfId="7770" xr:uid="{00000000-0005-0000-0000-0000CC120000}"/>
    <cellStyle name="集計 2 6 2 2 2 2 3" xfId="6761" xr:uid="{00000000-0005-0000-0000-0000CD120000}"/>
    <cellStyle name="集計 2 6 2 2 2 3" xfId="1611" xr:uid="{00000000-0005-0000-0000-0000CE120000}"/>
    <cellStyle name="集計 2 6 2 2 2 3 2" xfId="4575" xr:uid="{00000000-0005-0000-0000-0000CF120000}"/>
    <cellStyle name="集計 2 6 2 2 2 3 2 2" xfId="10087" xr:uid="{00000000-0005-0000-0000-0000D0120000}"/>
    <cellStyle name="集計 2 6 2 2 2 3 3" xfId="3497" xr:uid="{00000000-0005-0000-0000-0000D1120000}"/>
    <cellStyle name="集計 2 6 2 2 2 3 3 2" xfId="9045" xr:uid="{00000000-0005-0000-0000-0000D2120000}"/>
    <cellStyle name="集計 2 6 2 2 2 3 4" xfId="7307" xr:uid="{00000000-0005-0000-0000-0000D3120000}"/>
    <cellStyle name="集計 2 6 2 2 2 4" xfId="6296" xr:uid="{00000000-0005-0000-0000-0000D4120000}"/>
    <cellStyle name="集計 2 6 2 2 3" xfId="790" xr:uid="{00000000-0005-0000-0000-0000D5120000}"/>
    <cellStyle name="集計 2 6 2 2 3 2" xfId="1896" xr:uid="{00000000-0005-0000-0000-0000D6120000}"/>
    <cellStyle name="集計 2 6 2 2 3 2 2" xfId="4805" xr:uid="{00000000-0005-0000-0000-0000D7120000}"/>
    <cellStyle name="集計 2 6 2 2 3 2 2 2" xfId="10295" xr:uid="{00000000-0005-0000-0000-0000D8120000}"/>
    <cellStyle name="集計 2 6 2 2 3 2 3" xfId="3498" xr:uid="{00000000-0005-0000-0000-0000D9120000}"/>
    <cellStyle name="集計 2 6 2 2 3 2 3 2" xfId="9046" xr:uid="{00000000-0005-0000-0000-0000DA120000}"/>
    <cellStyle name="集計 2 6 2 2 3 2 4" xfId="7570" xr:uid="{00000000-0005-0000-0000-0000DB120000}"/>
    <cellStyle name="集計 2 6 2 2 3 3" xfId="6561" xr:uid="{00000000-0005-0000-0000-0000DC120000}"/>
    <cellStyle name="集計 2 6 2 2 4" xfId="1389" xr:uid="{00000000-0005-0000-0000-0000DD120000}"/>
    <cellStyle name="集計 2 6 2 2 4 2" xfId="4353" xr:uid="{00000000-0005-0000-0000-0000DE120000}"/>
    <cellStyle name="集計 2 6 2 2 4 2 2" xfId="9887" xr:uid="{00000000-0005-0000-0000-0000DF120000}"/>
    <cellStyle name="集計 2 6 2 2 4 3" xfId="3499" xr:uid="{00000000-0005-0000-0000-0000E0120000}"/>
    <cellStyle name="集計 2 6 2 2 4 3 2" xfId="9047" xr:uid="{00000000-0005-0000-0000-0000E1120000}"/>
    <cellStyle name="集計 2 6 2 2 4 4" xfId="7107" xr:uid="{00000000-0005-0000-0000-0000E2120000}"/>
    <cellStyle name="集計 2 6 2 2 5" xfId="6096" xr:uid="{00000000-0005-0000-0000-0000E3120000}"/>
    <cellStyle name="集計 2 6 2 3" xfId="348" xr:uid="{00000000-0005-0000-0000-0000E4120000}"/>
    <cellStyle name="集計 2 6 2 3 2" xfId="570" xr:uid="{00000000-0005-0000-0000-0000E5120000}"/>
    <cellStyle name="集計 2 6 2 3 2 2" xfId="1079" xr:uid="{00000000-0005-0000-0000-0000E6120000}"/>
    <cellStyle name="集計 2 6 2 3 2 2 2" xfId="2185" xr:uid="{00000000-0005-0000-0000-0000E7120000}"/>
    <cellStyle name="集計 2 6 2 3 2 2 2 2" xfId="5094" xr:uid="{00000000-0005-0000-0000-0000E8120000}"/>
    <cellStyle name="集計 2 6 2 3 2 2 2 2 2" xfId="10554" xr:uid="{00000000-0005-0000-0000-0000E9120000}"/>
    <cellStyle name="集計 2 6 2 3 2 2 2 3" xfId="3500" xr:uid="{00000000-0005-0000-0000-0000EA120000}"/>
    <cellStyle name="集計 2 6 2 3 2 2 2 3 2" xfId="9048" xr:uid="{00000000-0005-0000-0000-0000EB120000}"/>
    <cellStyle name="集計 2 6 2 3 2 2 2 4" xfId="7829" xr:uid="{00000000-0005-0000-0000-0000EC120000}"/>
    <cellStyle name="集計 2 6 2 3 2 2 3" xfId="6820" xr:uid="{00000000-0005-0000-0000-0000ED120000}"/>
    <cellStyle name="集計 2 6 2 3 2 3" xfId="1678" xr:uid="{00000000-0005-0000-0000-0000EE120000}"/>
    <cellStyle name="集計 2 6 2 3 2 3 2" xfId="4642" xr:uid="{00000000-0005-0000-0000-0000EF120000}"/>
    <cellStyle name="集計 2 6 2 3 2 3 2 2" xfId="10146" xr:uid="{00000000-0005-0000-0000-0000F0120000}"/>
    <cellStyle name="集計 2 6 2 3 2 3 3" xfId="3501" xr:uid="{00000000-0005-0000-0000-0000F1120000}"/>
    <cellStyle name="集計 2 6 2 3 2 3 3 2" xfId="9049" xr:uid="{00000000-0005-0000-0000-0000F2120000}"/>
    <cellStyle name="集計 2 6 2 3 2 3 4" xfId="7366" xr:uid="{00000000-0005-0000-0000-0000F3120000}"/>
    <cellStyle name="集計 2 6 2 3 2 4" xfId="6355" xr:uid="{00000000-0005-0000-0000-0000F4120000}"/>
    <cellStyle name="集計 2 6 2 3 3" xfId="857" xr:uid="{00000000-0005-0000-0000-0000F5120000}"/>
    <cellStyle name="集計 2 6 2 3 3 2" xfId="1963" xr:uid="{00000000-0005-0000-0000-0000F6120000}"/>
    <cellStyle name="集計 2 6 2 3 3 2 2" xfId="4872" xr:uid="{00000000-0005-0000-0000-0000F7120000}"/>
    <cellStyle name="集計 2 6 2 3 3 2 2 2" xfId="10354" xr:uid="{00000000-0005-0000-0000-0000F8120000}"/>
    <cellStyle name="集計 2 6 2 3 3 2 3" xfId="3502" xr:uid="{00000000-0005-0000-0000-0000F9120000}"/>
    <cellStyle name="集計 2 6 2 3 3 2 3 2" xfId="9050" xr:uid="{00000000-0005-0000-0000-0000FA120000}"/>
    <cellStyle name="集計 2 6 2 3 3 2 4" xfId="7629" xr:uid="{00000000-0005-0000-0000-0000FB120000}"/>
    <cellStyle name="集計 2 6 2 3 3 3" xfId="6620" xr:uid="{00000000-0005-0000-0000-0000FC120000}"/>
    <cellStyle name="集計 2 6 2 3 4" xfId="1456" xr:uid="{00000000-0005-0000-0000-0000FD120000}"/>
    <cellStyle name="集計 2 6 2 3 4 2" xfId="4420" xr:uid="{00000000-0005-0000-0000-0000FE120000}"/>
    <cellStyle name="集計 2 6 2 3 4 2 2" xfId="9946" xr:uid="{00000000-0005-0000-0000-0000FF120000}"/>
    <cellStyle name="集計 2 6 2 3 4 3" xfId="3503" xr:uid="{00000000-0005-0000-0000-000000130000}"/>
    <cellStyle name="集計 2 6 2 3 4 3 2" xfId="9051" xr:uid="{00000000-0005-0000-0000-000001130000}"/>
    <cellStyle name="集計 2 6 2 3 4 4" xfId="7166" xr:uid="{00000000-0005-0000-0000-000002130000}"/>
    <cellStyle name="集計 2 6 2 3 5" xfId="6155" xr:uid="{00000000-0005-0000-0000-000003130000}"/>
    <cellStyle name="集計 2 6 2 4" xfId="434" xr:uid="{00000000-0005-0000-0000-000004130000}"/>
    <cellStyle name="集計 2 6 2 4 2" xfId="943" xr:uid="{00000000-0005-0000-0000-000005130000}"/>
    <cellStyle name="集計 2 6 2 4 2 2" xfId="2049" xr:uid="{00000000-0005-0000-0000-000006130000}"/>
    <cellStyle name="集計 2 6 2 4 2 2 2" xfId="4958" xr:uid="{00000000-0005-0000-0000-000007130000}"/>
    <cellStyle name="集計 2 6 2 4 2 2 2 2" xfId="10429" xr:uid="{00000000-0005-0000-0000-000008130000}"/>
    <cellStyle name="集計 2 6 2 4 2 2 3" xfId="3504" xr:uid="{00000000-0005-0000-0000-000009130000}"/>
    <cellStyle name="集計 2 6 2 4 2 2 3 2" xfId="9052" xr:uid="{00000000-0005-0000-0000-00000A130000}"/>
    <cellStyle name="集計 2 6 2 4 2 2 4" xfId="7704" xr:uid="{00000000-0005-0000-0000-00000B130000}"/>
    <cellStyle name="集計 2 6 2 4 2 3" xfId="6695" xr:uid="{00000000-0005-0000-0000-00000C130000}"/>
    <cellStyle name="集計 2 6 2 4 3" xfId="1542" xr:uid="{00000000-0005-0000-0000-00000D130000}"/>
    <cellStyle name="集計 2 6 2 4 3 2" xfId="4506" xr:uid="{00000000-0005-0000-0000-00000E130000}"/>
    <cellStyle name="集計 2 6 2 4 3 2 2" xfId="10021" xr:uid="{00000000-0005-0000-0000-00000F130000}"/>
    <cellStyle name="集計 2 6 2 4 3 3" xfId="3505" xr:uid="{00000000-0005-0000-0000-000010130000}"/>
    <cellStyle name="集計 2 6 2 4 3 3 2" xfId="9053" xr:uid="{00000000-0005-0000-0000-000011130000}"/>
    <cellStyle name="集計 2 6 2 4 3 4" xfId="7241" xr:uid="{00000000-0005-0000-0000-000012130000}"/>
    <cellStyle name="集計 2 6 2 4 4" xfId="6230" xr:uid="{00000000-0005-0000-0000-000013130000}"/>
    <cellStyle name="集計 2 6 2 5" xfId="721" xr:uid="{00000000-0005-0000-0000-000014130000}"/>
    <cellStyle name="集計 2 6 2 5 2" xfId="1827" xr:uid="{00000000-0005-0000-0000-000015130000}"/>
    <cellStyle name="集計 2 6 2 5 2 2" xfId="4736" xr:uid="{00000000-0005-0000-0000-000016130000}"/>
    <cellStyle name="集計 2 6 2 5 2 2 2" xfId="10229" xr:uid="{00000000-0005-0000-0000-000017130000}"/>
    <cellStyle name="集計 2 6 2 5 2 3" xfId="3506" xr:uid="{00000000-0005-0000-0000-000018130000}"/>
    <cellStyle name="集計 2 6 2 5 2 3 2" xfId="9054" xr:uid="{00000000-0005-0000-0000-000019130000}"/>
    <cellStyle name="集計 2 6 2 5 2 4" xfId="7504" xr:uid="{00000000-0005-0000-0000-00001A130000}"/>
    <cellStyle name="集計 2 6 2 5 3" xfId="6495" xr:uid="{00000000-0005-0000-0000-00001B130000}"/>
    <cellStyle name="集計 2 6 2 6" xfId="1320" xr:uid="{00000000-0005-0000-0000-00001C130000}"/>
    <cellStyle name="集計 2 6 2 6 2" xfId="4284" xr:uid="{00000000-0005-0000-0000-00001D130000}"/>
    <cellStyle name="集計 2 6 2 6 2 2" xfId="9821" xr:uid="{00000000-0005-0000-0000-00001E130000}"/>
    <cellStyle name="集計 2 6 2 6 3" xfId="3507" xr:uid="{00000000-0005-0000-0000-00001F130000}"/>
    <cellStyle name="集計 2 6 2 6 3 2" xfId="9055" xr:uid="{00000000-0005-0000-0000-000020130000}"/>
    <cellStyle name="集計 2 6 2 6 4" xfId="7041" xr:uid="{00000000-0005-0000-0000-000021130000}"/>
    <cellStyle name="集計 2 6 2 7" xfId="6030" xr:uid="{00000000-0005-0000-0000-000022130000}"/>
    <cellStyle name="集計 2 6 3" xfId="238" xr:uid="{00000000-0005-0000-0000-000023130000}"/>
    <cellStyle name="集計 2 6 3 2" xfId="460" xr:uid="{00000000-0005-0000-0000-000024130000}"/>
    <cellStyle name="集計 2 6 3 2 2" xfId="969" xr:uid="{00000000-0005-0000-0000-000025130000}"/>
    <cellStyle name="集計 2 6 3 2 2 2" xfId="2075" xr:uid="{00000000-0005-0000-0000-000026130000}"/>
    <cellStyle name="集計 2 6 3 2 2 2 2" xfId="4984" xr:uid="{00000000-0005-0000-0000-000027130000}"/>
    <cellStyle name="集計 2 6 3 2 2 2 2 2" xfId="10454" xr:uid="{00000000-0005-0000-0000-000028130000}"/>
    <cellStyle name="集計 2 6 3 2 2 2 3" xfId="3508" xr:uid="{00000000-0005-0000-0000-000029130000}"/>
    <cellStyle name="集計 2 6 3 2 2 2 3 2" xfId="9056" xr:uid="{00000000-0005-0000-0000-00002A130000}"/>
    <cellStyle name="集計 2 6 3 2 2 2 4" xfId="7729" xr:uid="{00000000-0005-0000-0000-00002B130000}"/>
    <cellStyle name="集計 2 6 3 2 2 3" xfId="6720" xr:uid="{00000000-0005-0000-0000-00002C130000}"/>
    <cellStyle name="集計 2 6 3 2 3" xfId="1568" xr:uid="{00000000-0005-0000-0000-00002D130000}"/>
    <cellStyle name="集計 2 6 3 2 3 2" xfId="4532" xr:uid="{00000000-0005-0000-0000-00002E130000}"/>
    <cellStyle name="集計 2 6 3 2 3 2 2" xfId="10046" xr:uid="{00000000-0005-0000-0000-00002F130000}"/>
    <cellStyle name="集計 2 6 3 2 3 3" xfId="3509" xr:uid="{00000000-0005-0000-0000-000030130000}"/>
    <cellStyle name="集計 2 6 3 2 3 3 2" xfId="9057" xr:uid="{00000000-0005-0000-0000-000031130000}"/>
    <cellStyle name="集計 2 6 3 2 3 4" xfId="7266" xr:uid="{00000000-0005-0000-0000-000032130000}"/>
    <cellStyle name="集計 2 6 3 2 4" xfId="6255" xr:uid="{00000000-0005-0000-0000-000033130000}"/>
    <cellStyle name="集計 2 6 3 3" xfId="747" xr:uid="{00000000-0005-0000-0000-000034130000}"/>
    <cellStyle name="集計 2 6 3 3 2" xfId="1853" xr:uid="{00000000-0005-0000-0000-000035130000}"/>
    <cellStyle name="集計 2 6 3 3 2 2" xfId="4762" xr:uid="{00000000-0005-0000-0000-000036130000}"/>
    <cellStyle name="集計 2 6 3 3 2 2 2" xfId="10254" xr:uid="{00000000-0005-0000-0000-000037130000}"/>
    <cellStyle name="集計 2 6 3 3 2 3" xfId="3510" xr:uid="{00000000-0005-0000-0000-000038130000}"/>
    <cellStyle name="集計 2 6 3 3 2 3 2" xfId="9058" xr:uid="{00000000-0005-0000-0000-000039130000}"/>
    <cellStyle name="集計 2 6 3 3 2 4" xfId="7529" xr:uid="{00000000-0005-0000-0000-00003A130000}"/>
    <cellStyle name="集計 2 6 3 3 3" xfId="6520" xr:uid="{00000000-0005-0000-0000-00003B130000}"/>
    <cellStyle name="集計 2 6 3 4" xfId="1346" xr:uid="{00000000-0005-0000-0000-00003C130000}"/>
    <cellStyle name="集計 2 6 3 4 2" xfId="4310" xr:uid="{00000000-0005-0000-0000-00003D130000}"/>
    <cellStyle name="集計 2 6 3 4 2 2" xfId="9846" xr:uid="{00000000-0005-0000-0000-00003E130000}"/>
    <cellStyle name="集計 2 6 3 4 3" xfId="3511" xr:uid="{00000000-0005-0000-0000-00003F130000}"/>
    <cellStyle name="集計 2 6 3 4 3 2" xfId="9059" xr:uid="{00000000-0005-0000-0000-000040130000}"/>
    <cellStyle name="集計 2 6 3 4 4" xfId="7066" xr:uid="{00000000-0005-0000-0000-000041130000}"/>
    <cellStyle name="集計 2 6 3 5" xfId="6055" xr:uid="{00000000-0005-0000-0000-000042130000}"/>
    <cellStyle name="集計 2 6 4" xfId="301" xr:uid="{00000000-0005-0000-0000-000043130000}"/>
    <cellStyle name="集計 2 6 4 2" xfId="523" xr:uid="{00000000-0005-0000-0000-000044130000}"/>
    <cellStyle name="集計 2 6 4 2 2" xfId="1032" xr:uid="{00000000-0005-0000-0000-000045130000}"/>
    <cellStyle name="集計 2 6 4 2 2 2" xfId="2138" xr:uid="{00000000-0005-0000-0000-000046130000}"/>
    <cellStyle name="集計 2 6 4 2 2 2 2" xfId="5047" xr:uid="{00000000-0005-0000-0000-000047130000}"/>
    <cellStyle name="集計 2 6 4 2 2 2 2 2" xfId="10513" xr:uid="{00000000-0005-0000-0000-000048130000}"/>
    <cellStyle name="集計 2 6 4 2 2 2 3" xfId="3512" xr:uid="{00000000-0005-0000-0000-000049130000}"/>
    <cellStyle name="集計 2 6 4 2 2 2 3 2" xfId="9060" xr:uid="{00000000-0005-0000-0000-00004A130000}"/>
    <cellStyle name="集計 2 6 4 2 2 2 4" xfId="7788" xr:uid="{00000000-0005-0000-0000-00004B130000}"/>
    <cellStyle name="集計 2 6 4 2 2 3" xfId="6779" xr:uid="{00000000-0005-0000-0000-00004C130000}"/>
    <cellStyle name="集計 2 6 4 2 3" xfId="1631" xr:uid="{00000000-0005-0000-0000-00004D130000}"/>
    <cellStyle name="集計 2 6 4 2 3 2" xfId="4595" xr:uid="{00000000-0005-0000-0000-00004E130000}"/>
    <cellStyle name="集計 2 6 4 2 3 2 2" xfId="10105" xr:uid="{00000000-0005-0000-0000-00004F130000}"/>
    <cellStyle name="集計 2 6 4 2 3 3" xfId="3513" xr:uid="{00000000-0005-0000-0000-000050130000}"/>
    <cellStyle name="集計 2 6 4 2 3 3 2" xfId="9061" xr:uid="{00000000-0005-0000-0000-000051130000}"/>
    <cellStyle name="集計 2 6 4 2 3 4" xfId="7325" xr:uid="{00000000-0005-0000-0000-000052130000}"/>
    <cellStyle name="集計 2 6 4 2 4" xfId="6314" xr:uid="{00000000-0005-0000-0000-000053130000}"/>
    <cellStyle name="集計 2 6 4 3" xfId="810" xr:uid="{00000000-0005-0000-0000-000054130000}"/>
    <cellStyle name="集計 2 6 4 3 2" xfId="1916" xr:uid="{00000000-0005-0000-0000-000055130000}"/>
    <cellStyle name="集計 2 6 4 3 2 2" xfId="4825" xr:uid="{00000000-0005-0000-0000-000056130000}"/>
    <cellStyle name="集計 2 6 4 3 2 2 2" xfId="10313" xr:uid="{00000000-0005-0000-0000-000057130000}"/>
    <cellStyle name="集計 2 6 4 3 2 3" xfId="3514" xr:uid="{00000000-0005-0000-0000-000058130000}"/>
    <cellStyle name="集計 2 6 4 3 2 3 2" xfId="9062" xr:uid="{00000000-0005-0000-0000-000059130000}"/>
    <cellStyle name="集計 2 6 4 3 2 4" xfId="7588" xr:uid="{00000000-0005-0000-0000-00005A130000}"/>
    <cellStyle name="集計 2 6 4 3 3" xfId="6579" xr:uid="{00000000-0005-0000-0000-00005B130000}"/>
    <cellStyle name="集計 2 6 4 4" xfId="1409" xr:uid="{00000000-0005-0000-0000-00005C130000}"/>
    <cellStyle name="集計 2 6 4 4 2" xfId="4373" xr:uid="{00000000-0005-0000-0000-00005D130000}"/>
    <cellStyle name="集計 2 6 4 4 2 2" xfId="9905" xr:uid="{00000000-0005-0000-0000-00005E130000}"/>
    <cellStyle name="集計 2 6 4 4 3" xfId="3515" xr:uid="{00000000-0005-0000-0000-00005F130000}"/>
    <cellStyle name="集計 2 6 4 4 3 2" xfId="9063" xr:uid="{00000000-0005-0000-0000-000060130000}"/>
    <cellStyle name="集計 2 6 4 4 4" xfId="7125" xr:uid="{00000000-0005-0000-0000-000061130000}"/>
    <cellStyle name="集計 2 6 4 5" xfId="6114" xr:uid="{00000000-0005-0000-0000-000062130000}"/>
    <cellStyle name="集計 2 6 5" xfId="384" xr:uid="{00000000-0005-0000-0000-000063130000}"/>
    <cellStyle name="集計 2 6 5 2" xfId="893" xr:uid="{00000000-0005-0000-0000-000064130000}"/>
    <cellStyle name="集計 2 6 5 2 2" xfId="1999" xr:uid="{00000000-0005-0000-0000-000065130000}"/>
    <cellStyle name="集計 2 6 5 2 2 2" xfId="4908" xr:uid="{00000000-0005-0000-0000-000066130000}"/>
    <cellStyle name="集計 2 6 5 2 2 2 2" xfId="10385" xr:uid="{00000000-0005-0000-0000-000067130000}"/>
    <cellStyle name="集計 2 6 5 2 2 3" xfId="3516" xr:uid="{00000000-0005-0000-0000-000068130000}"/>
    <cellStyle name="集計 2 6 5 2 2 3 2" xfId="9064" xr:uid="{00000000-0005-0000-0000-000069130000}"/>
    <cellStyle name="集計 2 6 5 2 2 4" xfId="7660" xr:uid="{00000000-0005-0000-0000-00006A130000}"/>
    <cellStyle name="集計 2 6 5 2 3" xfId="6651" xr:uid="{00000000-0005-0000-0000-00006B130000}"/>
    <cellStyle name="集計 2 6 5 3" xfId="1492" xr:uid="{00000000-0005-0000-0000-00006C130000}"/>
    <cellStyle name="集計 2 6 5 3 2" xfId="4456" xr:uid="{00000000-0005-0000-0000-00006D130000}"/>
    <cellStyle name="集計 2 6 5 3 2 2" xfId="9977" xr:uid="{00000000-0005-0000-0000-00006E130000}"/>
    <cellStyle name="集計 2 6 5 3 3" xfId="3517" xr:uid="{00000000-0005-0000-0000-00006F130000}"/>
    <cellStyle name="集計 2 6 5 3 3 2" xfId="9065" xr:uid="{00000000-0005-0000-0000-000070130000}"/>
    <cellStyle name="集計 2 6 5 3 4" xfId="7197" xr:uid="{00000000-0005-0000-0000-000071130000}"/>
    <cellStyle name="集計 2 6 5 4" xfId="6186" xr:uid="{00000000-0005-0000-0000-000072130000}"/>
    <cellStyle name="集計 2 6 6" xfId="669" xr:uid="{00000000-0005-0000-0000-000073130000}"/>
    <cellStyle name="集計 2 6 6 2" xfId="1775" xr:uid="{00000000-0005-0000-0000-000074130000}"/>
    <cellStyle name="集計 2 6 6 2 2" xfId="4684" xr:uid="{00000000-0005-0000-0000-000075130000}"/>
    <cellStyle name="集計 2 6 6 2 2 2" xfId="10183" xr:uid="{00000000-0005-0000-0000-000076130000}"/>
    <cellStyle name="集計 2 6 6 2 3" xfId="3518" xr:uid="{00000000-0005-0000-0000-000077130000}"/>
    <cellStyle name="集計 2 6 6 2 3 2" xfId="9066" xr:uid="{00000000-0005-0000-0000-000078130000}"/>
    <cellStyle name="集計 2 6 6 2 4" xfId="7458" xr:uid="{00000000-0005-0000-0000-000079130000}"/>
    <cellStyle name="集計 2 6 6 3" xfId="6449" xr:uid="{00000000-0005-0000-0000-00007A130000}"/>
    <cellStyle name="集計 2 6 7" xfId="1268" xr:uid="{00000000-0005-0000-0000-00007B130000}"/>
    <cellStyle name="集計 2 6 7 2" xfId="4232" xr:uid="{00000000-0005-0000-0000-00007C130000}"/>
    <cellStyle name="集計 2 6 7 2 2" xfId="9775" xr:uid="{00000000-0005-0000-0000-00007D130000}"/>
    <cellStyle name="集計 2 6 7 3" xfId="3519" xr:uid="{00000000-0005-0000-0000-00007E130000}"/>
    <cellStyle name="集計 2 6 7 3 2" xfId="9067" xr:uid="{00000000-0005-0000-0000-00007F130000}"/>
    <cellStyle name="集計 2 6 7 4" xfId="6995" xr:uid="{00000000-0005-0000-0000-000080130000}"/>
    <cellStyle name="集計 2 6 8" xfId="5984" xr:uid="{00000000-0005-0000-0000-000081130000}"/>
    <cellStyle name="集計 2 7" xfId="112" xr:uid="{00000000-0005-0000-0000-000082130000}"/>
    <cellStyle name="集計 2 7 2" xfId="173" xr:uid="{00000000-0005-0000-0000-000083130000}"/>
    <cellStyle name="集計 2 7 2 2" xfId="248" xr:uid="{00000000-0005-0000-0000-000084130000}"/>
    <cellStyle name="集計 2 7 2 2 2" xfId="470" xr:uid="{00000000-0005-0000-0000-000085130000}"/>
    <cellStyle name="集計 2 7 2 2 2 2" xfId="979" xr:uid="{00000000-0005-0000-0000-000086130000}"/>
    <cellStyle name="集計 2 7 2 2 2 2 2" xfId="2085" xr:uid="{00000000-0005-0000-0000-000087130000}"/>
    <cellStyle name="集計 2 7 2 2 2 2 2 2" xfId="4994" xr:uid="{00000000-0005-0000-0000-000088130000}"/>
    <cellStyle name="集計 2 7 2 2 2 2 2 2 2" xfId="10464" xr:uid="{00000000-0005-0000-0000-000089130000}"/>
    <cellStyle name="集計 2 7 2 2 2 2 2 3" xfId="3520" xr:uid="{00000000-0005-0000-0000-00008A130000}"/>
    <cellStyle name="集計 2 7 2 2 2 2 2 3 2" xfId="9068" xr:uid="{00000000-0005-0000-0000-00008B130000}"/>
    <cellStyle name="集計 2 7 2 2 2 2 2 4" xfId="7739" xr:uid="{00000000-0005-0000-0000-00008C130000}"/>
    <cellStyle name="集計 2 7 2 2 2 2 3" xfId="6730" xr:uid="{00000000-0005-0000-0000-00008D130000}"/>
    <cellStyle name="集計 2 7 2 2 2 3" xfId="1578" xr:uid="{00000000-0005-0000-0000-00008E130000}"/>
    <cellStyle name="集計 2 7 2 2 2 3 2" xfId="4542" xr:uid="{00000000-0005-0000-0000-00008F130000}"/>
    <cellStyle name="集計 2 7 2 2 2 3 2 2" xfId="10056" xr:uid="{00000000-0005-0000-0000-000090130000}"/>
    <cellStyle name="集計 2 7 2 2 2 3 3" xfId="3521" xr:uid="{00000000-0005-0000-0000-000091130000}"/>
    <cellStyle name="集計 2 7 2 2 2 3 3 2" xfId="9069" xr:uid="{00000000-0005-0000-0000-000092130000}"/>
    <cellStyle name="集計 2 7 2 2 2 3 4" xfId="7276" xr:uid="{00000000-0005-0000-0000-000093130000}"/>
    <cellStyle name="集計 2 7 2 2 2 4" xfId="6265" xr:uid="{00000000-0005-0000-0000-000094130000}"/>
    <cellStyle name="集計 2 7 2 2 3" xfId="757" xr:uid="{00000000-0005-0000-0000-000095130000}"/>
    <cellStyle name="集計 2 7 2 2 3 2" xfId="1863" xr:uid="{00000000-0005-0000-0000-000096130000}"/>
    <cellStyle name="集計 2 7 2 2 3 2 2" xfId="4772" xr:uid="{00000000-0005-0000-0000-000097130000}"/>
    <cellStyle name="集計 2 7 2 2 3 2 2 2" xfId="10264" xr:uid="{00000000-0005-0000-0000-000098130000}"/>
    <cellStyle name="集計 2 7 2 2 3 2 3" xfId="3522" xr:uid="{00000000-0005-0000-0000-000099130000}"/>
    <cellStyle name="集計 2 7 2 2 3 2 3 2" xfId="9070" xr:uid="{00000000-0005-0000-0000-00009A130000}"/>
    <cellStyle name="集計 2 7 2 2 3 2 4" xfId="7539" xr:uid="{00000000-0005-0000-0000-00009B130000}"/>
    <cellStyle name="集計 2 7 2 2 3 3" xfId="6530" xr:uid="{00000000-0005-0000-0000-00009C130000}"/>
    <cellStyle name="集計 2 7 2 2 4" xfId="1356" xr:uid="{00000000-0005-0000-0000-00009D130000}"/>
    <cellStyle name="集計 2 7 2 2 4 2" xfId="4320" xr:uid="{00000000-0005-0000-0000-00009E130000}"/>
    <cellStyle name="集計 2 7 2 2 4 2 2" xfId="9856" xr:uid="{00000000-0005-0000-0000-00009F130000}"/>
    <cellStyle name="集計 2 7 2 2 4 3" xfId="3523" xr:uid="{00000000-0005-0000-0000-0000A0130000}"/>
    <cellStyle name="集計 2 7 2 2 4 3 2" xfId="9071" xr:uid="{00000000-0005-0000-0000-0000A1130000}"/>
    <cellStyle name="集計 2 7 2 2 4 4" xfId="7076" xr:uid="{00000000-0005-0000-0000-0000A2130000}"/>
    <cellStyle name="集計 2 7 2 2 5" xfId="6065" xr:uid="{00000000-0005-0000-0000-0000A3130000}"/>
    <cellStyle name="集計 2 7 2 3" xfId="312" xr:uid="{00000000-0005-0000-0000-0000A4130000}"/>
    <cellStyle name="集計 2 7 2 3 2" xfId="534" xr:uid="{00000000-0005-0000-0000-0000A5130000}"/>
    <cellStyle name="集計 2 7 2 3 2 2" xfId="1043" xr:uid="{00000000-0005-0000-0000-0000A6130000}"/>
    <cellStyle name="集計 2 7 2 3 2 2 2" xfId="2149" xr:uid="{00000000-0005-0000-0000-0000A7130000}"/>
    <cellStyle name="集計 2 7 2 3 2 2 2 2" xfId="5058" xr:uid="{00000000-0005-0000-0000-0000A8130000}"/>
    <cellStyle name="集計 2 7 2 3 2 2 2 2 2" xfId="10523" xr:uid="{00000000-0005-0000-0000-0000A9130000}"/>
    <cellStyle name="集計 2 7 2 3 2 2 2 3" xfId="3524" xr:uid="{00000000-0005-0000-0000-0000AA130000}"/>
    <cellStyle name="集計 2 7 2 3 2 2 2 3 2" xfId="9072" xr:uid="{00000000-0005-0000-0000-0000AB130000}"/>
    <cellStyle name="集計 2 7 2 3 2 2 2 4" xfId="7798" xr:uid="{00000000-0005-0000-0000-0000AC130000}"/>
    <cellStyle name="集計 2 7 2 3 2 2 3" xfId="6789" xr:uid="{00000000-0005-0000-0000-0000AD130000}"/>
    <cellStyle name="集計 2 7 2 3 2 3" xfId="1642" xr:uid="{00000000-0005-0000-0000-0000AE130000}"/>
    <cellStyle name="集計 2 7 2 3 2 3 2" xfId="4606" xr:uid="{00000000-0005-0000-0000-0000AF130000}"/>
    <cellStyle name="集計 2 7 2 3 2 3 2 2" xfId="10115" xr:uid="{00000000-0005-0000-0000-0000B0130000}"/>
    <cellStyle name="集計 2 7 2 3 2 3 3" xfId="3525" xr:uid="{00000000-0005-0000-0000-0000B1130000}"/>
    <cellStyle name="集計 2 7 2 3 2 3 3 2" xfId="9073" xr:uid="{00000000-0005-0000-0000-0000B2130000}"/>
    <cellStyle name="集計 2 7 2 3 2 3 4" xfId="7335" xr:uid="{00000000-0005-0000-0000-0000B3130000}"/>
    <cellStyle name="集計 2 7 2 3 2 4" xfId="6324" xr:uid="{00000000-0005-0000-0000-0000B4130000}"/>
    <cellStyle name="集計 2 7 2 3 3" xfId="821" xr:uid="{00000000-0005-0000-0000-0000B5130000}"/>
    <cellStyle name="集計 2 7 2 3 3 2" xfId="1927" xr:uid="{00000000-0005-0000-0000-0000B6130000}"/>
    <cellStyle name="集計 2 7 2 3 3 2 2" xfId="4836" xr:uid="{00000000-0005-0000-0000-0000B7130000}"/>
    <cellStyle name="集計 2 7 2 3 3 2 2 2" xfId="10323" xr:uid="{00000000-0005-0000-0000-0000B8130000}"/>
    <cellStyle name="集計 2 7 2 3 3 2 3" xfId="3526" xr:uid="{00000000-0005-0000-0000-0000B9130000}"/>
    <cellStyle name="集計 2 7 2 3 3 2 3 2" xfId="9074" xr:uid="{00000000-0005-0000-0000-0000BA130000}"/>
    <cellStyle name="集計 2 7 2 3 3 2 4" xfId="7598" xr:uid="{00000000-0005-0000-0000-0000BB130000}"/>
    <cellStyle name="集計 2 7 2 3 3 3" xfId="6589" xr:uid="{00000000-0005-0000-0000-0000BC130000}"/>
    <cellStyle name="集計 2 7 2 3 4" xfId="1420" xr:uid="{00000000-0005-0000-0000-0000BD130000}"/>
    <cellStyle name="集計 2 7 2 3 4 2" xfId="4384" xr:uid="{00000000-0005-0000-0000-0000BE130000}"/>
    <cellStyle name="集計 2 7 2 3 4 2 2" xfId="9915" xr:uid="{00000000-0005-0000-0000-0000BF130000}"/>
    <cellStyle name="集計 2 7 2 3 4 3" xfId="3527" xr:uid="{00000000-0005-0000-0000-0000C0130000}"/>
    <cellStyle name="集計 2 7 2 3 4 3 2" xfId="9075" xr:uid="{00000000-0005-0000-0000-0000C1130000}"/>
    <cellStyle name="集計 2 7 2 3 4 4" xfId="7135" xr:uid="{00000000-0005-0000-0000-0000C2130000}"/>
    <cellStyle name="集計 2 7 2 3 5" xfId="6124" xr:uid="{00000000-0005-0000-0000-0000C3130000}"/>
    <cellStyle name="集計 2 7 2 4" xfId="396" xr:uid="{00000000-0005-0000-0000-0000C4130000}"/>
    <cellStyle name="集計 2 7 2 4 2" xfId="905" xr:uid="{00000000-0005-0000-0000-0000C5130000}"/>
    <cellStyle name="集計 2 7 2 4 2 2" xfId="2011" xr:uid="{00000000-0005-0000-0000-0000C6130000}"/>
    <cellStyle name="集計 2 7 2 4 2 2 2" xfId="4920" xr:uid="{00000000-0005-0000-0000-0000C7130000}"/>
    <cellStyle name="集計 2 7 2 4 2 2 2 2" xfId="10396" xr:uid="{00000000-0005-0000-0000-0000C8130000}"/>
    <cellStyle name="集計 2 7 2 4 2 2 3" xfId="3528" xr:uid="{00000000-0005-0000-0000-0000C9130000}"/>
    <cellStyle name="集計 2 7 2 4 2 2 3 2" xfId="9076" xr:uid="{00000000-0005-0000-0000-0000CA130000}"/>
    <cellStyle name="集計 2 7 2 4 2 2 4" xfId="7671" xr:uid="{00000000-0005-0000-0000-0000CB130000}"/>
    <cellStyle name="集計 2 7 2 4 2 3" xfId="6662" xr:uid="{00000000-0005-0000-0000-0000CC130000}"/>
    <cellStyle name="集計 2 7 2 4 3" xfId="1504" xr:uid="{00000000-0005-0000-0000-0000CD130000}"/>
    <cellStyle name="集計 2 7 2 4 3 2" xfId="4468" xr:uid="{00000000-0005-0000-0000-0000CE130000}"/>
    <cellStyle name="集計 2 7 2 4 3 2 2" xfId="9988" xr:uid="{00000000-0005-0000-0000-0000CF130000}"/>
    <cellStyle name="集計 2 7 2 4 3 3" xfId="3529" xr:uid="{00000000-0005-0000-0000-0000D0130000}"/>
    <cellStyle name="集計 2 7 2 4 3 3 2" xfId="9077" xr:uid="{00000000-0005-0000-0000-0000D1130000}"/>
    <cellStyle name="集計 2 7 2 4 3 4" xfId="7208" xr:uid="{00000000-0005-0000-0000-0000D2130000}"/>
    <cellStyle name="集計 2 7 2 4 4" xfId="6197" xr:uid="{00000000-0005-0000-0000-0000D3130000}"/>
    <cellStyle name="集計 2 7 2 5" xfId="682" xr:uid="{00000000-0005-0000-0000-0000D4130000}"/>
    <cellStyle name="集計 2 7 2 5 2" xfId="1788" xr:uid="{00000000-0005-0000-0000-0000D5130000}"/>
    <cellStyle name="集計 2 7 2 5 2 2" xfId="4697" xr:uid="{00000000-0005-0000-0000-0000D6130000}"/>
    <cellStyle name="集計 2 7 2 5 2 2 2" xfId="10195" xr:uid="{00000000-0005-0000-0000-0000D7130000}"/>
    <cellStyle name="集計 2 7 2 5 2 3" xfId="3530" xr:uid="{00000000-0005-0000-0000-0000D8130000}"/>
    <cellStyle name="集計 2 7 2 5 2 3 2" xfId="9078" xr:uid="{00000000-0005-0000-0000-0000D9130000}"/>
    <cellStyle name="集計 2 7 2 5 2 4" xfId="7470" xr:uid="{00000000-0005-0000-0000-0000DA130000}"/>
    <cellStyle name="集計 2 7 2 5 3" xfId="6461" xr:uid="{00000000-0005-0000-0000-0000DB130000}"/>
    <cellStyle name="集計 2 7 2 6" xfId="1281" xr:uid="{00000000-0005-0000-0000-0000DC130000}"/>
    <cellStyle name="集計 2 7 2 6 2" xfId="4245" xr:uid="{00000000-0005-0000-0000-0000DD130000}"/>
    <cellStyle name="集計 2 7 2 6 2 2" xfId="9787" xr:uid="{00000000-0005-0000-0000-0000DE130000}"/>
    <cellStyle name="集計 2 7 2 6 3" xfId="3531" xr:uid="{00000000-0005-0000-0000-0000DF130000}"/>
    <cellStyle name="集計 2 7 2 6 3 2" xfId="9079" xr:uid="{00000000-0005-0000-0000-0000E0130000}"/>
    <cellStyle name="集計 2 7 2 6 4" xfId="7007" xr:uid="{00000000-0005-0000-0000-0000E1130000}"/>
    <cellStyle name="集計 2 7 2 7" xfId="5996" xr:uid="{00000000-0005-0000-0000-0000E2130000}"/>
    <cellStyle name="集計 2 7 3" xfId="117" xr:uid="{00000000-0005-0000-0000-0000E3130000}"/>
    <cellStyle name="集計 2 7 3 2" xfId="365" xr:uid="{00000000-0005-0000-0000-0000E4130000}"/>
    <cellStyle name="集計 2 7 3 2 2" xfId="874" xr:uid="{00000000-0005-0000-0000-0000E5130000}"/>
    <cellStyle name="集計 2 7 3 2 2 2" xfId="1980" xr:uid="{00000000-0005-0000-0000-0000E6130000}"/>
    <cellStyle name="集計 2 7 3 2 2 2 2" xfId="4889" xr:uid="{00000000-0005-0000-0000-0000E7130000}"/>
    <cellStyle name="集計 2 7 3 2 2 2 2 2" xfId="10369" xr:uid="{00000000-0005-0000-0000-0000E8130000}"/>
    <cellStyle name="集計 2 7 3 2 2 2 3" xfId="3532" xr:uid="{00000000-0005-0000-0000-0000E9130000}"/>
    <cellStyle name="集計 2 7 3 2 2 2 3 2" xfId="9080" xr:uid="{00000000-0005-0000-0000-0000EA130000}"/>
    <cellStyle name="集計 2 7 3 2 2 2 4" xfId="7644" xr:uid="{00000000-0005-0000-0000-0000EB130000}"/>
    <cellStyle name="集計 2 7 3 2 2 3" xfId="6635" xr:uid="{00000000-0005-0000-0000-0000EC130000}"/>
    <cellStyle name="集計 2 7 3 2 3" xfId="1473" xr:uid="{00000000-0005-0000-0000-0000ED130000}"/>
    <cellStyle name="集計 2 7 3 2 3 2" xfId="4437" xr:uid="{00000000-0005-0000-0000-0000EE130000}"/>
    <cellStyle name="集計 2 7 3 2 3 2 2" xfId="9961" xr:uid="{00000000-0005-0000-0000-0000EF130000}"/>
    <cellStyle name="集計 2 7 3 2 3 3" xfId="3533" xr:uid="{00000000-0005-0000-0000-0000F0130000}"/>
    <cellStyle name="集計 2 7 3 2 3 3 2" xfId="9081" xr:uid="{00000000-0005-0000-0000-0000F1130000}"/>
    <cellStyle name="集計 2 7 3 2 3 4" xfId="7181" xr:uid="{00000000-0005-0000-0000-0000F2130000}"/>
    <cellStyle name="集計 2 7 3 2 4" xfId="6170" xr:uid="{00000000-0005-0000-0000-0000F3130000}"/>
    <cellStyle name="集計 2 7 3 3" xfId="654" xr:uid="{00000000-0005-0000-0000-0000F4130000}"/>
    <cellStyle name="集計 2 7 3 3 2" xfId="1760" xr:uid="{00000000-0005-0000-0000-0000F5130000}"/>
    <cellStyle name="集計 2 7 3 3 2 2" xfId="4669" xr:uid="{00000000-0005-0000-0000-0000F6130000}"/>
    <cellStyle name="集計 2 7 3 3 2 2 2" xfId="10171" xr:uid="{00000000-0005-0000-0000-0000F7130000}"/>
    <cellStyle name="集計 2 7 3 3 2 3" xfId="3534" xr:uid="{00000000-0005-0000-0000-0000F8130000}"/>
    <cellStyle name="集計 2 7 3 3 2 3 2" xfId="9082" xr:uid="{00000000-0005-0000-0000-0000F9130000}"/>
    <cellStyle name="集計 2 7 3 3 2 4" xfId="7446" xr:uid="{00000000-0005-0000-0000-0000FA130000}"/>
    <cellStyle name="集計 2 7 3 3 3" xfId="6437" xr:uid="{00000000-0005-0000-0000-0000FB130000}"/>
    <cellStyle name="集計 2 7 3 4" xfId="1226" xr:uid="{00000000-0005-0000-0000-0000FC130000}"/>
    <cellStyle name="集計 2 7 3 4 2" xfId="4217" xr:uid="{00000000-0005-0000-0000-0000FD130000}"/>
    <cellStyle name="集計 2 7 3 4 2 2" xfId="9763" xr:uid="{00000000-0005-0000-0000-0000FE130000}"/>
    <cellStyle name="集計 2 7 3 4 3" xfId="3535" xr:uid="{00000000-0005-0000-0000-0000FF130000}"/>
    <cellStyle name="集計 2 7 3 4 3 2" xfId="9083" xr:uid="{00000000-0005-0000-0000-000000140000}"/>
    <cellStyle name="集計 2 7 3 4 4" xfId="6957" xr:uid="{00000000-0005-0000-0000-000001140000}"/>
    <cellStyle name="集計 2 7 3 5" xfId="5945" xr:uid="{00000000-0005-0000-0000-000002140000}"/>
    <cellStyle name="集計 2 7 4" xfId="108" xr:uid="{00000000-0005-0000-0000-000003140000}"/>
    <cellStyle name="集計 2 7 4 2" xfId="359" xr:uid="{00000000-0005-0000-0000-000004140000}"/>
    <cellStyle name="集計 2 7 4 2 2" xfId="868" xr:uid="{00000000-0005-0000-0000-000005140000}"/>
    <cellStyle name="集計 2 7 4 2 2 2" xfId="1974" xr:uid="{00000000-0005-0000-0000-000006140000}"/>
    <cellStyle name="集計 2 7 4 2 2 2 2" xfId="4883" xr:uid="{00000000-0005-0000-0000-000007140000}"/>
    <cellStyle name="集計 2 7 4 2 2 2 2 2" xfId="10364" xr:uid="{00000000-0005-0000-0000-000008140000}"/>
    <cellStyle name="集計 2 7 4 2 2 2 3" xfId="3536" xr:uid="{00000000-0005-0000-0000-000009140000}"/>
    <cellStyle name="集計 2 7 4 2 2 2 3 2" xfId="9084" xr:uid="{00000000-0005-0000-0000-00000A140000}"/>
    <cellStyle name="集計 2 7 4 2 2 2 4" xfId="7639" xr:uid="{00000000-0005-0000-0000-00000B140000}"/>
    <cellStyle name="集計 2 7 4 2 2 3" xfId="6630" xr:uid="{00000000-0005-0000-0000-00000C140000}"/>
    <cellStyle name="集計 2 7 4 2 3" xfId="1467" xr:uid="{00000000-0005-0000-0000-00000D140000}"/>
    <cellStyle name="集計 2 7 4 2 3 2" xfId="4431" xr:uid="{00000000-0005-0000-0000-00000E140000}"/>
    <cellStyle name="集計 2 7 4 2 3 2 2" xfId="9956" xr:uid="{00000000-0005-0000-0000-00000F140000}"/>
    <cellStyle name="集計 2 7 4 2 3 3" xfId="3537" xr:uid="{00000000-0005-0000-0000-000010140000}"/>
    <cellStyle name="集計 2 7 4 2 3 3 2" xfId="9085" xr:uid="{00000000-0005-0000-0000-000011140000}"/>
    <cellStyle name="集計 2 7 4 2 3 4" xfId="7176" xr:uid="{00000000-0005-0000-0000-000012140000}"/>
    <cellStyle name="集計 2 7 4 2 4" xfId="6165" xr:uid="{00000000-0005-0000-0000-000013140000}"/>
    <cellStyle name="集計 2 7 4 3" xfId="645" xr:uid="{00000000-0005-0000-0000-000014140000}"/>
    <cellStyle name="集計 2 7 4 3 2" xfId="1751" xr:uid="{00000000-0005-0000-0000-000015140000}"/>
    <cellStyle name="集計 2 7 4 3 2 2" xfId="4660" xr:uid="{00000000-0005-0000-0000-000016140000}"/>
    <cellStyle name="集計 2 7 4 3 2 2 2" xfId="10162" xr:uid="{00000000-0005-0000-0000-000017140000}"/>
    <cellStyle name="集計 2 7 4 3 2 3" xfId="3538" xr:uid="{00000000-0005-0000-0000-000018140000}"/>
    <cellStyle name="集計 2 7 4 3 2 3 2" xfId="9086" xr:uid="{00000000-0005-0000-0000-000019140000}"/>
    <cellStyle name="集計 2 7 4 3 2 4" xfId="7437" xr:uid="{00000000-0005-0000-0000-00001A140000}"/>
    <cellStyle name="集計 2 7 4 3 3" xfId="6428" xr:uid="{00000000-0005-0000-0000-00001B140000}"/>
    <cellStyle name="集計 2 7 4 4" xfId="1217" xr:uid="{00000000-0005-0000-0000-00001C140000}"/>
    <cellStyle name="集計 2 7 4 4 2" xfId="4208" xr:uid="{00000000-0005-0000-0000-00001D140000}"/>
    <cellStyle name="集計 2 7 4 4 2 2" xfId="9754" xr:uid="{00000000-0005-0000-0000-00001E140000}"/>
    <cellStyle name="集計 2 7 4 4 3" xfId="3539" xr:uid="{00000000-0005-0000-0000-00001F140000}"/>
    <cellStyle name="集計 2 7 4 4 3 2" xfId="9087" xr:uid="{00000000-0005-0000-0000-000020140000}"/>
    <cellStyle name="集計 2 7 4 4 4" xfId="6948" xr:uid="{00000000-0005-0000-0000-000021140000}"/>
    <cellStyle name="集計 2 7 4 5" xfId="5936" xr:uid="{00000000-0005-0000-0000-000022140000}"/>
    <cellStyle name="集計 2 7 5" xfId="356" xr:uid="{00000000-0005-0000-0000-000023140000}"/>
    <cellStyle name="集計 2 7 5 2" xfId="865" xr:uid="{00000000-0005-0000-0000-000024140000}"/>
    <cellStyle name="集計 2 7 5 2 2" xfId="1971" xr:uid="{00000000-0005-0000-0000-000025140000}"/>
    <cellStyle name="集計 2 7 5 2 2 2" xfId="4880" xr:uid="{00000000-0005-0000-0000-000026140000}"/>
    <cellStyle name="集計 2 7 5 2 2 2 2" xfId="10361" xr:uid="{00000000-0005-0000-0000-000027140000}"/>
    <cellStyle name="集計 2 7 5 2 2 3" xfId="3540" xr:uid="{00000000-0005-0000-0000-000028140000}"/>
    <cellStyle name="集計 2 7 5 2 2 3 2" xfId="9088" xr:uid="{00000000-0005-0000-0000-000029140000}"/>
    <cellStyle name="集計 2 7 5 2 2 4" xfId="7636" xr:uid="{00000000-0005-0000-0000-00002A140000}"/>
    <cellStyle name="集計 2 7 5 2 3" xfId="6627" xr:uid="{00000000-0005-0000-0000-00002B140000}"/>
    <cellStyle name="集計 2 7 5 3" xfId="1464" xr:uid="{00000000-0005-0000-0000-00002C140000}"/>
    <cellStyle name="集計 2 7 5 3 2" xfId="4428" xr:uid="{00000000-0005-0000-0000-00002D140000}"/>
    <cellStyle name="集計 2 7 5 3 2 2" xfId="9953" xr:uid="{00000000-0005-0000-0000-00002E140000}"/>
    <cellStyle name="集計 2 7 5 3 3" xfId="3541" xr:uid="{00000000-0005-0000-0000-00002F140000}"/>
    <cellStyle name="集計 2 7 5 3 3 2" xfId="9089" xr:uid="{00000000-0005-0000-0000-000030140000}"/>
    <cellStyle name="集計 2 7 5 3 4" xfId="7173" xr:uid="{00000000-0005-0000-0000-000031140000}"/>
    <cellStyle name="集計 2 7 5 4" xfId="6162" xr:uid="{00000000-0005-0000-0000-000032140000}"/>
    <cellStyle name="集計 2 7 6" xfId="649" xr:uid="{00000000-0005-0000-0000-000033140000}"/>
    <cellStyle name="集計 2 7 6 2" xfId="1755" xr:uid="{00000000-0005-0000-0000-000034140000}"/>
    <cellStyle name="集計 2 7 6 2 2" xfId="4664" xr:uid="{00000000-0005-0000-0000-000035140000}"/>
    <cellStyle name="集計 2 7 6 2 2 2" xfId="10166" xr:uid="{00000000-0005-0000-0000-000036140000}"/>
    <cellStyle name="集計 2 7 6 2 3" xfId="3542" xr:uid="{00000000-0005-0000-0000-000037140000}"/>
    <cellStyle name="集計 2 7 6 2 3 2" xfId="9090" xr:uid="{00000000-0005-0000-0000-000038140000}"/>
    <cellStyle name="集計 2 7 6 2 4" xfId="7441" xr:uid="{00000000-0005-0000-0000-000039140000}"/>
    <cellStyle name="集計 2 7 6 3" xfId="6432" xr:uid="{00000000-0005-0000-0000-00003A140000}"/>
    <cellStyle name="集計 2 7 7" xfId="1221" xr:uid="{00000000-0005-0000-0000-00003B140000}"/>
    <cellStyle name="集計 2 7 7 2" xfId="4212" xr:uid="{00000000-0005-0000-0000-00003C140000}"/>
    <cellStyle name="集計 2 7 7 2 2" xfId="9758" xr:uid="{00000000-0005-0000-0000-00003D140000}"/>
    <cellStyle name="集計 2 7 7 3" xfId="3543" xr:uid="{00000000-0005-0000-0000-00003E140000}"/>
    <cellStyle name="集計 2 7 7 3 2" xfId="9091" xr:uid="{00000000-0005-0000-0000-00003F140000}"/>
    <cellStyle name="集計 2 7 7 4" xfId="6952" xr:uid="{00000000-0005-0000-0000-000040140000}"/>
    <cellStyle name="集計 2 7 8" xfId="5940" xr:uid="{00000000-0005-0000-0000-000041140000}"/>
    <cellStyle name="集計 2 8" xfId="171" xr:uid="{00000000-0005-0000-0000-000042140000}"/>
    <cellStyle name="集計 2 8 2" xfId="246" xr:uid="{00000000-0005-0000-0000-000043140000}"/>
    <cellStyle name="集計 2 8 2 2" xfId="468" xr:uid="{00000000-0005-0000-0000-000044140000}"/>
    <cellStyle name="集計 2 8 2 2 2" xfId="977" xr:uid="{00000000-0005-0000-0000-000045140000}"/>
    <cellStyle name="集計 2 8 2 2 2 2" xfId="2083" xr:uid="{00000000-0005-0000-0000-000046140000}"/>
    <cellStyle name="集計 2 8 2 2 2 2 2" xfId="4992" xr:uid="{00000000-0005-0000-0000-000047140000}"/>
    <cellStyle name="集計 2 8 2 2 2 2 2 2" xfId="10462" xr:uid="{00000000-0005-0000-0000-000048140000}"/>
    <cellStyle name="集計 2 8 2 2 2 2 3" xfId="3544" xr:uid="{00000000-0005-0000-0000-000049140000}"/>
    <cellStyle name="集計 2 8 2 2 2 2 3 2" xfId="9092" xr:uid="{00000000-0005-0000-0000-00004A140000}"/>
    <cellStyle name="集計 2 8 2 2 2 2 4" xfId="7737" xr:uid="{00000000-0005-0000-0000-00004B140000}"/>
    <cellStyle name="集計 2 8 2 2 2 3" xfId="6728" xr:uid="{00000000-0005-0000-0000-00004C140000}"/>
    <cellStyle name="集計 2 8 2 2 3" xfId="1576" xr:uid="{00000000-0005-0000-0000-00004D140000}"/>
    <cellStyle name="集計 2 8 2 2 3 2" xfId="4540" xr:uid="{00000000-0005-0000-0000-00004E140000}"/>
    <cellStyle name="集計 2 8 2 2 3 2 2" xfId="10054" xr:uid="{00000000-0005-0000-0000-00004F140000}"/>
    <cellStyle name="集計 2 8 2 2 3 3" xfId="3545" xr:uid="{00000000-0005-0000-0000-000050140000}"/>
    <cellStyle name="集計 2 8 2 2 3 3 2" xfId="9093" xr:uid="{00000000-0005-0000-0000-000051140000}"/>
    <cellStyle name="集計 2 8 2 2 3 4" xfId="7274" xr:uid="{00000000-0005-0000-0000-000052140000}"/>
    <cellStyle name="集計 2 8 2 2 4" xfId="6263" xr:uid="{00000000-0005-0000-0000-000053140000}"/>
    <cellStyle name="集計 2 8 2 3" xfId="755" xr:uid="{00000000-0005-0000-0000-000054140000}"/>
    <cellStyle name="集計 2 8 2 3 2" xfId="1861" xr:uid="{00000000-0005-0000-0000-000055140000}"/>
    <cellStyle name="集計 2 8 2 3 2 2" xfId="4770" xr:uid="{00000000-0005-0000-0000-000056140000}"/>
    <cellStyle name="集計 2 8 2 3 2 2 2" xfId="10262" xr:uid="{00000000-0005-0000-0000-000057140000}"/>
    <cellStyle name="集計 2 8 2 3 2 3" xfId="3546" xr:uid="{00000000-0005-0000-0000-000058140000}"/>
    <cellStyle name="集計 2 8 2 3 2 3 2" xfId="9094" xr:uid="{00000000-0005-0000-0000-000059140000}"/>
    <cellStyle name="集計 2 8 2 3 2 4" xfId="7537" xr:uid="{00000000-0005-0000-0000-00005A140000}"/>
    <cellStyle name="集計 2 8 2 3 3" xfId="6528" xr:uid="{00000000-0005-0000-0000-00005B140000}"/>
    <cellStyle name="集計 2 8 2 4" xfId="1354" xr:uid="{00000000-0005-0000-0000-00005C140000}"/>
    <cellStyle name="集計 2 8 2 4 2" xfId="4318" xr:uid="{00000000-0005-0000-0000-00005D140000}"/>
    <cellStyle name="集計 2 8 2 4 2 2" xfId="9854" xr:uid="{00000000-0005-0000-0000-00005E140000}"/>
    <cellStyle name="集計 2 8 2 4 3" xfId="3547" xr:uid="{00000000-0005-0000-0000-00005F140000}"/>
    <cellStyle name="集計 2 8 2 4 3 2" xfId="9095" xr:uid="{00000000-0005-0000-0000-000060140000}"/>
    <cellStyle name="集計 2 8 2 4 4" xfId="7074" xr:uid="{00000000-0005-0000-0000-000061140000}"/>
    <cellStyle name="集計 2 8 2 5" xfId="6063" xr:uid="{00000000-0005-0000-0000-000062140000}"/>
    <cellStyle name="集計 2 8 3" xfId="310" xr:uid="{00000000-0005-0000-0000-000063140000}"/>
    <cellStyle name="集計 2 8 3 2" xfId="532" xr:uid="{00000000-0005-0000-0000-000064140000}"/>
    <cellStyle name="集計 2 8 3 2 2" xfId="1041" xr:uid="{00000000-0005-0000-0000-000065140000}"/>
    <cellStyle name="集計 2 8 3 2 2 2" xfId="2147" xr:uid="{00000000-0005-0000-0000-000066140000}"/>
    <cellStyle name="集計 2 8 3 2 2 2 2" xfId="5056" xr:uid="{00000000-0005-0000-0000-000067140000}"/>
    <cellStyle name="集計 2 8 3 2 2 2 2 2" xfId="10521" xr:uid="{00000000-0005-0000-0000-000068140000}"/>
    <cellStyle name="集計 2 8 3 2 2 2 3" xfId="3548" xr:uid="{00000000-0005-0000-0000-000069140000}"/>
    <cellStyle name="集計 2 8 3 2 2 2 3 2" xfId="9096" xr:uid="{00000000-0005-0000-0000-00006A140000}"/>
    <cellStyle name="集計 2 8 3 2 2 2 4" xfId="7796" xr:uid="{00000000-0005-0000-0000-00006B140000}"/>
    <cellStyle name="集計 2 8 3 2 2 3" xfId="6787" xr:uid="{00000000-0005-0000-0000-00006C140000}"/>
    <cellStyle name="集計 2 8 3 2 3" xfId="1640" xr:uid="{00000000-0005-0000-0000-00006D140000}"/>
    <cellStyle name="集計 2 8 3 2 3 2" xfId="4604" xr:uid="{00000000-0005-0000-0000-00006E140000}"/>
    <cellStyle name="集計 2 8 3 2 3 2 2" xfId="10113" xr:uid="{00000000-0005-0000-0000-00006F140000}"/>
    <cellStyle name="集計 2 8 3 2 3 3" xfId="3549" xr:uid="{00000000-0005-0000-0000-000070140000}"/>
    <cellStyle name="集計 2 8 3 2 3 3 2" xfId="9097" xr:uid="{00000000-0005-0000-0000-000071140000}"/>
    <cellStyle name="集計 2 8 3 2 3 4" xfId="7333" xr:uid="{00000000-0005-0000-0000-000072140000}"/>
    <cellStyle name="集計 2 8 3 2 4" xfId="6322" xr:uid="{00000000-0005-0000-0000-000073140000}"/>
    <cellStyle name="集計 2 8 3 3" xfId="819" xr:uid="{00000000-0005-0000-0000-000074140000}"/>
    <cellStyle name="集計 2 8 3 3 2" xfId="1925" xr:uid="{00000000-0005-0000-0000-000075140000}"/>
    <cellStyle name="集計 2 8 3 3 2 2" xfId="4834" xr:uid="{00000000-0005-0000-0000-000076140000}"/>
    <cellStyle name="集計 2 8 3 3 2 2 2" xfId="10321" xr:uid="{00000000-0005-0000-0000-000077140000}"/>
    <cellStyle name="集計 2 8 3 3 2 3" xfId="3550" xr:uid="{00000000-0005-0000-0000-000078140000}"/>
    <cellStyle name="集計 2 8 3 3 2 3 2" xfId="9098" xr:uid="{00000000-0005-0000-0000-000079140000}"/>
    <cellStyle name="集計 2 8 3 3 2 4" xfId="7596" xr:uid="{00000000-0005-0000-0000-00007A140000}"/>
    <cellStyle name="集計 2 8 3 3 3" xfId="6587" xr:uid="{00000000-0005-0000-0000-00007B140000}"/>
    <cellStyle name="集計 2 8 3 4" xfId="1418" xr:uid="{00000000-0005-0000-0000-00007C140000}"/>
    <cellStyle name="集計 2 8 3 4 2" xfId="4382" xr:uid="{00000000-0005-0000-0000-00007D140000}"/>
    <cellStyle name="集計 2 8 3 4 2 2" xfId="9913" xr:uid="{00000000-0005-0000-0000-00007E140000}"/>
    <cellStyle name="集計 2 8 3 4 3" xfId="3551" xr:uid="{00000000-0005-0000-0000-00007F140000}"/>
    <cellStyle name="集計 2 8 3 4 3 2" xfId="9099" xr:uid="{00000000-0005-0000-0000-000080140000}"/>
    <cellStyle name="集計 2 8 3 4 4" xfId="7133" xr:uid="{00000000-0005-0000-0000-000081140000}"/>
    <cellStyle name="集計 2 8 3 5" xfId="6122" xr:uid="{00000000-0005-0000-0000-000082140000}"/>
    <cellStyle name="集計 2 8 4" xfId="394" xr:uid="{00000000-0005-0000-0000-000083140000}"/>
    <cellStyle name="集計 2 8 4 2" xfId="903" xr:uid="{00000000-0005-0000-0000-000084140000}"/>
    <cellStyle name="集計 2 8 4 2 2" xfId="2009" xr:uid="{00000000-0005-0000-0000-000085140000}"/>
    <cellStyle name="集計 2 8 4 2 2 2" xfId="4918" xr:uid="{00000000-0005-0000-0000-000086140000}"/>
    <cellStyle name="集計 2 8 4 2 2 2 2" xfId="10394" xr:uid="{00000000-0005-0000-0000-000087140000}"/>
    <cellStyle name="集計 2 8 4 2 2 3" xfId="3552" xr:uid="{00000000-0005-0000-0000-000088140000}"/>
    <cellStyle name="集計 2 8 4 2 2 3 2" xfId="9100" xr:uid="{00000000-0005-0000-0000-000089140000}"/>
    <cellStyle name="集計 2 8 4 2 2 4" xfId="7669" xr:uid="{00000000-0005-0000-0000-00008A140000}"/>
    <cellStyle name="集計 2 8 4 2 3" xfId="6660" xr:uid="{00000000-0005-0000-0000-00008B140000}"/>
    <cellStyle name="集計 2 8 4 3" xfId="1502" xr:uid="{00000000-0005-0000-0000-00008C140000}"/>
    <cellStyle name="集計 2 8 4 3 2" xfId="4466" xr:uid="{00000000-0005-0000-0000-00008D140000}"/>
    <cellStyle name="集計 2 8 4 3 2 2" xfId="9986" xr:uid="{00000000-0005-0000-0000-00008E140000}"/>
    <cellStyle name="集計 2 8 4 3 3" xfId="3553" xr:uid="{00000000-0005-0000-0000-00008F140000}"/>
    <cellStyle name="集計 2 8 4 3 3 2" xfId="9101" xr:uid="{00000000-0005-0000-0000-000090140000}"/>
    <cellStyle name="集計 2 8 4 3 4" xfId="7206" xr:uid="{00000000-0005-0000-0000-000091140000}"/>
    <cellStyle name="集計 2 8 4 4" xfId="6195" xr:uid="{00000000-0005-0000-0000-000092140000}"/>
    <cellStyle name="集計 2 8 5" xfId="680" xr:uid="{00000000-0005-0000-0000-000093140000}"/>
    <cellStyle name="集計 2 8 5 2" xfId="1786" xr:uid="{00000000-0005-0000-0000-000094140000}"/>
    <cellStyle name="集計 2 8 5 2 2" xfId="4695" xr:uid="{00000000-0005-0000-0000-000095140000}"/>
    <cellStyle name="集計 2 8 5 2 2 2" xfId="10193" xr:uid="{00000000-0005-0000-0000-000096140000}"/>
    <cellStyle name="集計 2 8 5 2 3" xfId="3554" xr:uid="{00000000-0005-0000-0000-000097140000}"/>
    <cellStyle name="集計 2 8 5 2 3 2" xfId="9102" xr:uid="{00000000-0005-0000-0000-000098140000}"/>
    <cellStyle name="集計 2 8 5 2 4" xfId="7468" xr:uid="{00000000-0005-0000-0000-000099140000}"/>
    <cellStyle name="集計 2 8 5 3" xfId="6459" xr:uid="{00000000-0005-0000-0000-00009A140000}"/>
    <cellStyle name="集計 2 8 6" xfId="1279" xr:uid="{00000000-0005-0000-0000-00009B140000}"/>
    <cellStyle name="集計 2 8 6 2" xfId="4243" xr:uid="{00000000-0005-0000-0000-00009C140000}"/>
    <cellStyle name="集計 2 8 6 2 2" xfId="9785" xr:uid="{00000000-0005-0000-0000-00009D140000}"/>
    <cellStyle name="集計 2 8 6 3" xfId="3555" xr:uid="{00000000-0005-0000-0000-00009E140000}"/>
    <cellStyle name="集計 2 8 6 3 2" xfId="9103" xr:uid="{00000000-0005-0000-0000-00009F140000}"/>
    <cellStyle name="集計 2 8 6 4" xfId="7005" xr:uid="{00000000-0005-0000-0000-0000A0140000}"/>
    <cellStyle name="集計 2 8 7" xfId="5994" xr:uid="{00000000-0005-0000-0000-0000A1140000}"/>
    <cellStyle name="集計 2 9" xfId="226" xr:uid="{00000000-0005-0000-0000-0000A2140000}"/>
    <cellStyle name="集計 2 9 2" xfId="448" xr:uid="{00000000-0005-0000-0000-0000A3140000}"/>
    <cellStyle name="集計 2 9 2 2" xfId="957" xr:uid="{00000000-0005-0000-0000-0000A4140000}"/>
    <cellStyle name="集計 2 9 2 2 2" xfId="2063" xr:uid="{00000000-0005-0000-0000-0000A5140000}"/>
    <cellStyle name="集計 2 9 2 2 2 2" xfId="4972" xr:uid="{00000000-0005-0000-0000-0000A6140000}"/>
    <cellStyle name="集計 2 9 2 2 2 2 2" xfId="10442" xr:uid="{00000000-0005-0000-0000-0000A7140000}"/>
    <cellStyle name="集計 2 9 2 2 2 3" xfId="3556" xr:uid="{00000000-0005-0000-0000-0000A8140000}"/>
    <cellStyle name="集計 2 9 2 2 2 3 2" xfId="9104" xr:uid="{00000000-0005-0000-0000-0000A9140000}"/>
    <cellStyle name="集計 2 9 2 2 2 4" xfId="7717" xr:uid="{00000000-0005-0000-0000-0000AA140000}"/>
    <cellStyle name="集計 2 9 2 2 3" xfId="6708" xr:uid="{00000000-0005-0000-0000-0000AB140000}"/>
    <cellStyle name="集計 2 9 2 3" xfId="1556" xr:uid="{00000000-0005-0000-0000-0000AC140000}"/>
    <cellStyle name="集計 2 9 2 3 2" xfId="4520" xr:uid="{00000000-0005-0000-0000-0000AD140000}"/>
    <cellStyle name="集計 2 9 2 3 2 2" xfId="10034" xr:uid="{00000000-0005-0000-0000-0000AE140000}"/>
    <cellStyle name="集計 2 9 2 3 3" xfId="3557" xr:uid="{00000000-0005-0000-0000-0000AF140000}"/>
    <cellStyle name="集計 2 9 2 3 3 2" xfId="9105" xr:uid="{00000000-0005-0000-0000-0000B0140000}"/>
    <cellStyle name="集計 2 9 2 3 4" xfId="7254" xr:uid="{00000000-0005-0000-0000-0000B1140000}"/>
    <cellStyle name="集計 2 9 2 4" xfId="6243" xr:uid="{00000000-0005-0000-0000-0000B2140000}"/>
    <cellStyle name="集計 2 9 3" xfId="735" xr:uid="{00000000-0005-0000-0000-0000B3140000}"/>
    <cellStyle name="集計 2 9 3 2" xfId="1841" xr:uid="{00000000-0005-0000-0000-0000B4140000}"/>
    <cellStyle name="集計 2 9 3 2 2" xfId="4750" xr:uid="{00000000-0005-0000-0000-0000B5140000}"/>
    <cellStyle name="集計 2 9 3 2 2 2" xfId="10242" xr:uid="{00000000-0005-0000-0000-0000B6140000}"/>
    <cellStyle name="集計 2 9 3 2 3" xfId="3558" xr:uid="{00000000-0005-0000-0000-0000B7140000}"/>
    <cellStyle name="集計 2 9 3 2 3 2" xfId="9106" xr:uid="{00000000-0005-0000-0000-0000B8140000}"/>
    <cellStyle name="集計 2 9 3 2 4" xfId="7517" xr:uid="{00000000-0005-0000-0000-0000B9140000}"/>
    <cellStyle name="集計 2 9 3 3" xfId="6508" xr:uid="{00000000-0005-0000-0000-0000BA140000}"/>
    <cellStyle name="集計 2 9 4" xfId="1334" xr:uid="{00000000-0005-0000-0000-0000BB140000}"/>
    <cellStyle name="集計 2 9 4 2" xfId="4298" xr:uid="{00000000-0005-0000-0000-0000BC140000}"/>
    <cellStyle name="集計 2 9 4 2 2" xfId="9834" xr:uid="{00000000-0005-0000-0000-0000BD140000}"/>
    <cellStyle name="集計 2 9 4 3" xfId="3559" xr:uid="{00000000-0005-0000-0000-0000BE140000}"/>
    <cellStyle name="集計 2 9 4 3 2" xfId="9107" xr:uid="{00000000-0005-0000-0000-0000BF140000}"/>
    <cellStyle name="集計 2 9 4 4" xfId="7054" xr:uid="{00000000-0005-0000-0000-0000C0140000}"/>
    <cellStyle name="集計 2 9 5" xfId="6043" xr:uid="{00000000-0005-0000-0000-0000C1140000}"/>
    <cellStyle name="出力" xfId="11" builtinId="21" customBuiltin="1"/>
    <cellStyle name="出力 2" xfId="90" xr:uid="{00000000-0005-0000-0000-0000C3140000}"/>
    <cellStyle name="出力 2 10" xfId="168" xr:uid="{00000000-0005-0000-0000-0000C4140000}"/>
    <cellStyle name="出力 2 10 2" xfId="392" xr:uid="{00000000-0005-0000-0000-0000C5140000}"/>
    <cellStyle name="出力 2 10 2 2" xfId="901" xr:uid="{00000000-0005-0000-0000-0000C6140000}"/>
    <cellStyle name="出力 2 10 2 2 2" xfId="2007" xr:uid="{00000000-0005-0000-0000-0000C7140000}"/>
    <cellStyle name="出力 2 10 2 2 2 2" xfId="4916" xr:uid="{00000000-0005-0000-0000-0000C8140000}"/>
    <cellStyle name="出力 2 10 2 2 2 2 2" xfId="10392" xr:uid="{00000000-0005-0000-0000-0000C9140000}"/>
    <cellStyle name="出力 2 10 2 2 2 3" xfId="3560" xr:uid="{00000000-0005-0000-0000-0000CA140000}"/>
    <cellStyle name="出力 2 10 2 2 2 3 2" xfId="9108" xr:uid="{00000000-0005-0000-0000-0000CB140000}"/>
    <cellStyle name="出力 2 10 2 2 2 4" xfId="7667" xr:uid="{00000000-0005-0000-0000-0000CC140000}"/>
    <cellStyle name="出力 2 10 2 2 3" xfId="6658" xr:uid="{00000000-0005-0000-0000-0000CD140000}"/>
    <cellStyle name="出力 2 10 2 3" xfId="1500" xr:uid="{00000000-0005-0000-0000-0000CE140000}"/>
    <cellStyle name="出力 2 10 2 3 2" xfId="4464" xr:uid="{00000000-0005-0000-0000-0000CF140000}"/>
    <cellStyle name="出力 2 10 2 3 2 2" xfId="9984" xr:uid="{00000000-0005-0000-0000-0000D0140000}"/>
    <cellStyle name="出力 2 10 2 3 3" xfId="3561" xr:uid="{00000000-0005-0000-0000-0000D1140000}"/>
    <cellStyle name="出力 2 10 2 3 3 2" xfId="9109" xr:uid="{00000000-0005-0000-0000-0000D2140000}"/>
    <cellStyle name="出力 2 10 2 3 4" xfId="7204" xr:uid="{00000000-0005-0000-0000-0000D3140000}"/>
    <cellStyle name="出力 2 10 2 4" xfId="6193" xr:uid="{00000000-0005-0000-0000-0000D4140000}"/>
    <cellStyle name="出力 2 10 3" xfId="677" xr:uid="{00000000-0005-0000-0000-0000D5140000}"/>
    <cellStyle name="出力 2 10 3 2" xfId="1783" xr:uid="{00000000-0005-0000-0000-0000D6140000}"/>
    <cellStyle name="出力 2 10 3 2 2" xfId="4692" xr:uid="{00000000-0005-0000-0000-0000D7140000}"/>
    <cellStyle name="出力 2 10 3 2 2 2" xfId="10190" xr:uid="{00000000-0005-0000-0000-0000D8140000}"/>
    <cellStyle name="出力 2 10 3 2 3" xfId="3562" xr:uid="{00000000-0005-0000-0000-0000D9140000}"/>
    <cellStyle name="出力 2 10 3 2 3 2" xfId="9110" xr:uid="{00000000-0005-0000-0000-0000DA140000}"/>
    <cellStyle name="出力 2 10 3 2 4" xfId="7465" xr:uid="{00000000-0005-0000-0000-0000DB140000}"/>
    <cellStyle name="出力 2 10 3 3" xfId="6456" xr:uid="{00000000-0005-0000-0000-0000DC140000}"/>
    <cellStyle name="出力 2 10 4" xfId="1276" xr:uid="{00000000-0005-0000-0000-0000DD140000}"/>
    <cellStyle name="出力 2 10 4 2" xfId="4240" xr:uid="{00000000-0005-0000-0000-0000DE140000}"/>
    <cellStyle name="出力 2 10 4 2 2" xfId="9782" xr:uid="{00000000-0005-0000-0000-0000DF140000}"/>
    <cellStyle name="出力 2 10 4 3" xfId="3563" xr:uid="{00000000-0005-0000-0000-0000E0140000}"/>
    <cellStyle name="出力 2 10 4 3 2" xfId="9111" xr:uid="{00000000-0005-0000-0000-0000E1140000}"/>
    <cellStyle name="出力 2 10 4 4" xfId="7002" xr:uid="{00000000-0005-0000-0000-0000E2140000}"/>
    <cellStyle name="出力 2 10 5" xfId="5991" xr:uid="{00000000-0005-0000-0000-0000E3140000}"/>
    <cellStyle name="出力 2 11" xfId="104" xr:uid="{00000000-0005-0000-0000-0000E4140000}"/>
    <cellStyle name="出力 2 11 2" xfId="641" xr:uid="{00000000-0005-0000-0000-0000E5140000}"/>
    <cellStyle name="出力 2 11 2 2" xfId="1747" xr:uid="{00000000-0005-0000-0000-0000E6140000}"/>
    <cellStyle name="出力 2 11 2 2 2" xfId="4656" xr:uid="{00000000-0005-0000-0000-0000E7140000}"/>
    <cellStyle name="出力 2 11 2 2 2 2" xfId="10158" xr:uid="{00000000-0005-0000-0000-0000E8140000}"/>
    <cellStyle name="出力 2 11 2 2 3" xfId="3564" xr:uid="{00000000-0005-0000-0000-0000E9140000}"/>
    <cellStyle name="出力 2 11 2 2 3 2" xfId="9112" xr:uid="{00000000-0005-0000-0000-0000EA140000}"/>
    <cellStyle name="出力 2 11 2 2 4" xfId="7433" xr:uid="{00000000-0005-0000-0000-0000EB140000}"/>
    <cellStyle name="出力 2 11 2 3" xfId="6424" xr:uid="{00000000-0005-0000-0000-0000EC140000}"/>
    <cellStyle name="出力 2 11 3" xfId="1213" xr:uid="{00000000-0005-0000-0000-0000ED140000}"/>
    <cellStyle name="出力 2 11 3 2" xfId="4204" xr:uid="{00000000-0005-0000-0000-0000EE140000}"/>
    <cellStyle name="出力 2 11 3 2 2" xfId="9750" xr:uid="{00000000-0005-0000-0000-0000EF140000}"/>
    <cellStyle name="出力 2 11 3 3" xfId="3565" xr:uid="{00000000-0005-0000-0000-0000F0140000}"/>
    <cellStyle name="出力 2 11 3 3 2" xfId="9113" xr:uid="{00000000-0005-0000-0000-0000F1140000}"/>
    <cellStyle name="出力 2 11 3 4" xfId="6944" xr:uid="{00000000-0005-0000-0000-0000F2140000}"/>
    <cellStyle name="出力 2 11 4" xfId="5932" xr:uid="{00000000-0005-0000-0000-0000F3140000}"/>
    <cellStyle name="出力 2 12" xfId="638" xr:uid="{00000000-0005-0000-0000-0000F4140000}"/>
    <cellStyle name="出力 2 12 2" xfId="1744" xr:uid="{00000000-0005-0000-0000-0000F5140000}"/>
    <cellStyle name="出力 2 12 2 2" xfId="4653" xr:uid="{00000000-0005-0000-0000-0000F6140000}"/>
    <cellStyle name="出力 2 12 2 2 2" xfId="10155" xr:uid="{00000000-0005-0000-0000-0000F7140000}"/>
    <cellStyle name="出力 2 12 2 3" xfId="3566" xr:uid="{00000000-0005-0000-0000-0000F8140000}"/>
    <cellStyle name="出力 2 12 2 3 2" xfId="9114" xr:uid="{00000000-0005-0000-0000-0000F9140000}"/>
    <cellStyle name="出力 2 12 2 4" xfId="7430" xr:uid="{00000000-0005-0000-0000-0000FA140000}"/>
    <cellStyle name="出力 2 12 3" xfId="6421" xr:uid="{00000000-0005-0000-0000-0000FB140000}"/>
    <cellStyle name="出力 2 13" xfId="1104" xr:uid="{00000000-0005-0000-0000-0000FC140000}"/>
    <cellStyle name="出力 2 13 2" xfId="2208" xr:uid="{00000000-0005-0000-0000-0000FD140000}"/>
    <cellStyle name="出力 2 13 2 2" xfId="5107" xr:uid="{00000000-0005-0000-0000-0000FE140000}"/>
    <cellStyle name="出力 2 13 2 2 2" xfId="10564" xr:uid="{00000000-0005-0000-0000-0000FF140000}"/>
    <cellStyle name="出力 2 13 2 3" xfId="3568" xr:uid="{00000000-0005-0000-0000-000000150000}"/>
    <cellStyle name="出力 2 13 2 3 2" xfId="9116" xr:uid="{00000000-0005-0000-0000-000001150000}"/>
    <cellStyle name="出力 2 13 2 4" xfId="7849" xr:uid="{00000000-0005-0000-0000-000002150000}"/>
    <cellStyle name="出力 2 13 3" xfId="2502" xr:uid="{00000000-0005-0000-0000-000003150000}"/>
    <cellStyle name="出力 2 13 3 2" xfId="5370" xr:uid="{00000000-0005-0000-0000-000004150000}"/>
    <cellStyle name="出力 2 13 3 2 2" xfId="10737" xr:uid="{00000000-0005-0000-0000-000005150000}"/>
    <cellStyle name="出力 2 13 3 3" xfId="3569" xr:uid="{00000000-0005-0000-0000-000006150000}"/>
    <cellStyle name="出力 2 13 3 3 2" xfId="9117" xr:uid="{00000000-0005-0000-0000-000007150000}"/>
    <cellStyle name="出力 2 13 3 4" xfId="8052" xr:uid="{00000000-0005-0000-0000-000008150000}"/>
    <cellStyle name="出力 2 13 4" xfId="4190" xr:uid="{00000000-0005-0000-0000-000009150000}"/>
    <cellStyle name="出力 2 13 4 2" xfId="9738" xr:uid="{00000000-0005-0000-0000-00000A150000}"/>
    <cellStyle name="出力 2 13 5" xfId="3567" xr:uid="{00000000-0005-0000-0000-00000B150000}"/>
    <cellStyle name="出力 2 13 5 2" xfId="9115" xr:uid="{00000000-0005-0000-0000-00000C150000}"/>
    <cellStyle name="出力 2 13 6" xfId="6842" xr:uid="{00000000-0005-0000-0000-00000D150000}"/>
    <cellStyle name="出力 2 14" xfId="1204" xr:uid="{00000000-0005-0000-0000-00000E150000}"/>
    <cellStyle name="出力 2 14 2" xfId="2551" xr:uid="{00000000-0005-0000-0000-00000F150000}"/>
    <cellStyle name="出力 2 14 2 2" xfId="5418" xr:uid="{00000000-0005-0000-0000-000010150000}"/>
    <cellStyle name="出力 2 14 2 2 2" xfId="10784" xr:uid="{00000000-0005-0000-0000-000011150000}"/>
    <cellStyle name="出力 2 14 2 3" xfId="3571" xr:uid="{00000000-0005-0000-0000-000012150000}"/>
    <cellStyle name="出力 2 14 2 3 2" xfId="9119" xr:uid="{00000000-0005-0000-0000-000013150000}"/>
    <cellStyle name="出力 2 14 2 4" xfId="8100" xr:uid="{00000000-0005-0000-0000-000014150000}"/>
    <cellStyle name="出力 2 14 3" xfId="4201" xr:uid="{00000000-0005-0000-0000-000015150000}"/>
    <cellStyle name="出力 2 14 3 2" xfId="9747" xr:uid="{00000000-0005-0000-0000-000016150000}"/>
    <cellStyle name="出力 2 14 4" xfId="3570" xr:uid="{00000000-0005-0000-0000-000017150000}"/>
    <cellStyle name="出力 2 14 4 2" xfId="9118" xr:uid="{00000000-0005-0000-0000-000018150000}"/>
    <cellStyle name="出力 2 14 5" xfId="6935" xr:uid="{00000000-0005-0000-0000-000019150000}"/>
    <cellStyle name="出力 2 15" xfId="1155" xr:uid="{00000000-0005-0000-0000-00001A150000}"/>
    <cellStyle name="出力 2 15 2" xfId="4196" xr:uid="{00000000-0005-0000-0000-00001B150000}"/>
    <cellStyle name="出力 2 15 2 2" xfId="9743" xr:uid="{00000000-0005-0000-0000-00001C150000}"/>
    <cellStyle name="出力 2 15 3" xfId="3572" xr:uid="{00000000-0005-0000-0000-00001D150000}"/>
    <cellStyle name="出力 2 15 3 2" xfId="9120" xr:uid="{00000000-0005-0000-0000-00001E150000}"/>
    <cellStyle name="出力 2 15 4" xfId="6888" xr:uid="{00000000-0005-0000-0000-00001F150000}"/>
    <cellStyle name="出力 2 16" xfId="5920" xr:uid="{00000000-0005-0000-0000-000020150000}"/>
    <cellStyle name="出力 2 2" xfId="165" xr:uid="{00000000-0005-0000-0000-000021150000}"/>
    <cellStyle name="出力 2 2 2" xfId="196" xr:uid="{00000000-0005-0000-0000-000022150000}"/>
    <cellStyle name="出力 2 2 2 2" xfId="267" xr:uid="{00000000-0005-0000-0000-000023150000}"/>
    <cellStyle name="出力 2 2 2 2 2" xfId="489" xr:uid="{00000000-0005-0000-0000-000024150000}"/>
    <cellStyle name="出力 2 2 2 2 2 2" xfId="998" xr:uid="{00000000-0005-0000-0000-000025150000}"/>
    <cellStyle name="出力 2 2 2 2 2 2 2" xfId="2104" xr:uid="{00000000-0005-0000-0000-000026150000}"/>
    <cellStyle name="出力 2 2 2 2 2 2 2 2" xfId="5013" xr:uid="{00000000-0005-0000-0000-000027150000}"/>
    <cellStyle name="出力 2 2 2 2 2 2 2 2 2" xfId="10481" xr:uid="{00000000-0005-0000-0000-000028150000}"/>
    <cellStyle name="出力 2 2 2 2 2 2 2 3" xfId="3573" xr:uid="{00000000-0005-0000-0000-000029150000}"/>
    <cellStyle name="出力 2 2 2 2 2 2 2 3 2" xfId="9121" xr:uid="{00000000-0005-0000-0000-00002A150000}"/>
    <cellStyle name="出力 2 2 2 2 2 2 2 4" xfId="7756" xr:uid="{00000000-0005-0000-0000-00002B150000}"/>
    <cellStyle name="出力 2 2 2 2 2 2 3" xfId="6747" xr:uid="{00000000-0005-0000-0000-00002C150000}"/>
    <cellStyle name="出力 2 2 2 2 2 3" xfId="1597" xr:uid="{00000000-0005-0000-0000-00002D150000}"/>
    <cellStyle name="出力 2 2 2 2 2 3 2" xfId="4561" xr:uid="{00000000-0005-0000-0000-00002E150000}"/>
    <cellStyle name="出力 2 2 2 2 2 3 2 2" xfId="10073" xr:uid="{00000000-0005-0000-0000-00002F150000}"/>
    <cellStyle name="出力 2 2 2 2 2 3 3" xfId="3574" xr:uid="{00000000-0005-0000-0000-000030150000}"/>
    <cellStyle name="出力 2 2 2 2 2 3 3 2" xfId="9122" xr:uid="{00000000-0005-0000-0000-000031150000}"/>
    <cellStyle name="出力 2 2 2 2 2 3 4" xfId="7293" xr:uid="{00000000-0005-0000-0000-000032150000}"/>
    <cellStyle name="出力 2 2 2 2 2 4" xfId="6282" xr:uid="{00000000-0005-0000-0000-000033150000}"/>
    <cellStyle name="出力 2 2 2 2 3" xfId="776" xr:uid="{00000000-0005-0000-0000-000034150000}"/>
    <cellStyle name="出力 2 2 2 2 3 2" xfId="1882" xr:uid="{00000000-0005-0000-0000-000035150000}"/>
    <cellStyle name="出力 2 2 2 2 3 2 2" xfId="4791" xr:uid="{00000000-0005-0000-0000-000036150000}"/>
    <cellStyle name="出力 2 2 2 2 3 2 2 2" xfId="10281" xr:uid="{00000000-0005-0000-0000-000037150000}"/>
    <cellStyle name="出力 2 2 2 2 3 2 3" xfId="3575" xr:uid="{00000000-0005-0000-0000-000038150000}"/>
    <cellStyle name="出力 2 2 2 2 3 2 3 2" xfId="9123" xr:uid="{00000000-0005-0000-0000-000039150000}"/>
    <cellStyle name="出力 2 2 2 2 3 2 4" xfId="7556" xr:uid="{00000000-0005-0000-0000-00003A150000}"/>
    <cellStyle name="出力 2 2 2 2 3 3" xfId="6547" xr:uid="{00000000-0005-0000-0000-00003B150000}"/>
    <cellStyle name="出力 2 2 2 2 4" xfId="1375" xr:uid="{00000000-0005-0000-0000-00003C150000}"/>
    <cellStyle name="出力 2 2 2 2 4 2" xfId="4339" xr:uid="{00000000-0005-0000-0000-00003D150000}"/>
    <cellStyle name="出力 2 2 2 2 4 2 2" xfId="9873" xr:uid="{00000000-0005-0000-0000-00003E150000}"/>
    <cellStyle name="出力 2 2 2 2 4 3" xfId="3576" xr:uid="{00000000-0005-0000-0000-00003F150000}"/>
    <cellStyle name="出力 2 2 2 2 4 3 2" xfId="9124" xr:uid="{00000000-0005-0000-0000-000040150000}"/>
    <cellStyle name="出力 2 2 2 2 4 4" xfId="7093" xr:uid="{00000000-0005-0000-0000-000041150000}"/>
    <cellStyle name="出力 2 2 2 2 5" xfId="6082" xr:uid="{00000000-0005-0000-0000-000042150000}"/>
    <cellStyle name="出力 2 2 2 3" xfId="332" xr:uid="{00000000-0005-0000-0000-000043150000}"/>
    <cellStyle name="出力 2 2 2 3 2" xfId="554" xr:uid="{00000000-0005-0000-0000-000044150000}"/>
    <cellStyle name="出力 2 2 2 3 2 2" xfId="1063" xr:uid="{00000000-0005-0000-0000-000045150000}"/>
    <cellStyle name="出力 2 2 2 3 2 2 2" xfId="2169" xr:uid="{00000000-0005-0000-0000-000046150000}"/>
    <cellStyle name="出力 2 2 2 3 2 2 2 2" xfId="5078" xr:uid="{00000000-0005-0000-0000-000047150000}"/>
    <cellStyle name="出力 2 2 2 3 2 2 2 2 2" xfId="10540" xr:uid="{00000000-0005-0000-0000-000048150000}"/>
    <cellStyle name="出力 2 2 2 3 2 2 2 3" xfId="3577" xr:uid="{00000000-0005-0000-0000-000049150000}"/>
    <cellStyle name="出力 2 2 2 3 2 2 2 3 2" xfId="9125" xr:uid="{00000000-0005-0000-0000-00004A150000}"/>
    <cellStyle name="出力 2 2 2 3 2 2 2 4" xfId="7815" xr:uid="{00000000-0005-0000-0000-00004B150000}"/>
    <cellStyle name="出力 2 2 2 3 2 2 3" xfId="6806" xr:uid="{00000000-0005-0000-0000-00004C150000}"/>
    <cellStyle name="出力 2 2 2 3 2 3" xfId="1662" xr:uid="{00000000-0005-0000-0000-00004D150000}"/>
    <cellStyle name="出力 2 2 2 3 2 3 2" xfId="4626" xr:uid="{00000000-0005-0000-0000-00004E150000}"/>
    <cellStyle name="出力 2 2 2 3 2 3 2 2" xfId="10132" xr:uid="{00000000-0005-0000-0000-00004F150000}"/>
    <cellStyle name="出力 2 2 2 3 2 3 3" xfId="3578" xr:uid="{00000000-0005-0000-0000-000050150000}"/>
    <cellStyle name="出力 2 2 2 3 2 3 3 2" xfId="9126" xr:uid="{00000000-0005-0000-0000-000051150000}"/>
    <cellStyle name="出力 2 2 2 3 2 3 4" xfId="7352" xr:uid="{00000000-0005-0000-0000-000052150000}"/>
    <cellStyle name="出力 2 2 2 3 2 4" xfId="6341" xr:uid="{00000000-0005-0000-0000-000053150000}"/>
    <cellStyle name="出力 2 2 2 3 3" xfId="841" xr:uid="{00000000-0005-0000-0000-000054150000}"/>
    <cellStyle name="出力 2 2 2 3 3 2" xfId="1947" xr:uid="{00000000-0005-0000-0000-000055150000}"/>
    <cellStyle name="出力 2 2 2 3 3 2 2" xfId="4856" xr:uid="{00000000-0005-0000-0000-000056150000}"/>
    <cellStyle name="出力 2 2 2 3 3 2 2 2" xfId="10340" xr:uid="{00000000-0005-0000-0000-000057150000}"/>
    <cellStyle name="出力 2 2 2 3 3 2 3" xfId="3579" xr:uid="{00000000-0005-0000-0000-000058150000}"/>
    <cellStyle name="出力 2 2 2 3 3 2 3 2" xfId="9127" xr:uid="{00000000-0005-0000-0000-000059150000}"/>
    <cellStyle name="出力 2 2 2 3 3 2 4" xfId="7615" xr:uid="{00000000-0005-0000-0000-00005A150000}"/>
    <cellStyle name="出力 2 2 2 3 3 3" xfId="6606" xr:uid="{00000000-0005-0000-0000-00005B150000}"/>
    <cellStyle name="出力 2 2 2 3 4" xfId="1440" xr:uid="{00000000-0005-0000-0000-00005C150000}"/>
    <cellStyle name="出力 2 2 2 3 4 2" xfId="4404" xr:uid="{00000000-0005-0000-0000-00005D150000}"/>
    <cellStyle name="出力 2 2 2 3 4 2 2" xfId="9932" xr:uid="{00000000-0005-0000-0000-00005E150000}"/>
    <cellStyle name="出力 2 2 2 3 4 3" xfId="3580" xr:uid="{00000000-0005-0000-0000-00005F150000}"/>
    <cellStyle name="出力 2 2 2 3 4 3 2" xfId="9128" xr:uid="{00000000-0005-0000-0000-000060150000}"/>
    <cellStyle name="出力 2 2 2 3 4 4" xfId="7152" xr:uid="{00000000-0005-0000-0000-000061150000}"/>
    <cellStyle name="出力 2 2 2 3 5" xfId="6141" xr:uid="{00000000-0005-0000-0000-000062150000}"/>
    <cellStyle name="出力 2 2 2 4" xfId="418" xr:uid="{00000000-0005-0000-0000-000063150000}"/>
    <cellStyle name="出力 2 2 2 4 2" xfId="927" xr:uid="{00000000-0005-0000-0000-000064150000}"/>
    <cellStyle name="出力 2 2 2 4 2 2" xfId="2033" xr:uid="{00000000-0005-0000-0000-000065150000}"/>
    <cellStyle name="出力 2 2 2 4 2 2 2" xfId="4942" xr:uid="{00000000-0005-0000-0000-000066150000}"/>
    <cellStyle name="出力 2 2 2 4 2 2 2 2" xfId="10415" xr:uid="{00000000-0005-0000-0000-000067150000}"/>
    <cellStyle name="出力 2 2 2 4 2 2 3" xfId="3581" xr:uid="{00000000-0005-0000-0000-000068150000}"/>
    <cellStyle name="出力 2 2 2 4 2 2 3 2" xfId="9129" xr:uid="{00000000-0005-0000-0000-000069150000}"/>
    <cellStyle name="出力 2 2 2 4 2 2 4" xfId="7690" xr:uid="{00000000-0005-0000-0000-00006A150000}"/>
    <cellStyle name="出力 2 2 2 4 2 3" xfId="6681" xr:uid="{00000000-0005-0000-0000-00006B150000}"/>
    <cellStyle name="出力 2 2 2 4 3" xfId="1526" xr:uid="{00000000-0005-0000-0000-00006C150000}"/>
    <cellStyle name="出力 2 2 2 4 3 2" xfId="4490" xr:uid="{00000000-0005-0000-0000-00006D150000}"/>
    <cellStyle name="出力 2 2 2 4 3 2 2" xfId="10007" xr:uid="{00000000-0005-0000-0000-00006E150000}"/>
    <cellStyle name="出力 2 2 2 4 3 3" xfId="3582" xr:uid="{00000000-0005-0000-0000-00006F150000}"/>
    <cellStyle name="出力 2 2 2 4 3 3 2" xfId="9130" xr:uid="{00000000-0005-0000-0000-000070150000}"/>
    <cellStyle name="出力 2 2 2 4 3 4" xfId="7227" xr:uid="{00000000-0005-0000-0000-000071150000}"/>
    <cellStyle name="出力 2 2 2 4 4" xfId="6216" xr:uid="{00000000-0005-0000-0000-000072150000}"/>
    <cellStyle name="出力 2 2 2 5" xfId="705" xr:uid="{00000000-0005-0000-0000-000073150000}"/>
    <cellStyle name="出力 2 2 2 5 2" xfId="1811" xr:uid="{00000000-0005-0000-0000-000074150000}"/>
    <cellStyle name="出力 2 2 2 5 2 2" xfId="4720" xr:uid="{00000000-0005-0000-0000-000075150000}"/>
    <cellStyle name="出力 2 2 2 5 2 2 2" xfId="10215" xr:uid="{00000000-0005-0000-0000-000076150000}"/>
    <cellStyle name="出力 2 2 2 5 2 3" xfId="3583" xr:uid="{00000000-0005-0000-0000-000077150000}"/>
    <cellStyle name="出力 2 2 2 5 2 3 2" xfId="9131" xr:uid="{00000000-0005-0000-0000-000078150000}"/>
    <cellStyle name="出力 2 2 2 5 2 4" xfId="7490" xr:uid="{00000000-0005-0000-0000-000079150000}"/>
    <cellStyle name="出力 2 2 2 5 3" xfId="6481" xr:uid="{00000000-0005-0000-0000-00007A150000}"/>
    <cellStyle name="出力 2 2 2 6" xfId="1304" xr:uid="{00000000-0005-0000-0000-00007B150000}"/>
    <cellStyle name="出力 2 2 2 6 2" xfId="4268" xr:uid="{00000000-0005-0000-0000-00007C150000}"/>
    <cellStyle name="出力 2 2 2 6 2 2" xfId="9807" xr:uid="{00000000-0005-0000-0000-00007D150000}"/>
    <cellStyle name="出力 2 2 2 6 3" xfId="3584" xr:uid="{00000000-0005-0000-0000-00007E150000}"/>
    <cellStyle name="出力 2 2 2 6 3 2" xfId="9132" xr:uid="{00000000-0005-0000-0000-00007F150000}"/>
    <cellStyle name="出力 2 2 2 6 4" xfId="7027" xr:uid="{00000000-0005-0000-0000-000080150000}"/>
    <cellStyle name="出力 2 2 2 7" xfId="6016" xr:uid="{00000000-0005-0000-0000-000081150000}"/>
    <cellStyle name="出力 2 2 3" xfId="217" xr:uid="{00000000-0005-0000-0000-000082150000}"/>
    <cellStyle name="出力 2 2 3 2" xfId="285" xr:uid="{00000000-0005-0000-0000-000083150000}"/>
    <cellStyle name="出力 2 2 3 2 2" xfId="507" xr:uid="{00000000-0005-0000-0000-000084150000}"/>
    <cellStyle name="出力 2 2 3 2 2 2" xfId="1016" xr:uid="{00000000-0005-0000-0000-000085150000}"/>
    <cellStyle name="出力 2 2 3 2 2 2 2" xfId="2122" xr:uid="{00000000-0005-0000-0000-000086150000}"/>
    <cellStyle name="出力 2 2 3 2 2 2 2 2" xfId="5031" xr:uid="{00000000-0005-0000-0000-000087150000}"/>
    <cellStyle name="出力 2 2 3 2 2 2 2 2 2" xfId="10499" xr:uid="{00000000-0005-0000-0000-000088150000}"/>
    <cellStyle name="出力 2 2 3 2 2 2 2 3" xfId="3585" xr:uid="{00000000-0005-0000-0000-000089150000}"/>
    <cellStyle name="出力 2 2 3 2 2 2 2 3 2" xfId="9133" xr:uid="{00000000-0005-0000-0000-00008A150000}"/>
    <cellStyle name="出力 2 2 3 2 2 2 2 4" xfId="7774" xr:uid="{00000000-0005-0000-0000-00008B150000}"/>
    <cellStyle name="出力 2 2 3 2 2 2 3" xfId="6765" xr:uid="{00000000-0005-0000-0000-00008C150000}"/>
    <cellStyle name="出力 2 2 3 2 2 3" xfId="1615" xr:uid="{00000000-0005-0000-0000-00008D150000}"/>
    <cellStyle name="出力 2 2 3 2 2 3 2" xfId="4579" xr:uid="{00000000-0005-0000-0000-00008E150000}"/>
    <cellStyle name="出力 2 2 3 2 2 3 2 2" xfId="10091" xr:uid="{00000000-0005-0000-0000-00008F150000}"/>
    <cellStyle name="出力 2 2 3 2 2 3 3" xfId="3586" xr:uid="{00000000-0005-0000-0000-000090150000}"/>
    <cellStyle name="出力 2 2 3 2 2 3 3 2" xfId="9134" xr:uid="{00000000-0005-0000-0000-000091150000}"/>
    <cellStyle name="出力 2 2 3 2 2 3 4" xfId="7311" xr:uid="{00000000-0005-0000-0000-000092150000}"/>
    <cellStyle name="出力 2 2 3 2 2 4" xfId="6300" xr:uid="{00000000-0005-0000-0000-000093150000}"/>
    <cellStyle name="出力 2 2 3 2 3" xfId="794" xr:uid="{00000000-0005-0000-0000-000094150000}"/>
    <cellStyle name="出力 2 2 3 2 3 2" xfId="1900" xr:uid="{00000000-0005-0000-0000-000095150000}"/>
    <cellStyle name="出力 2 2 3 2 3 2 2" xfId="4809" xr:uid="{00000000-0005-0000-0000-000096150000}"/>
    <cellStyle name="出力 2 2 3 2 3 2 2 2" xfId="10299" xr:uid="{00000000-0005-0000-0000-000097150000}"/>
    <cellStyle name="出力 2 2 3 2 3 2 3" xfId="3587" xr:uid="{00000000-0005-0000-0000-000098150000}"/>
    <cellStyle name="出力 2 2 3 2 3 2 3 2" xfId="9135" xr:uid="{00000000-0005-0000-0000-000099150000}"/>
    <cellStyle name="出力 2 2 3 2 3 2 4" xfId="7574" xr:uid="{00000000-0005-0000-0000-00009A150000}"/>
    <cellStyle name="出力 2 2 3 2 3 3" xfId="6565" xr:uid="{00000000-0005-0000-0000-00009B150000}"/>
    <cellStyle name="出力 2 2 3 2 4" xfId="1393" xr:uid="{00000000-0005-0000-0000-00009C150000}"/>
    <cellStyle name="出力 2 2 3 2 4 2" xfId="4357" xr:uid="{00000000-0005-0000-0000-00009D150000}"/>
    <cellStyle name="出力 2 2 3 2 4 2 2" xfId="9891" xr:uid="{00000000-0005-0000-0000-00009E150000}"/>
    <cellStyle name="出力 2 2 3 2 4 3" xfId="3588" xr:uid="{00000000-0005-0000-0000-00009F150000}"/>
    <cellStyle name="出力 2 2 3 2 4 3 2" xfId="9136" xr:uid="{00000000-0005-0000-0000-0000A0150000}"/>
    <cellStyle name="出力 2 2 3 2 4 4" xfId="7111" xr:uid="{00000000-0005-0000-0000-0000A1150000}"/>
    <cellStyle name="出力 2 2 3 2 5" xfId="6100" xr:uid="{00000000-0005-0000-0000-0000A2150000}"/>
    <cellStyle name="出力 2 2 3 3" xfId="353" xr:uid="{00000000-0005-0000-0000-0000A3150000}"/>
    <cellStyle name="出力 2 2 3 3 2" xfId="575" xr:uid="{00000000-0005-0000-0000-0000A4150000}"/>
    <cellStyle name="出力 2 2 3 3 2 2" xfId="1084" xr:uid="{00000000-0005-0000-0000-0000A5150000}"/>
    <cellStyle name="出力 2 2 3 3 2 2 2" xfId="2190" xr:uid="{00000000-0005-0000-0000-0000A6150000}"/>
    <cellStyle name="出力 2 2 3 3 2 2 2 2" xfId="5099" xr:uid="{00000000-0005-0000-0000-0000A7150000}"/>
    <cellStyle name="出力 2 2 3 3 2 2 2 2 2" xfId="10558" xr:uid="{00000000-0005-0000-0000-0000A8150000}"/>
    <cellStyle name="出力 2 2 3 3 2 2 2 3" xfId="3589" xr:uid="{00000000-0005-0000-0000-0000A9150000}"/>
    <cellStyle name="出力 2 2 3 3 2 2 2 3 2" xfId="9137" xr:uid="{00000000-0005-0000-0000-0000AA150000}"/>
    <cellStyle name="出力 2 2 3 3 2 2 2 4" xfId="7833" xr:uid="{00000000-0005-0000-0000-0000AB150000}"/>
    <cellStyle name="出力 2 2 3 3 2 2 3" xfId="6824" xr:uid="{00000000-0005-0000-0000-0000AC150000}"/>
    <cellStyle name="出力 2 2 3 3 2 3" xfId="1683" xr:uid="{00000000-0005-0000-0000-0000AD150000}"/>
    <cellStyle name="出力 2 2 3 3 2 3 2" xfId="4647" xr:uid="{00000000-0005-0000-0000-0000AE150000}"/>
    <cellStyle name="出力 2 2 3 3 2 3 2 2" xfId="10150" xr:uid="{00000000-0005-0000-0000-0000AF150000}"/>
    <cellStyle name="出力 2 2 3 3 2 3 3" xfId="3590" xr:uid="{00000000-0005-0000-0000-0000B0150000}"/>
    <cellStyle name="出力 2 2 3 3 2 3 3 2" xfId="9138" xr:uid="{00000000-0005-0000-0000-0000B1150000}"/>
    <cellStyle name="出力 2 2 3 3 2 3 4" xfId="7370" xr:uid="{00000000-0005-0000-0000-0000B2150000}"/>
    <cellStyle name="出力 2 2 3 3 2 4" xfId="6359" xr:uid="{00000000-0005-0000-0000-0000B3150000}"/>
    <cellStyle name="出力 2 2 3 3 3" xfId="862" xr:uid="{00000000-0005-0000-0000-0000B4150000}"/>
    <cellStyle name="出力 2 2 3 3 3 2" xfId="1968" xr:uid="{00000000-0005-0000-0000-0000B5150000}"/>
    <cellStyle name="出力 2 2 3 3 3 2 2" xfId="4877" xr:uid="{00000000-0005-0000-0000-0000B6150000}"/>
    <cellStyle name="出力 2 2 3 3 3 2 2 2" xfId="10358" xr:uid="{00000000-0005-0000-0000-0000B7150000}"/>
    <cellStyle name="出力 2 2 3 3 3 2 3" xfId="3591" xr:uid="{00000000-0005-0000-0000-0000B8150000}"/>
    <cellStyle name="出力 2 2 3 3 3 2 3 2" xfId="9139" xr:uid="{00000000-0005-0000-0000-0000B9150000}"/>
    <cellStyle name="出力 2 2 3 3 3 2 4" xfId="7633" xr:uid="{00000000-0005-0000-0000-0000BA150000}"/>
    <cellStyle name="出力 2 2 3 3 3 3" xfId="6624" xr:uid="{00000000-0005-0000-0000-0000BB150000}"/>
    <cellStyle name="出力 2 2 3 3 4" xfId="1461" xr:uid="{00000000-0005-0000-0000-0000BC150000}"/>
    <cellStyle name="出力 2 2 3 3 4 2" xfId="4425" xr:uid="{00000000-0005-0000-0000-0000BD150000}"/>
    <cellStyle name="出力 2 2 3 3 4 2 2" xfId="9950" xr:uid="{00000000-0005-0000-0000-0000BE150000}"/>
    <cellStyle name="出力 2 2 3 3 4 3" xfId="3592" xr:uid="{00000000-0005-0000-0000-0000BF150000}"/>
    <cellStyle name="出力 2 2 3 3 4 3 2" xfId="9140" xr:uid="{00000000-0005-0000-0000-0000C0150000}"/>
    <cellStyle name="出力 2 2 3 3 4 4" xfId="7170" xr:uid="{00000000-0005-0000-0000-0000C1150000}"/>
    <cellStyle name="出力 2 2 3 3 5" xfId="6159" xr:uid="{00000000-0005-0000-0000-0000C2150000}"/>
    <cellStyle name="出力 2 2 3 4" xfId="439" xr:uid="{00000000-0005-0000-0000-0000C3150000}"/>
    <cellStyle name="出力 2 2 3 4 2" xfId="948" xr:uid="{00000000-0005-0000-0000-0000C4150000}"/>
    <cellStyle name="出力 2 2 3 4 2 2" xfId="2054" xr:uid="{00000000-0005-0000-0000-0000C5150000}"/>
    <cellStyle name="出力 2 2 3 4 2 2 2" xfId="4963" xr:uid="{00000000-0005-0000-0000-0000C6150000}"/>
    <cellStyle name="出力 2 2 3 4 2 2 2 2" xfId="10433" xr:uid="{00000000-0005-0000-0000-0000C7150000}"/>
    <cellStyle name="出力 2 2 3 4 2 2 3" xfId="3593" xr:uid="{00000000-0005-0000-0000-0000C8150000}"/>
    <cellStyle name="出力 2 2 3 4 2 2 3 2" xfId="9141" xr:uid="{00000000-0005-0000-0000-0000C9150000}"/>
    <cellStyle name="出力 2 2 3 4 2 2 4" xfId="7708" xr:uid="{00000000-0005-0000-0000-0000CA150000}"/>
    <cellStyle name="出力 2 2 3 4 2 3" xfId="6699" xr:uid="{00000000-0005-0000-0000-0000CB150000}"/>
    <cellStyle name="出力 2 2 3 4 3" xfId="1547" xr:uid="{00000000-0005-0000-0000-0000CC150000}"/>
    <cellStyle name="出力 2 2 3 4 3 2" xfId="4511" xr:uid="{00000000-0005-0000-0000-0000CD150000}"/>
    <cellStyle name="出力 2 2 3 4 3 2 2" xfId="10025" xr:uid="{00000000-0005-0000-0000-0000CE150000}"/>
    <cellStyle name="出力 2 2 3 4 3 3" xfId="3594" xr:uid="{00000000-0005-0000-0000-0000CF150000}"/>
    <cellStyle name="出力 2 2 3 4 3 3 2" xfId="9142" xr:uid="{00000000-0005-0000-0000-0000D0150000}"/>
    <cellStyle name="出力 2 2 3 4 3 4" xfId="7245" xr:uid="{00000000-0005-0000-0000-0000D1150000}"/>
    <cellStyle name="出力 2 2 3 4 4" xfId="6234" xr:uid="{00000000-0005-0000-0000-0000D2150000}"/>
    <cellStyle name="出力 2 2 3 5" xfId="726" xr:uid="{00000000-0005-0000-0000-0000D3150000}"/>
    <cellStyle name="出力 2 2 3 5 2" xfId="1832" xr:uid="{00000000-0005-0000-0000-0000D4150000}"/>
    <cellStyle name="出力 2 2 3 5 2 2" xfId="4741" xr:uid="{00000000-0005-0000-0000-0000D5150000}"/>
    <cellStyle name="出力 2 2 3 5 2 2 2" xfId="10233" xr:uid="{00000000-0005-0000-0000-0000D6150000}"/>
    <cellStyle name="出力 2 2 3 5 2 3" xfId="3595" xr:uid="{00000000-0005-0000-0000-0000D7150000}"/>
    <cellStyle name="出力 2 2 3 5 2 3 2" xfId="9143" xr:uid="{00000000-0005-0000-0000-0000D8150000}"/>
    <cellStyle name="出力 2 2 3 5 2 4" xfId="7508" xr:uid="{00000000-0005-0000-0000-0000D9150000}"/>
    <cellStyle name="出力 2 2 3 5 3" xfId="6499" xr:uid="{00000000-0005-0000-0000-0000DA150000}"/>
    <cellStyle name="出力 2 2 3 6" xfId="1325" xr:uid="{00000000-0005-0000-0000-0000DB150000}"/>
    <cellStyle name="出力 2 2 3 6 2" xfId="4289" xr:uid="{00000000-0005-0000-0000-0000DC150000}"/>
    <cellStyle name="出力 2 2 3 6 2 2" xfId="9825" xr:uid="{00000000-0005-0000-0000-0000DD150000}"/>
    <cellStyle name="出力 2 2 3 6 3" xfId="3596" xr:uid="{00000000-0005-0000-0000-0000DE150000}"/>
    <cellStyle name="出力 2 2 3 6 3 2" xfId="9144" xr:uid="{00000000-0005-0000-0000-0000DF150000}"/>
    <cellStyle name="出力 2 2 3 6 4" xfId="7045" xr:uid="{00000000-0005-0000-0000-0000E0150000}"/>
    <cellStyle name="出力 2 2 3 7" xfId="6034" xr:uid="{00000000-0005-0000-0000-0000E1150000}"/>
    <cellStyle name="出力 2 2 4" xfId="242" xr:uid="{00000000-0005-0000-0000-0000E2150000}"/>
    <cellStyle name="出力 2 2 4 2" xfId="464" xr:uid="{00000000-0005-0000-0000-0000E3150000}"/>
    <cellStyle name="出力 2 2 4 2 2" xfId="973" xr:uid="{00000000-0005-0000-0000-0000E4150000}"/>
    <cellStyle name="出力 2 2 4 2 2 2" xfId="2079" xr:uid="{00000000-0005-0000-0000-0000E5150000}"/>
    <cellStyle name="出力 2 2 4 2 2 2 2" xfId="4988" xr:uid="{00000000-0005-0000-0000-0000E6150000}"/>
    <cellStyle name="出力 2 2 4 2 2 2 2 2" xfId="10458" xr:uid="{00000000-0005-0000-0000-0000E7150000}"/>
    <cellStyle name="出力 2 2 4 2 2 2 3" xfId="3597" xr:uid="{00000000-0005-0000-0000-0000E8150000}"/>
    <cellStyle name="出力 2 2 4 2 2 2 3 2" xfId="9145" xr:uid="{00000000-0005-0000-0000-0000E9150000}"/>
    <cellStyle name="出力 2 2 4 2 2 2 4" xfId="7733" xr:uid="{00000000-0005-0000-0000-0000EA150000}"/>
    <cellStyle name="出力 2 2 4 2 2 3" xfId="6724" xr:uid="{00000000-0005-0000-0000-0000EB150000}"/>
    <cellStyle name="出力 2 2 4 2 3" xfId="1572" xr:uid="{00000000-0005-0000-0000-0000EC150000}"/>
    <cellStyle name="出力 2 2 4 2 3 2" xfId="4536" xr:uid="{00000000-0005-0000-0000-0000ED150000}"/>
    <cellStyle name="出力 2 2 4 2 3 2 2" xfId="10050" xr:uid="{00000000-0005-0000-0000-0000EE150000}"/>
    <cellStyle name="出力 2 2 4 2 3 3" xfId="3598" xr:uid="{00000000-0005-0000-0000-0000EF150000}"/>
    <cellStyle name="出力 2 2 4 2 3 3 2" xfId="9146" xr:uid="{00000000-0005-0000-0000-0000F0150000}"/>
    <cellStyle name="出力 2 2 4 2 3 4" xfId="7270" xr:uid="{00000000-0005-0000-0000-0000F1150000}"/>
    <cellStyle name="出力 2 2 4 2 4" xfId="6259" xr:uid="{00000000-0005-0000-0000-0000F2150000}"/>
    <cellStyle name="出力 2 2 4 3" xfId="751" xr:uid="{00000000-0005-0000-0000-0000F3150000}"/>
    <cellStyle name="出力 2 2 4 3 2" xfId="1857" xr:uid="{00000000-0005-0000-0000-0000F4150000}"/>
    <cellStyle name="出力 2 2 4 3 2 2" xfId="4766" xr:uid="{00000000-0005-0000-0000-0000F5150000}"/>
    <cellStyle name="出力 2 2 4 3 2 2 2" xfId="10258" xr:uid="{00000000-0005-0000-0000-0000F6150000}"/>
    <cellStyle name="出力 2 2 4 3 2 3" xfId="3599" xr:uid="{00000000-0005-0000-0000-0000F7150000}"/>
    <cellStyle name="出力 2 2 4 3 2 3 2" xfId="9147" xr:uid="{00000000-0005-0000-0000-0000F8150000}"/>
    <cellStyle name="出力 2 2 4 3 2 4" xfId="7533" xr:uid="{00000000-0005-0000-0000-0000F9150000}"/>
    <cellStyle name="出力 2 2 4 3 3" xfId="6524" xr:uid="{00000000-0005-0000-0000-0000FA150000}"/>
    <cellStyle name="出力 2 2 4 4" xfId="1350" xr:uid="{00000000-0005-0000-0000-0000FB150000}"/>
    <cellStyle name="出力 2 2 4 4 2" xfId="4314" xr:uid="{00000000-0005-0000-0000-0000FC150000}"/>
    <cellStyle name="出力 2 2 4 4 2 2" xfId="9850" xr:uid="{00000000-0005-0000-0000-0000FD150000}"/>
    <cellStyle name="出力 2 2 4 4 3" xfId="3600" xr:uid="{00000000-0005-0000-0000-0000FE150000}"/>
    <cellStyle name="出力 2 2 4 4 3 2" xfId="9148" xr:uid="{00000000-0005-0000-0000-0000FF150000}"/>
    <cellStyle name="出力 2 2 4 4 4" xfId="7070" xr:uid="{00000000-0005-0000-0000-000000160000}"/>
    <cellStyle name="出力 2 2 4 5" xfId="6059" xr:uid="{00000000-0005-0000-0000-000001160000}"/>
    <cellStyle name="出力 2 2 5" xfId="306" xr:uid="{00000000-0005-0000-0000-000002160000}"/>
    <cellStyle name="出力 2 2 5 2" xfId="528" xr:uid="{00000000-0005-0000-0000-000003160000}"/>
    <cellStyle name="出力 2 2 5 2 2" xfId="1037" xr:uid="{00000000-0005-0000-0000-000004160000}"/>
    <cellStyle name="出力 2 2 5 2 2 2" xfId="2143" xr:uid="{00000000-0005-0000-0000-000005160000}"/>
    <cellStyle name="出力 2 2 5 2 2 2 2" xfId="5052" xr:uid="{00000000-0005-0000-0000-000006160000}"/>
    <cellStyle name="出力 2 2 5 2 2 2 2 2" xfId="10517" xr:uid="{00000000-0005-0000-0000-000007160000}"/>
    <cellStyle name="出力 2 2 5 2 2 2 3" xfId="3601" xr:uid="{00000000-0005-0000-0000-000008160000}"/>
    <cellStyle name="出力 2 2 5 2 2 2 3 2" xfId="9149" xr:uid="{00000000-0005-0000-0000-000009160000}"/>
    <cellStyle name="出力 2 2 5 2 2 2 4" xfId="7792" xr:uid="{00000000-0005-0000-0000-00000A160000}"/>
    <cellStyle name="出力 2 2 5 2 2 3" xfId="6783" xr:uid="{00000000-0005-0000-0000-00000B160000}"/>
    <cellStyle name="出力 2 2 5 2 3" xfId="1636" xr:uid="{00000000-0005-0000-0000-00000C160000}"/>
    <cellStyle name="出力 2 2 5 2 3 2" xfId="4600" xr:uid="{00000000-0005-0000-0000-00000D160000}"/>
    <cellStyle name="出力 2 2 5 2 3 2 2" xfId="10109" xr:uid="{00000000-0005-0000-0000-00000E160000}"/>
    <cellStyle name="出力 2 2 5 2 3 3" xfId="3602" xr:uid="{00000000-0005-0000-0000-00000F160000}"/>
    <cellStyle name="出力 2 2 5 2 3 3 2" xfId="9150" xr:uid="{00000000-0005-0000-0000-000010160000}"/>
    <cellStyle name="出力 2 2 5 2 3 4" xfId="7329" xr:uid="{00000000-0005-0000-0000-000011160000}"/>
    <cellStyle name="出力 2 2 5 2 4" xfId="6318" xr:uid="{00000000-0005-0000-0000-000012160000}"/>
    <cellStyle name="出力 2 2 5 3" xfId="815" xr:uid="{00000000-0005-0000-0000-000013160000}"/>
    <cellStyle name="出力 2 2 5 3 2" xfId="1921" xr:uid="{00000000-0005-0000-0000-000014160000}"/>
    <cellStyle name="出力 2 2 5 3 2 2" xfId="4830" xr:uid="{00000000-0005-0000-0000-000015160000}"/>
    <cellStyle name="出力 2 2 5 3 2 2 2" xfId="10317" xr:uid="{00000000-0005-0000-0000-000016160000}"/>
    <cellStyle name="出力 2 2 5 3 2 3" xfId="3603" xr:uid="{00000000-0005-0000-0000-000017160000}"/>
    <cellStyle name="出力 2 2 5 3 2 3 2" xfId="9151" xr:uid="{00000000-0005-0000-0000-000018160000}"/>
    <cellStyle name="出力 2 2 5 3 2 4" xfId="7592" xr:uid="{00000000-0005-0000-0000-000019160000}"/>
    <cellStyle name="出力 2 2 5 3 3" xfId="6583" xr:uid="{00000000-0005-0000-0000-00001A160000}"/>
    <cellStyle name="出力 2 2 5 4" xfId="1414" xr:uid="{00000000-0005-0000-0000-00001B160000}"/>
    <cellStyle name="出力 2 2 5 4 2" xfId="4378" xr:uid="{00000000-0005-0000-0000-00001C160000}"/>
    <cellStyle name="出力 2 2 5 4 2 2" xfId="9909" xr:uid="{00000000-0005-0000-0000-00001D160000}"/>
    <cellStyle name="出力 2 2 5 4 3" xfId="3604" xr:uid="{00000000-0005-0000-0000-00001E160000}"/>
    <cellStyle name="出力 2 2 5 4 3 2" xfId="9152" xr:uid="{00000000-0005-0000-0000-00001F160000}"/>
    <cellStyle name="出力 2 2 5 4 4" xfId="7129" xr:uid="{00000000-0005-0000-0000-000020160000}"/>
    <cellStyle name="出力 2 2 5 5" xfId="6118" xr:uid="{00000000-0005-0000-0000-000021160000}"/>
    <cellStyle name="出力 2 2 6" xfId="389" xr:uid="{00000000-0005-0000-0000-000022160000}"/>
    <cellStyle name="出力 2 2 6 2" xfId="898" xr:uid="{00000000-0005-0000-0000-000023160000}"/>
    <cellStyle name="出力 2 2 6 2 2" xfId="2004" xr:uid="{00000000-0005-0000-0000-000024160000}"/>
    <cellStyle name="出力 2 2 6 2 2 2" xfId="4913" xr:uid="{00000000-0005-0000-0000-000025160000}"/>
    <cellStyle name="出力 2 2 6 2 2 2 2" xfId="10389" xr:uid="{00000000-0005-0000-0000-000026160000}"/>
    <cellStyle name="出力 2 2 6 2 2 3" xfId="3605" xr:uid="{00000000-0005-0000-0000-000027160000}"/>
    <cellStyle name="出力 2 2 6 2 2 3 2" xfId="9153" xr:uid="{00000000-0005-0000-0000-000028160000}"/>
    <cellStyle name="出力 2 2 6 2 2 4" xfId="7664" xr:uid="{00000000-0005-0000-0000-000029160000}"/>
    <cellStyle name="出力 2 2 6 2 3" xfId="6655" xr:uid="{00000000-0005-0000-0000-00002A160000}"/>
    <cellStyle name="出力 2 2 6 3" xfId="1497" xr:uid="{00000000-0005-0000-0000-00002B160000}"/>
    <cellStyle name="出力 2 2 6 3 2" xfId="4461" xr:uid="{00000000-0005-0000-0000-00002C160000}"/>
    <cellStyle name="出力 2 2 6 3 2 2" xfId="9981" xr:uid="{00000000-0005-0000-0000-00002D160000}"/>
    <cellStyle name="出力 2 2 6 3 3" xfId="3606" xr:uid="{00000000-0005-0000-0000-00002E160000}"/>
    <cellStyle name="出力 2 2 6 3 3 2" xfId="9154" xr:uid="{00000000-0005-0000-0000-00002F160000}"/>
    <cellStyle name="出力 2 2 6 3 4" xfId="7201" xr:uid="{00000000-0005-0000-0000-000030160000}"/>
    <cellStyle name="出力 2 2 6 4" xfId="6190" xr:uid="{00000000-0005-0000-0000-000031160000}"/>
    <cellStyle name="出力 2 2 7" xfId="674" xr:uid="{00000000-0005-0000-0000-000032160000}"/>
    <cellStyle name="出力 2 2 7 2" xfId="1780" xr:uid="{00000000-0005-0000-0000-000033160000}"/>
    <cellStyle name="出力 2 2 7 2 2" xfId="4689" xr:uid="{00000000-0005-0000-0000-000034160000}"/>
    <cellStyle name="出力 2 2 7 2 2 2" xfId="10187" xr:uid="{00000000-0005-0000-0000-000035160000}"/>
    <cellStyle name="出力 2 2 7 2 3" xfId="3607" xr:uid="{00000000-0005-0000-0000-000036160000}"/>
    <cellStyle name="出力 2 2 7 2 3 2" xfId="9155" xr:uid="{00000000-0005-0000-0000-000037160000}"/>
    <cellStyle name="出力 2 2 7 2 4" xfId="7462" xr:uid="{00000000-0005-0000-0000-000038160000}"/>
    <cellStyle name="出力 2 2 7 3" xfId="6453" xr:uid="{00000000-0005-0000-0000-000039160000}"/>
    <cellStyle name="出力 2 2 8" xfId="1273" xr:uid="{00000000-0005-0000-0000-00003A160000}"/>
    <cellStyle name="出力 2 2 8 2" xfId="4237" xr:uid="{00000000-0005-0000-0000-00003B160000}"/>
    <cellStyle name="出力 2 2 8 2 2" xfId="9779" xr:uid="{00000000-0005-0000-0000-00003C160000}"/>
    <cellStyle name="出力 2 2 8 3" xfId="3608" xr:uid="{00000000-0005-0000-0000-00003D160000}"/>
    <cellStyle name="出力 2 2 8 3 2" xfId="9156" xr:uid="{00000000-0005-0000-0000-00003E160000}"/>
    <cellStyle name="出力 2 2 8 4" xfId="6999" xr:uid="{00000000-0005-0000-0000-00003F160000}"/>
    <cellStyle name="出力 2 2 9" xfId="5988" xr:uid="{00000000-0005-0000-0000-000040160000}"/>
    <cellStyle name="出力 2 3" xfId="153" xr:uid="{00000000-0005-0000-0000-000041160000}"/>
    <cellStyle name="出力 2 3 2" xfId="188" xr:uid="{00000000-0005-0000-0000-000042160000}"/>
    <cellStyle name="出力 2 3 2 2" xfId="259" xr:uid="{00000000-0005-0000-0000-000043160000}"/>
    <cellStyle name="出力 2 3 2 2 2" xfId="481" xr:uid="{00000000-0005-0000-0000-000044160000}"/>
    <cellStyle name="出力 2 3 2 2 2 2" xfId="990" xr:uid="{00000000-0005-0000-0000-000045160000}"/>
    <cellStyle name="出力 2 3 2 2 2 2 2" xfId="2096" xr:uid="{00000000-0005-0000-0000-000046160000}"/>
    <cellStyle name="出力 2 3 2 2 2 2 2 2" xfId="5005" xr:uid="{00000000-0005-0000-0000-000047160000}"/>
    <cellStyle name="出力 2 3 2 2 2 2 2 2 2" xfId="10474" xr:uid="{00000000-0005-0000-0000-000048160000}"/>
    <cellStyle name="出力 2 3 2 2 2 2 2 3" xfId="3609" xr:uid="{00000000-0005-0000-0000-000049160000}"/>
    <cellStyle name="出力 2 3 2 2 2 2 2 3 2" xfId="9157" xr:uid="{00000000-0005-0000-0000-00004A160000}"/>
    <cellStyle name="出力 2 3 2 2 2 2 2 4" xfId="7749" xr:uid="{00000000-0005-0000-0000-00004B160000}"/>
    <cellStyle name="出力 2 3 2 2 2 2 3" xfId="6740" xr:uid="{00000000-0005-0000-0000-00004C160000}"/>
    <cellStyle name="出力 2 3 2 2 2 3" xfId="1589" xr:uid="{00000000-0005-0000-0000-00004D160000}"/>
    <cellStyle name="出力 2 3 2 2 2 3 2" xfId="4553" xr:uid="{00000000-0005-0000-0000-00004E160000}"/>
    <cellStyle name="出力 2 3 2 2 2 3 2 2" xfId="10066" xr:uid="{00000000-0005-0000-0000-00004F160000}"/>
    <cellStyle name="出力 2 3 2 2 2 3 3" xfId="3610" xr:uid="{00000000-0005-0000-0000-000050160000}"/>
    <cellStyle name="出力 2 3 2 2 2 3 3 2" xfId="9158" xr:uid="{00000000-0005-0000-0000-000051160000}"/>
    <cellStyle name="出力 2 3 2 2 2 3 4" xfId="7286" xr:uid="{00000000-0005-0000-0000-000052160000}"/>
    <cellStyle name="出力 2 3 2 2 2 4" xfId="6275" xr:uid="{00000000-0005-0000-0000-000053160000}"/>
    <cellStyle name="出力 2 3 2 2 3" xfId="768" xr:uid="{00000000-0005-0000-0000-000054160000}"/>
    <cellStyle name="出力 2 3 2 2 3 2" xfId="1874" xr:uid="{00000000-0005-0000-0000-000055160000}"/>
    <cellStyle name="出力 2 3 2 2 3 2 2" xfId="4783" xr:uid="{00000000-0005-0000-0000-000056160000}"/>
    <cellStyle name="出力 2 3 2 2 3 2 2 2" xfId="10274" xr:uid="{00000000-0005-0000-0000-000057160000}"/>
    <cellStyle name="出力 2 3 2 2 3 2 3" xfId="3611" xr:uid="{00000000-0005-0000-0000-000058160000}"/>
    <cellStyle name="出力 2 3 2 2 3 2 3 2" xfId="9159" xr:uid="{00000000-0005-0000-0000-000059160000}"/>
    <cellStyle name="出力 2 3 2 2 3 2 4" xfId="7549" xr:uid="{00000000-0005-0000-0000-00005A160000}"/>
    <cellStyle name="出力 2 3 2 2 3 3" xfId="6540" xr:uid="{00000000-0005-0000-0000-00005B160000}"/>
    <cellStyle name="出力 2 3 2 2 4" xfId="1367" xr:uid="{00000000-0005-0000-0000-00005C160000}"/>
    <cellStyle name="出力 2 3 2 2 4 2" xfId="4331" xr:uid="{00000000-0005-0000-0000-00005D160000}"/>
    <cellStyle name="出力 2 3 2 2 4 2 2" xfId="9866" xr:uid="{00000000-0005-0000-0000-00005E160000}"/>
    <cellStyle name="出力 2 3 2 2 4 3" xfId="3612" xr:uid="{00000000-0005-0000-0000-00005F160000}"/>
    <cellStyle name="出力 2 3 2 2 4 3 2" xfId="9160" xr:uid="{00000000-0005-0000-0000-000060160000}"/>
    <cellStyle name="出力 2 3 2 2 4 4" xfId="7086" xr:uid="{00000000-0005-0000-0000-000061160000}"/>
    <cellStyle name="出力 2 3 2 2 5" xfId="6075" xr:uid="{00000000-0005-0000-0000-000062160000}"/>
    <cellStyle name="出力 2 3 2 3" xfId="324" xr:uid="{00000000-0005-0000-0000-000063160000}"/>
    <cellStyle name="出力 2 3 2 3 2" xfId="546" xr:uid="{00000000-0005-0000-0000-000064160000}"/>
    <cellStyle name="出力 2 3 2 3 2 2" xfId="1055" xr:uid="{00000000-0005-0000-0000-000065160000}"/>
    <cellStyle name="出力 2 3 2 3 2 2 2" xfId="2161" xr:uid="{00000000-0005-0000-0000-000066160000}"/>
    <cellStyle name="出力 2 3 2 3 2 2 2 2" xfId="5070" xr:uid="{00000000-0005-0000-0000-000067160000}"/>
    <cellStyle name="出力 2 3 2 3 2 2 2 2 2" xfId="10533" xr:uid="{00000000-0005-0000-0000-000068160000}"/>
    <cellStyle name="出力 2 3 2 3 2 2 2 3" xfId="3613" xr:uid="{00000000-0005-0000-0000-000069160000}"/>
    <cellStyle name="出力 2 3 2 3 2 2 2 3 2" xfId="9161" xr:uid="{00000000-0005-0000-0000-00006A160000}"/>
    <cellStyle name="出力 2 3 2 3 2 2 2 4" xfId="7808" xr:uid="{00000000-0005-0000-0000-00006B160000}"/>
    <cellStyle name="出力 2 3 2 3 2 2 3" xfId="6799" xr:uid="{00000000-0005-0000-0000-00006C160000}"/>
    <cellStyle name="出力 2 3 2 3 2 3" xfId="1654" xr:uid="{00000000-0005-0000-0000-00006D160000}"/>
    <cellStyle name="出力 2 3 2 3 2 3 2" xfId="4618" xr:uid="{00000000-0005-0000-0000-00006E160000}"/>
    <cellStyle name="出力 2 3 2 3 2 3 2 2" xfId="10125" xr:uid="{00000000-0005-0000-0000-00006F160000}"/>
    <cellStyle name="出力 2 3 2 3 2 3 3" xfId="3614" xr:uid="{00000000-0005-0000-0000-000070160000}"/>
    <cellStyle name="出力 2 3 2 3 2 3 3 2" xfId="9162" xr:uid="{00000000-0005-0000-0000-000071160000}"/>
    <cellStyle name="出力 2 3 2 3 2 3 4" xfId="7345" xr:uid="{00000000-0005-0000-0000-000072160000}"/>
    <cellStyle name="出力 2 3 2 3 2 4" xfId="6334" xr:uid="{00000000-0005-0000-0000-000073160000}"/>
    <cellStyle name="出力 2 3 2 3 3" xfId="833" xr:uid="{00000000-0005-0000-0000-000074160000}"/>
    <cellStyle name="出力 2 3 2 3 3 2" xfId="1939" xr:uid="{00000000-0005-0000-0000-000075160000}"/>
    <cellStyle name="出力 2 3 2 3 3 2 2" xfId="4848" xr:uid="{00000000-0005-0000-0000-000076160000}"/>
    <cellStyle name="出力 2 3 2 3 3 2 2 2" xfId="10333" xr:uid="{00000000-0005-0000-0000-000077160000}"/>
    <cellStyle name="出力 2 3 2 3 3 2 3" xfId="3615" xr:uid="{00000000-0005-0000-0000-000078160000}"/>
    <cellStyle name="出力 2 3 2 3 3 2 3 2" xfId="9163" xr:uid="{00000000-0005-0000-0000-000079160000}"/>
    <cellStyle name="出力 2 3 2 3 3 2 4" xfId="7608" xr:uid="{00000000-0005-0000-0000-00007A160000}"/>
    <cellStyle name="出力 2 3 2 3 3 3" xfId="6599" xr:uid="{00000000-0005-0000-0000-00007B160000}"/>
    <cellStyle name="出力 2 3 2 3 4" xfId="1432" xr:uid="{00000000-0005-0000-0000-00007C160000}"/>
    <cellStyle name="出力 2 3 2 3 4 2" xfId="4396" xr:uid="{00000000-0005-0000-0000-00007D160000}"/>
    <cellStyle name="出力 2 3 2 3 4 2 2" xfId="9925" xr:uid="{00000000-0005-0000-0000-00007E160000}"/>
    <cellStyle name="出力 2 3 2 3 4 3" xfId="3616" xr:uid="{00000000-0005-0000-0000-00007F160000}"/>
    <cellStyle name="出力 2 3 2 3 4 3 2" xfId="9164" xr:uid="{00000000-0005-0000-0000-000080160000}"/>
    <cellStyle name="出力 2 3 2 3 4 4" xfId="7145" xr:uid="{00000000-0005-0000-0000-000081160000}"/>
    <cellStyle name="出力 2 3 2 3 5" xfId="6134" xr:uid="{00000000-0005-0000-0000-000082160000}"/>
    <cellStyle name="出力 2 3 2 4" xfId="410" xr:uid="{00000000-0005-0000-0000-000083160000}"/>
    <cellStyle name="出力 2 3 2 4 2" xfId="919" xr:uid="{00000000-0005-0000-0000-000084160000}"/>
    <cellStyle name="出力 2 3 2 4 2 2" xfId="2025" xr:uid="{00000000-0005-0000-0000-000085160000}"/>
    <cellStyle name="出力 2 3 2 4 2 2 2" xfId="4934" xr:uid="{00000000-0005-0000-0000-000086160000}"/>
    <cellStyle name="出力 2 3 2 4 2 2 2 2" xfId="10408" xr:uid="{00000000-0005-0000-0000-000087160000}"/>
    <cellStyle name="出力 2 3 2 4 2 2 3" xfId="3617" xr:uid="{00000000-0005-0000-0000-000088160000}"/>
    <cellStyle name="出力 2 3 2 4 2 2 3 2" xfId="9165" xr:uid="{00000000-0005-0000-0000-000089160000}"/>
    <cellStyle name="出力 2 3 2 4 2 2 4" xfId="7683" xr:uid="{00000000-0005-0000-0000-00008A160000}"/>
    <cellStyle name="出力 2 3 2 4 2 3" xfId="6674" xr:uid="{00000000-0005-0000-0000-00008B160000}"/>
    <cellStyle name="出力 2 3 2 4 3" xfId="1518" xr:uid="{00000000-0005-0000-0000-00008C160000}"/>
    <cellStyle name="出力 2 3 2 4 3 2" xfId="4482" xr:uid="{00000000-0005-0000-0000-00008D160000}"/>
    <cellStyle name="出力 2 3 2 4 3 2 2" xfId="10000" xr:uid="{00000000-0005-0000-0000-00008E160000}"/>
    <cellStyle name="出力 2 3 2 4 3 3" xfId="3618" xr:uid="{00000000-0005-0000-0000-00008F160000}"/>
    <cellStyle name="出力 2 3 2 4 3 3 2" xfId="9166" xr:uid="{00000000-0005-0000-0000-000090160000}"/>
    <cellStyle name="出力 2 3 2 4 3 4" xfId="7220" xr:uid="{00000000-0005-0000-0000-000091160000}"/>
    <cellStyle name="出力 2 3 2 4 4" xfId="6209" xr:uid="{00000000-0005-0000-0000-000092160000}"/>
    <cellStyle name="出力 2 3 2 5" xfId="697" xr:uid="{00000000-0005-0000-0000-000093160000}"/>
    <cellStyle name="出力 2 3 2 5 2" xfId="1803" xr:uid="{00000000-0005-0000-0000-000094160000}"/>
    <cellStyle name="出力 2 3 2 5 2 2" xfId="4712" xr:uid="{00000000-0005-0000-0000-000095160000}"/>
    <cellStyle name="出力 2 3 2 5 2 2 2" xfId="10208" xr:uid="{00000000-0005-0000-0000-000096160000}"/>
    <cellStyle name="出力 2 3 2 5 2 3" xfId="3619" xr:uid="{00000000-0005-0000-0000-000097160000}"/>
    <cellStyle name="出力 2 3 2 5 2 3 2" xfId="9167" xr:uid="{00000000-0005-0000-0000-000098160000}"/>
    <cellStyle name="出力 2 3 2 5 2 4" xfId="7483" xr:uid="{00000000-0005-0000-0000-000099160000}"/>
    <cellStyle name="出力 2 3 2 5 3" xfId="6474" xr:uid="{00000000-0005-0000-0000-00009A160000}"/>
    <cellStyle name="出力 2 3 2 6" xfId="1296" xr:uid="{00000000-0005-0000-0000-00009B160000}"/>
    <cellStyle name="出力 2 3 2 6 2" xfId="4260" xr:uid="{00000000-0005-0000-0000-00009C160000}"/>
    <cellStyle name="出力 2 3 2 6 2 2" xfId="9800" xr:uid="{00000000-0005-0000-0000-00009D160000}"/>
    <cellStyle name="出力 2 3 2 6 3" xfId="3620" xr:uid="{00000000-0005-0000-0000-00009E160000}"/>
    <cellStyle name="出力 2 3 2 6 3 2" xfId="9168" xr:uid="{00000000-0005-0000-0000-00009F160000}"/>
    <cellStyle name="出力 2 3 2 6 4" xfId="7020" xr:uid="{00000000-0005-0000-0000-0000A0160000}"/>
    <cellStyle name="出力 2 3 2 7" xfId="6009" xr:uid="{00000000-0005-0000-0000-0000A1160000}"/>
    <cellStyle name="出力 2 3 3" xfId="206" xr:uid="{00000000-0005-0000-0000-0000A2160000}"/>
    <cellStyle name="出力 2 3 3 2" xfId="276" xr:uid="{00000000-0005-0000-0000-0000A3160000}"/>
    <cellStyle name="出力 2 3 3 2 2" xfId="498" xr:uid="{00000000-0005-0000-0000-0000A4160000}"/>
    <cellStyle name="出力 2 3 3 2 2 2" xfId="1007" xr:uid="{00000000-0005-0000-0000-0000A5160000}"/>
    <cellStyle name="出力 2 3 3 2 2 2 2" xfId="2113" xr:uid="{00000000-0005-0000-0000-0000A6160000}"/>
    <cellStyle name="出力 2 3 3 2 2 2 2 2" xfId="5022" xr:uid="{00000000-0005-0000-0000-0000A7160000}"/>
    <cellStyle name="出力 2 3 3 2 2 2 2 2 2" xfId="10490" xr:uid="{00000000-0005-0000-0000-0000A8160000}"/>
    <cellStyle name="出力 2 3 3 2 2 2 2 3" xfId="3621" xr:uid="{00000000-0005-0000-0000-0000A9160000}"/>
    <cellStyle name="出力 2 3 3 2 2 2 2 3 2" xfId="9169" xr:uid="{00000000-0005-0000-0000-0000AA160000}"/>
    <cellStyle name="出力 2 3 3 2 2 2 2 4" xfId="7765" xr:uid="{00000000-0005-0000-0000-0000AB160000}"/>
    <cellStyle name="出力 2 3 3 2 2 2 3" xfId="6756" xr:uid="{00000000-0005-0000-0000-0000AC160000}"/>
    <cellStyle name="出力 2 3 3 2 2 3" xfId="1606" xr:uid="{00000000-0005-0000-0000-0000AD160000}"/>
    <cellStyle name="出力 2 3 3 2 2 3 2" xfId="4570" xr:uid="{00000000-0005-0000-0000-0000AE160000}"/>
    <cellStyle name="出力 2 3 3 2 2 3 2 2" xfId="10082" xr:uid="{00000000-0005-0000-0000-0000AF160000}"/>
    <cellStyle name="出力 2 3 3 2 2 3 3" xfId="3622" xr:uid="{00000000-0005-0000-0000-0000B0160000}"/>
    <cellStyle name="出力 2 3 3 2 2 3 3 2" xfId="9170" xr:uid="{00000000-0005-0000-0000-0000B1160000}"/>
    <cellStyle name="出力 2 3 3 2 2 3 4" xfId="7302" xr:uid="{00000000-0005-0000-0000-0000B2160000}"/>
    <cellStyle name="出力 2 3 3 2 2 4" xfId="6291" xr:uid="{00000000-0005-0000-0000-0000B3160000}"/>
    <cellStyle name="出力 2 3 3 2 3" xfId="785" xr:uid="{00000000-0005-0000-0000-0000B4160000}"/>
    <cellStyle name="出力 2 3 3 2 3 2" xfId="1891" xr:uid="{00000000-0005-0000-0000-0000B5160000}"/>
    <cellStyle name="出力 2 3 3 2 3 2 2" xfId="4800" xr:uid="{00000000-0005-0000-0000-0000B6160000}"/>
    <cellStyle name="出力 2 3 3 2 3 2 2 2" xfId="10290" xr:uid="{00000000-0005-0000-0000-0000B7160000}"/>
    <cellStyle name="出力 2 3 3 2 3 2 3" xfId="3623" xr:uid="{00000000-0005-0000-0000-0000B8160000}"/>
    <cellStyle name="出力 2 3 3 2 3 2 3 2" xfId="9171" xr:uid="{00000000-0005-0000-0000-0000B9160000}"/>
    <cellStyle name="出力 2 3 3 2 3 2 4" xfId="7565" xr:uid="{00000000-0005-0000-0000-0000BA160000}"/>
    <cellStyle name="出力 2 3 3 2 3 3" xfId="6556" xr:uid="{00000000-0005-0000-0000-0000BB160000}"/>
    <cellStyle name="出力 2 3 3 2 4" xfId="1384" xr:uid="{00000000-0005-0000-0000-0000BC160000}"/>
    <cellStyle name="出力 2 3 3 2 4 2" xfId="4348" xr:uid="{00000000-0005-0000-0000-0000BD160000}"/>
    <cellStyle name="出力 2 3 3 2 4 2 2" xfId="9882" xr:uid="{00000000-0005-0000-0000-0000BE160000}"/>
    <cellStyle name="出力 2 3 3 2 4 3" xfId="3624" xr:uid="{00000000-0005-0000-0000-0000BF160000}"/>
    <cellStyle name="出力 2 3 3 2 4 3 2" xfId="9172" xr:uid="{00000000-0005-0000-0000-0000C0160000}"/>
    <cellStyle name="出力 2 3 3 2 4 4" xfId="7102" xr:uid="{00000000-0005-0000-0000-0000C1160000}"/>
    <cellStyle name="出力 2 3 3 2 5" xfId="6091" xr:uid="{00000000-0005-0000-0000-0000C2160000}"/>
    <cellStyle name="出力 2 3 3 3" xfId="342" xr:uid="{00000000-0005-0000-0000-0000C3160000}"/>
    <cellStyle name="出力 2 3 3 3 2" xfId="564" xr:uid="{00000000-0005-0000-0000-0000C4160000}"/>
    <cellStyle name="出力 2 3 3 3 2 2" xfId="1073" xr:uid="{00000000-0005-0000-0000-0000C5160000}"/>
    <cellStyle name="出力 2 3 3 3 2 2 2" xfId="2179" xr:uid="{00000000-0005-0000-0000-0000C6160000}"/>
    <cellStyle name="出力 2 3 3 3 2 2 2 2" xfId="5088" xr:uid="{00000000-0005-0000-0000-0000C7160000}"/>
    <cellStyle name="出力 2 3 3 3 2 2 2 2 2" xfId="10549" xr:uid="{00000000-0005-0000-0000-0000C8160000}"/>
    <cellStyle name="出力 2 3 3 3 2 2 2 3" xfId="3625" xr:uid="{00000000-0005-0000-0000-0000C9160000}"/>
    <cellStyle name="出力 2 3 3 3 2 2 2 3 2" xfId="9173" xr:uid="{00000000-0005-0000-0000-0000CA160000}"/>
    <cellStyle name="出力 2 3 3 3 2 2 2 4" xfId="7824" xr:uid="{00000000-0005-0000-0000-0000CB160000}"/>
    <cellStyle name="出力 2 3 3 3 2 2 3" xfId="6815" xr:uid="{00000000-0005-0000-0000-0000CC160000}"/>
    <cellStyle name="出力 2 3 3 3 2 3" xfId="1672" xr:uid="{00000000-0005-0000-0000-0000CD160000}"/>
    <cellStyle name="出力 2 3 3 3 2 3 2" xfId="4636" xr:uid="{00000000-0005-0000-0000-0000CE160000}"/>
    <cellStyle name="出力 2 3 3 3 2 3 2 2" xfId="10141" xr:uid="{00000000-0005-0000-0000-0000CF160000}"/>
    <cellStyle name="出力 2 3 3 3 2 3 3" xfId="3626" xr:uid="{00000000-0005-0000-0000-0000D0160000}"/>
    <cellStyle name="出力 2 3 3 3 2 3 3 2" xfId="9174" xr:uid="{00000000-0005-0000-0000-0000D1160000}"/>
    <cellStyle name="出力 2 3 3 3 2 3 4" xfId="7361" xr:uid="{00000000-0005-0000-0000-0000D2160000}"/>
    <cellStyle name="出力 2 3 3 3 2 4" xfId="6350" xr:uid="{00000000-0005-0000-0000-0000D3160000}"/>
    <cellStyle name="出力 2 3 3 3 3" xfId="851" xr:uid="{00000000-0005-0000-0000-0000D4160000}"/>
    <cellStyle name="出力 2 3 3 3 3 2" xfId="1957" xr:uid="{00000000-0005-0000-0000-0000D5160000}"/>
    <cellStyle name="出力 2 3 3 3 3 2 2" xfId="4866" xr:uid="{00000000-0005-0000-0000-0000D6160000}"/>
    <cellStyle name="出力 2 3 3 3 3 2 2 2" xfId="10349" xr:uid="{00000000-0005-0000-0000-0000D7160000}"/>
    <cellStyle name="出力 2 3 3 3 3 2 3" xfId="3627" xr:uid="{00000000-0005-0000-0000-0000D8160000}"/>
    <cellStyle name="出力 2 3 3 3 3 2 3 2" xfId="9175" xr:uid="{00000000-0005-0000-0000-0000D9160000}"/>
    <cellStyle name="出力 2 3 3 3 3 2 4" xfId="7624" xr:uid="{00000000-0005-0000-0000-0000DA160000}"/>
    <cellStyle name="出力 2 3 3 3 3 3" xfId="6615" xr:uid="{00000000-0005-0000-0000-0000DB160000}"/>
    <cellStyle name="出力 2 3 3 3 4" xfId="1450" xr:uid="{00000000-0005-0000-0000-0000DC160000}"/>
    <cellStyle name="出力 2 3 3 3 4 2" xfId="4414" xr:uid="{00000000-0005-0000-0000-0000DD160000}"/>
    <cellStyle name="出力 2 3 3 3 4 2 2" xfId="9941" xr:uid="{00000000-0005-0000-0000-0000DE160000}"/>
    <cellStyle name="出力 2 3 3 3 4 3" xfId="3628" xr:uid="{00000000-0005-0000-0000-0000DF160000}"/>
    <cellStyle name="出力 2 3 3 3 4 3 2" xfId="9176" xr:uid="{00000000-0005-0000-0000-0000E0160000}"/>
    <cellStyle name="出力 2 3 3 3 4 4" xfId="7161" xr:uid="{00000000-0005-0000-0000-0000E1160000}"/>
    <cellStyle name="出力 2 3 3 3 5" xfId="6150" xr:uid="{00000000-0005-0000-0000-0000E2160000}"/>
    <cellStyle name="出力 2 3 3 4" xfId="428" xr:uid="{00000000-0005-0000-0000-0000E3160000}"/>
    <cellStyle name="出力 2 3 3 4 2" xfId="937" xr:uid="{00000000-0005-0000-0000-0000E4160000}"/>
    <cellStyle name="出力 2 3 3 4 2 2" xfId="2043" xr:uid="{00000000-0005-0000-0000-0000E5160000}"/>
    <cellStyle name="出力 2 3 3 4 2 2 2" xfId="4952" xr:uid="{00000000-0005-0000-0000-0000E6160000}"/>
    <cellStyle name="出力 2 3 3 4 2 2 2 2" xfId="10424" xr:uid="{00000000-0005-0000-0000-0000E7160000}"/>
    <cellStyle name="出力 2 3 3 4 2 2 3" xfId="3629" xr:uid="{00000000-0005-0000-0000-0000E8160000}"/>
    <cellStyle name="出力 2 3 3 4 2 2 3 2" xfId="9177" xr:uid="{00000000-0005-0000-0000-0000E9160000}"/>
    <cellStyle name="出力 2 3 3 4 2 2 4" xfId="7699" xr:uid="{00000000-0005-0000-0000-0000EA160000}"/>
    <cellStyle name="出力 2 3 3 4 2 3" xfId="6690" xr:uid="{00000000-0005-0000-0000-0000EB160000}"/>
    <cellStyle name="出力 2 3 3 4 3" xfId="1536" xr:uid="{00000000-0005-0000-0000-0000EC160000}"/>
    <cellStyle name="出力 2 3 3 4 3 2" xfId="4500" xr:uid="{00000000-0005-0000-0000-0000ED160000}"/>
    <cellStyle name="出力 2 3 3 4 3 2 2" xfId="10016" xr:uid="{00000000-0005-0000-0000-0000EE160000}"/>
    <cellStyle name="出力 2 3 3 4 3 3" xfId="3630" xr:uid="{00000000-0005-0000-0000-0000EF160000}"/>
    <cellStyle name="出力 2 3 3 4 3 3 2" xfId="9178" xr:uid="{00000000-0005-0000-0000-0000F0160000}"/>
    <cellStyle name="出力 2 3 3 4 3 4" xfId="7236" xr:uid="{00000000-0005-0000-0000-0000F1160000}"/>
    <cellStyle name="出力 2 3 3 4 4" xfId="6225" xr:uid="{00000000-0005-0000-0000-0000F2160000}"/>
    <cellStyle name="出力 2 3 3 5" xfId="715" xr:uid="{00000000-0005-0000-0000-0000F3160000}"/>
    <cellStyle name="出力 2 3 3 5 2" xfId="1821" xr:uid="{00000000-0005-0000-0000-0000F4160000}"/>
    <cellStyle name="出力 2 3 3 5 2 2" xfId="4730" xr:uid="{00000000-0005-0000-0000-0000F5160000}"/>
    <cellStyle name="出力 2 3 3 5 2 2 2" xfId="10224" xr:uid="{00000000-0005-0000-0000-0000F6160000}"/>
    <cellStyle name="出力 2 3 3 5 2 3" xfId="3631" xr:uid="{00000000-0005-0000-0000-0000F7160000}"/>
    <cellStyle name="出力 2 3 3 5 2 3 2" xfId="9179" xr:uid="{00000000-0005-0000-0000-0000F8160000}"/>
    <cellStyle name="出力 2 3 3 5 2 4" xfId="7499" xr:uid="{00000000-0005-0000-0000-0000F9160000}"/>
    <cellStyle name="出力 2 3 3 5 3" xfId="6490" xr:uid="{00000000-0005-0000-0000-0000FA160000}"/>
    <cellStyle name="出力 2 3 3 6" xfId="1314" xr:uid="{00000000-0005-0000-0000-0000FB160000}"/>
    <cellStyle name="出力 2 3 3 6 2" xfId="4278" xr:uid="{00000000-0005-0000-0000-0000FC160000}"/>
    <cellStyle name="出力 2 3 3 6 2 2" xfId="9816" xr:uid="{00000000-0005-0000-0000-0000FD160000}"/>
    <cellStyle name="出力 2 3 3 6 3" xfId="3632" xr:uid="{00000000-0005-0000-0000-0000FE160000}"/>
    <cellStyle name="出力 2 3 3 6 3 2" xfId="9180" xr:uid="{00000000-0005-0000-0000-0000FF160000}"/>
    <cellStyle name="出力 2 3 3 6 4" xfId="7036" xr:uid="{00000000-0005-0000-0000-000000170000}"/>
    <cellStyle name="出力 2 3 3 7" xfId="6025" xr:uid="{00000000-0005-0000-0000-000001170000}"/>
    <cellStyle name="出力 2 3 4" xfId="233" xr:uid="{00000000-0005-0000-0000-000002170000}"/>
    <cellStyle name="出力 2 3 4 2" xfId="455" xr:uid="{00000000-0005-0000-0000-000003170000}"/>
    <cellStyle name="出力 2 3 4 2 2" xfId="964" xr:uid="{00000000-0005-0000-0000-000004170000}"/>
    <cellStyle name="出力 2 3 4 2 2 2" xfId="2070" xr:uid="{00000000-0005-0000-0000-000005170000}"/>
    <cellStyle name="出力 2 3 4 2 2 2 2" xfId="4979" xr:uid="{00000000-0005-0000-0000-000006170000}"/>
    <cellStyle name="出力 2 3 4 2 2 2 2 2" xfId="10449" xr:uid="{00000000-0005-0000-0000-000007170000}"/>
    <cellStyle name="出力 2 3 4 2 2 2 3" xfId="3633" xr:uid="{00000000-0005-0000-0000-000008170000}"/>
    <cellStyle name="出力 2 3 4 2 2 2 3 2" xfId="9181" xr:uid="{00000000-0005-0000-0000-000009170000}"/>
    <cellStyle name="出力 2 3 4 2 2 2 4" xfId="7724" xr:uid="{00000000-0005-0000-0000-00000A170000}"/>
    <cellStyle name="出力 2 3 4 2 2 3" xfId="6715" xr:uid="{00000000-0005-0000-0000-00000B170000}"/>
    <cellStyle name="出力 2 3 4 2 3" xfId="1563" xr:uid="{00000000-0005-0000-0000-00000C170000}"/>
    <cellStyle name="出力 2 3 4 2 3 2" xfId="4527" xr:uid="{00000000-0005-0000-0000-00000D170000}"/>
    <cellStyle name="出力 2 3 4 2 3 2 2" xfId="10041" xr:uid="{00000000-0005-0000-0000-00000E170000}"/>
    <cellStyle name="出力 2 3 4 2 3 3" xfId="3634" xr:uid="{00000000-0005-0000-0000-00000F170000}"/>
    <cellStyle name="出力 2 3 4 2 3 3 2" xfId="9182" xr:uid="{00000000-0005-0000-0000-000010170000}"/>
    <cellStyle name="出力 2 3 4 2 3 4" xfId="7261" xr:uid="{00000000-0005-0000-0000-000011170000}"/>
    <cellStyle name="出力 2 3 4 2 4" xfId="6250" xr:uid="{00000000-0005-0000-0000-000012170000}"/>
    <cellStyle name="出力 2 3 4 3" xfId="742" xr:uid="{00000000-0005-0000-0000-000013170000}"/>
    <cellStyle name="出力 2 3 4 3 2" xfId="1848" xr:uid="{00000000-0005-0000-0000-000014170000}"/>
    <cellStyle name="出力 2 3 4 3 2 2" xfId="4757" xr:uid="{00000000-0005-0000-0000-000015170000}"/>
    <cellStyle name="出力 2 3 4 3 2 2 2" xfId="10249" xr:uid="{00000000-0005-0000-0000-000016170000}"/>
    <cellStyle name="出力 2 3 4 3 2 3" xfId="3635" xr:uid="{00000000-0005-0000-0000-000017170000}"/>
    <cellStyle name="出力 2 3 4 3 2 3 2" xfId="9183" xr:uid="{00000000-0005-0000-0000-000018170000}"/>
    <cellStyle name="出力 2 3 4 3 2 4" xfId="7524" xr:uid="{00000000-0005-0000-0000-000019170000}"/>
    <cellStyle name="出力 2 3 4 3 3" xfId="6515" xr:uid="{00000000-0005-0000-0000-00001A170000}"/>
    <cellStyle name="出力 2 3 4 4" xfId="1341" xr:uid="{00000000-0005-0000-0000-00001B170000}"/>
    <cellStyle name="出力 2 3 4 4 2" xfId="4305" xr:uid="{00000000-0005-0000-0000-00001C170000}"/>
    <cellStyle name="出力 2 3 4 4 2 2" xfId="9841" xr:uid="{00000000-0005-0000-0000-00001D170000}"/>
    <cellStyle name="出力 2 3 4 4 3" xfId="3636" xr:uid="{00000000-0005-0000-0000-00001E170000}"/>
    <cellStyle name="出力 2 3 4 4 3 2" xfId="9184" xr:uid="{00000000-0005-0000-0000-00001F170000}"/>
    <cellStyle name="出力 2 3 4 4 4" xfId="7061" xr:uid="{00000000-0005-0000-0000-000020170000}"/>
    <cellStyle name="出力 2 3 4 5" xfId="6050" xr:uid="{00000000-0005-0000-0000-000021170000}"/>
    <cellStyle name="出力 2 3 5" xfId="295" xr:uid="{00000000-0005-0000-0000-000022170000}"/>
    <cellStyle name="出力 2 3 5 2" xfId="517" xr:uid="{00000000-0005-0000-0000-000023170000}"/>
    <cellStyle name="出力 2 3 5 2 2" xfId="1026" xr:uid="{00000000-0005-0000-0000-000024170000}"/>
    <cellStyle name="出力 2 3 5 2 2 2" xfId="2132" xr:uid="{00000000-0005-0000-0000-000025170000}"/>
    <cellStyle name="出力 2 3 5 2 2 2 2" xfId="5041" xr:uid="{00000000-0005-0000-0000-000026170000}"/>
    <cellStyle name="出力 2 3 5 2 2 2 2 2" xfId="10508" xr:uid="{00000000-0005-0000-0000-000027170000}"/>
    <cellStyle name="出力 2 3 5 2 2 2 3" xfId="3637" xr:uid="{00000000-0005-0000-0000-000028170000}"/>
    <cellStyle name="出力 2 3 5 2 2 2 3 2" xfId="9185" xr:uid="{00000000-0005-0000-0000-000029170000}"/>
    <cellStyle name="出力 2 3 5 2 2 2 4" xfId="7783" xr:uid="{00000000-0005-0000-0000-00002A170000}"/>
    <cellStyle name="出力 2 3 5 2 2 3" xfId="6774" xr:uid="{00000000-0005-0000-0000-00002B170000}"/>
    <cellStyle name="出力 2 3 5 2 3" xfId="1625" xr:uid="{00000000-0005-0000-0000-00002C170000}"/>
    <cellStyle name="出力 2 3 5 2 3 2" xfId="4589" xr:uid="{00000000-0005-0000-0000-00002D170000}"/>
    <cellStyle name="出力 2 3 5 2 3 2 2" xfId="10100" xr:uid="{00000000-0005-0000-0000-00002E170000}"/>
    <cellStyle name="出力 2 3 5 2 3 3" xfId="3638" xr:uid="{00000000-0005-0000-0000-00002F170000}"/>
    <cellStyle name="出力 2 3 5 2 3 3 2" xfId="9186" xr:uid="{00000000-0005-0000-0000-000030170000}"/>
    <cellStyle name="出力 2 3 5 2 3 4" xfId="7320" xr:uid="{00000000-0005-0000-0000-000031170000}"/>
    <cellStyle name="出力 2 3 5 2 4" xfId="6309" xr:uid="{00000000-0005-0000-0000-000032170000}"/>
    <cellStyle name="出力 2 3 5 3" xfId="804" xr:uid="{00000000-0005-0000-0000-000033170000}"/>
    <cellStyle name="出力 2 3 5 3 2" xfId="1910" xr:uid="{00000000-0005-0000-0000-000034170000}"/>
    <cellStyle name="出力 2 3 5 3 2 2" xfId="4819" xr:uid="{00000000-0005-0000-0000-000035170000}"/>
    <cellStyle name="出力 2 3 5 3 2 2 2" xfId="10308" xr:uid="{00000000-0005-0000-0000-000036170000}"/>
    <cellStyle name="出力 2 3 5 3 2 3" xfId="3639" xr:uid="{00000000-0005-0000-0000-000037170000}"/>
    <cellStyle name="出力 2 3 5 3 2 3 2" xfId="9187" xr:uid="{00000000-0005-0000-0000-000038170000}"/>
    <cellStyle name="出力 2 3 5 3 2 4" xfId="7583" xr:uid="{00000000-0005-0000-0000-000039170000}"/>
    <cellStyle name="出力 2 3 5 3 3" xfId="6574" xr:uid="{00000000-0005-0000-0000-00003A170000}"/>
    <cellStyle name="出力 2 3 5 4" xfId="1403" xr:uid="{00000000-0005-0000-0000-00003B170000}"/>
    <cellStyle name="出力 2 3 5 4 2" xfId="4367" xr:uid="{00000000-0005-0000-0000-00003C170000}"/>
    <cellStyle name="出力 2 3 5 4 2 2" xfId="9900" xr:uid="{00000000-0005-0000-0000-00003D170000}"/>
    <cellStyle name="出力 2 3 5 4 3" xfId="3640" xr:uid="{00000000-0005-0000-0000-00003E170000}"/>
    <cellStyle name="出力 2 3 5 4 3 2" xfId="9188" xr:uid="{00000000-0005-0000-0000-00003F170000}"/>
    <cellStyle name="出力 2 3 5 4 4" xfId="7120" xr:uid="{00000000-0005-0000-0000-000040170000}"/>
    <cellStyle name="出力 2 3 5 5" xfId="6109" xr:uid="{00000000-0005-0000-0000-000041170000}"/>
    <cellStyle name="出力 2 3 6" xfId="378" xr:uid="{00000000-0005-0000-0000-000042170000}"/>
    <cellStyle name="出力 2 3 6 2" xfId="887" xr:uid="{00000000-0005-0000-0000-000043170000}"/>
    <cellStyle name="出力 2 3 6 2 2" xfId="1993" xr:uid="{00000000-0005-0000-0000-000044170000}"/>
    <cellStyle name="出力 2 3 6 2 2 2" xfId="4902" xr:uid="{00000000-0005-0000-0000-000045170000}"/>
    <cellStyle name="出力 2 3 6 2 2 2 2" xfId="10380" xr:uid="{00000000-0005-0000-0000-000046170000}"/>
    <cellStyle name="出力 2 3 6 2 2 3" xfId="3641" xr:uid="{00000000-0005-0000-0000-000047170000}"/>
    <cellStyle name="出力 2 3 6 2 2 3 2" xfId="9189" xr:uid="{00000000-0005-0000-0000-000048170000}"/>
    <cellStyle name="出力 2 3 6 2 2 4" xfId="7655" xr:uid="{00000000-0005-0000-0000-000049170000}"/>
    <cellStyle name="出力 2 3 6 2 3" xfId="6646" xr:uid="{00000000-0005-0000-0000-00004A170000}"/>
    <cellStyle name="出力 2 3 6 3" xfId="1486" xr:uid="{00000000-0005-0000-0000-00004B170000}"/>
    <cellStyle name="出力 2 3 6 3 2" xfId="4450" xr:uid="{00000000-0005-0000-0000-00004C170000}"/>
    <cellStyle name="出力 2 3 6 3 2 2" xfId="9972" xr:uid="{00000000-0005-0000-0000-00004D170000}"/>
    <cellStyle name="出力 2 3 6 3 3" xfId="3642" xr:uid="{00000000-0005-0000-0000-00004E170000}"/>
    <cellStyle name="出力 2 3 6 3 3 2" xfId="9190" xr:uid="{00000000-0005-0000-0000-00004F170000}"/>
    <cellStyle name="出力 2 3 6 3 4" xfId="7192" xr:uid="{00000000-0005-0000-0000-000050170000}"/>
    <cellStyle name="出力 2 3 6 4" xfId="6181" xr:uid="{00000000-0005-0000-0000-000051170000}"/>
    <cellStyle name="出力 2 3 7" xfId="663" xr:uid="{00000000-0005-0000-0000-000052170000}"/>
    <cellStyle name="出力 2 3 7 2" xfId="1769" xr:uid="{00000000-0005-0000-0000-000053170000}"/>
    <cellStyle name="出力 2 3 7 2 2" xfId="4678" xr:uid="{00000000-0005-0000-0000-000054170000}"/>
    <cellStyle name="出力 2 3 7 2 2 2" xfId="10178" xr:uid="{00000000-0005-0000-0000-000055170000}"/>
    <cellStyle name="出力 2 3 7 2 3" xfId="3643" xr:uid="{00000000-0005-0000-0000-000056170000}"/>
    <cellStyle name="出力 2 3 7 2 3 2" xfId="9191" xr:uid="{00000000-0005-0000-0000-000057170000}"/>
    <cellStyle name="出力 2 3 7 2 4" xfId="7453" xr:uid="{00000000-0005-0000-0000-000058170000}"/>
    <cellStyle name="出力 2 3 7 3" xfId="6444" xr:uid="{00000000-0005-0000-0000-000059170000}"/>
    <cellStyle name="出力 2 3 8" xfId="1262" xr:uid="{00000000-0005-0000-0000-00005A170000}"/>
    <cellStyle name="出力 2 3 8 2" xfId="4226" xr:uid="{00000000-0005-0000-0000-00005B170000}"/>
    <cellStyle name="出力 2 3 8 2 2" xfId="9770" xr:uid="{00000000-0005-0000-0000-00005C170000}"/>
    <cellStyle name="出力 2 3 8 3" xfId="3644" xr:uid="{00000000-0005-0000-0000-00005D170000}"/>
    <cellStyle name="出力 2 3 8 3 2" xfId="9192" xr:uid="{00000000-0005-0000-0000-00005E170000}"/>
    <cellStyle name="出力 2 3 8 4" xfId="6990" xr:uid="{00000000-0005-0000-0000-00005F170000}"/>
    <cellStyle name="出力 2 3 9" xfId="5978" xr:uid="{00000000-0005-0000-0000-000060170000}"/>
    <cellStyle name="出力 2 4" xfId="149" xr:uid="{00000000-0005-0000-0000-000061170000}"/>
    <cellStyle name="出力 2 4 2" xfId="184" xr:uid="{00000000-0005-0000-0000-000062170000}"/>
    <cellStyle name="出力 2 4 2 2" xfId="255" xr:uid="{00000000-0005-0000-0000-000063170000}"/>
    <cellStyle name="出力 2 4 2 2 2" xfId="477" xr:uid="{00000000-0005-0000-0000-000064170000}"/>
    <cellStyle name="出力 2 4 2 2 2 2" xfId="986" xr:uid="{00000000-0005-0000-0000-000065170000}"/>
    <cellStyle name="出力 2 4 2 2 2 2 2" xfId="2092" xr:uid="{00000000-0005-0000-0000-000066170000}"/>
    <cellStyle name="出力 2 4 2 2 2 2 2 2" xfId="5001" xr:uid="{00000000-0005-0000-0000-000067170000}"/>
    <cellStyle name="出力 2 4 2 2 2 2 2 2 2" xfId="10471" xr:uid="{00000000-0005-0000-0000-000068170000}"/>
    <cellStyle name="出力 2 4 2 2 2 2 2 3" xfId="3645" xr:uid="{00000000-0005-0000-0000-000069170000}"/>
    <cellStyle name="出力 2 4 2 2 2 2 2 3 2" xfId="9193" xr:uid="{00000000-0005-0000-0000-00006A170000}"/>
    <cellStyle name="出力 2 4 2 2 2 2 2 4" xfId="7746" xr:uid="{00000000-0005-0000-0000-00006B170000}"/>
    <cellStyle name="出力 2 4 2 2 2 2 3" xfId="6737" xr:uid="{00000000-0005-0000-0000-00006C170000}"/>
    <cellStyle name="出力 2 4 2 2 2 3" xfId="1585" xr:uid="{00000000-0005-0000-0000-00006D170000}"/>
    <cellStyle name="出力 2 4 2 2 2 3 2" xfId="4549" xr:uid="{00000000-0005-0000-0000-00006E170000}"/>
    <cellStyle name="出力 2 4 2 2 2 3 2 2" xfId="10063" xr:uid="{00000000-0005-0000-0000-00006F170000}"/>
    <cellStyle name="出力 2 4 2 2 2 3 3" xfId="3646" xr:uid="{00000000-0005-0000-0000-000070170000}"/>
    <cellStyle name="出力 2 4 2 2 2 3 3 2" xfId="9194" xr:uid="{00000000-0005-0000-0000-000071170000}"/>
    <cellStyle name="出力 2 4 2 2 2 3 4" xfId="7283" xr:uid="{00000000-0005-0000-0000-000072170000}"/>
    <cellStyle name="出力 2 4 2 2 2 4" xfId="6272" xr:uid="{00000000-0005-0000-0000-000073170000}"/>
    <cellStyle name="出力 2 4 2 2 3" xfId="764" xr:uid="{00000000-0005-0000-0000-000074170000}"/>
    <cellStyle name="出力 2 4 2 2 3 2" xfId="1870" xr:uid="{00000000-0005-0000-0000-000075170000}"/>
    <cellStyle name="出力 2 4 2 2 3 2 2" xfId="4779" xr:uid="{00000000-0005-0000-0000-000076170000}"/>
    <cellStyle name="出力 2 4 2 2 3 2 2 2" xfId="10271" xr:uid="{00000000-0005-0000-0000-000077170000}"/>
    <cellStyle name="出力 2 4 2 2 3 2 3" xfId="3647" xr:uid="{00000000-0005-0000-0000-000078170000}"/>
    <cellStyle name="出力 2 4 2 2 3 2 3 2" xfId="9195" xr:uid="{00000000-0005-0000-0000-000079170000}"/>
    <cellStyle name="出力 2 4 2 2 3 2 4" xfId="7546" xr:uid="{00000000-0005-0000-0000-00007A170000}"/>
    <cellStyle name="出力 2 4 2 2 3 3" xfId="6537" xr:uid="{00000000-0005-0000-0000-00007B170000}"/>
    <cellStyle name="出力 2 4 2 2 4" xfId="1363" xr:uid="{00000000-0005-0000-0000-00007C170000}"/>
    <cellStyle name="出力 2 4 2 2 4 2" xfId="4327" xr:uid="{00000000-0005-0000-0000-00007D170000}"/>
    <cellStyle name="出力 2 4 2 2 4 2 2" xfId="9863" xr:uid="{00000000-0005-0000-0000-00007E170000}"/>
    <cellStyle name="出力 2 4 2 2 4 3" xfId="3648" xr:uid="{00000000-0005-0000-0000-00007F170000}"/>
    <cellStyle name="出力 2 4 2 2 4 3 2" xfId="9196" xr:uid="{00000000-0005-0000-0000-000080170000}"/>
    <cellStyle name="出力 2 4 2 2 4 4" xfId="7083" xr:uid="{00000000-0005-0000-0000-000081170000}"/>
    <cellStyle name="出力 2 4 2 2 5" xfId="6072" xr:uid="{00000000-0005-0000-0000-000082170000}"/>
    <cellStyle name="出力 2 4 2 3" xfId="320" xr:uid="{00000000-0005-0000-0000-000083170000}"/>
    <cellStyle name="出力 2 4 2 3 2" xfId="542" xr:uid="{00000000-0005-0000-0000-000084170000}"/>
    <cellStyle name="出力 2 4 2 3 2 2" xfId="1051" xr:uid="{00000000-0005-0000-0000-000085170000}"/>
    <cellStyle name="出力 2 4 2 3 2 2 2" xfId="2157" xr:uid="{00000000-0005-0000-0000-000086170000}"/>
    <cellStyle name="出力 2 4 2 3 2 2 2 2" xfId="5066" xr:uid="{00000000-0005-0000-0000-000087170000}"/>
    <cellStyle name="出力 2 4 2 3 2 2 2 2 2" xfId="10530" xr:uid="{00000000-0005-0000-0000-000088170000}"/>
    <cellStyle name="出力 2 4 2 3 2 2 2 3" xfId="3649" xr:uid="{00000000-0005-0000-0000-000089170000}"/>
    <cellStyle name="出力 2 4 2 3 2 2 2 3 2" xfId="9197" xr:uid="{00000000-0005-0000-0000-00008A170000}"/>
    <cellStyle name="出力 2 4 2 3 2 2 2 4" xfId="7805" xr:uid="{00000000-0005-0000-0000-00008B170000}"/>
    <cellStyle name="出力 2 4 2 3 2 2 3" xfId="6796" xr:uid="{00000000-0005-0000-0000-00008C170000}"/>
    <cellStyle name="出力 2 4 2 3 2 3" xfId="1650" xr:uid="{00000000-0005-0000-0000-00008D170000}"/>
    <cellStyle name="出力 2 4 2 3 2 3 2" xfId="4614" xr:uid="{00000000-0005-0000-0000-00008E170000}"/>
    <cellStyle name="出力 2 4 2 3 2 3 2 2" xfId="10122" xr:uid="{00000000-0005-0000-0000-00008F170000}"/>
    <cellStyle name="出力 2 4 2 3 2 3 3" xfId="3650" xr:uid="{00000000-0005-0000-0000-000090170000}"/>
    <cellStyle name="出力 2 4 2 3 2 3 3 2" xfId="9198" xr:uid="{00000000-0005-0000-0000-000091170000}"/>
    <cellStyle name="出力 2 4 2 3 2 3 4" xfId="7342" xr:uid="{00000000-0005-0000-0000-000092170000}"/>
    <cellStyle name="出力 2 4 2 3 2 4" xfId="6331" xr:uid="{00000000-0005-0000-0000-000093170000}"/>
    <cellStyle name="出力 2 4 2 3 3" xfId="829" xr:uid="{00000000-0005-0000-0000-000094170000}"/>
    <cellStyle name="出力 2 4 2 3 3 2" xfId="1935" xr:uid="{00000000-0005-0000-0000-000095170000}"/>
    <cellStyle name="出力 2 4 2 3 3 2 2" xfId="4844" xr:uid="{00000000-0005-0000-0000-000096170000}"/>
    <cellStyle name="出力 2 4 2 3 3 2 2 2" xfId="10330" xr:uid="{00000000-0005-0000-0000-000097170000}"/>
    <cellStyle name="出力 2 4 2 3 3 2 3" xfId="3651" xr:uid="{00000000-0005-0000-0000-000098170000}"/>
    <cellStyle name="出力 2 4 2 3 3 2 3 2" xfId="9199" xr:uid="{00000000-0005-0000-0000-000099170000}"/>
    <cellStyle name="出力 2 4 2 3 3 2 4" xfId="7605" xr:uid="{00000000-0005-0000-0000-00009A170000}"/>
    <cellStyle name="出力 2 4 2 3 3 3" xfId="6596" xr:uid="{00000000-0005-0000-0000-00009B170000}"/>
    <cellStyle name="出力 2 4 2 3 4" xfId="1428" xr:uid="{00000000-0005-0000-0000-00009C170000}"/>
    <cellStyle name="出力 2 4 2 3 4 2" xfId="4392" xr:uid="{00000000-0005-0000-0000-00009D170000}"/>
    <cellStyle name="出力 2 4 2 3 4 2 2" xfId="9922" xr:uid="{00000000-0005-0000-0000-00009E170000}"/>
    <cellStyle name="出力 2 4 2 3 4 3" xfId="3652" xr:uid="{00000000-0005-0000-0000-00009F170000}"/>
    <cellStyle name="出力 2 4 2 3 4 3 2" xfId="9200" xr:uid="{00000000-0005-0000-0000-0000A0170000}"/>
    <cellStyle name="出力 2 4 2 3 4 4" xfId="7142" xr:uid="{00000000-0005-0000-0000-0000A1170000}"/>
    <cellStyle name="出力 2 4 2 3 5" xfId="6131" xr:uid="{00000000-0005-0000-0000-0000A2170000}"/>
    <cellStyle name="出力 2 4 2 4" xfId="406" xr:uid="{00000000-0005-0000-0000-0000A3170000}"/>
    <cellStyle name="出力 2 4 2 4 2" xfId="915" xr:uid="{00000000-0005-0000-0000-0000A4170000}"/>
    <cellStyle name="出力 2 4 2 4 2 2" xfId="2021" xr:uid="{00000000-0005-0000-0000-0000A5170000}"/>
    <cellStyle name="出力 2 4 2 4 2 2 2" xfId="4930" xr:uid="{00000000-0005-0000-0000-0000A6170000}"/>
    <cellStyle name="出力 2 4 2 4 2 2 2 2" xfId="10405" xr:uid="{00000000-0005-0000-0000-0000A7170000}"/>
    <cellStyle name="出力 2 4 2 4 2 2 3" xfId="3653" xr:uid="{00000000-0005-0000-0000-0000A8170000}"/>
    <cellStyle name="出力 2 4 2 4 2 2 3 2" xfId="9201" xr:uid="{00000000-0005-0000-0000-0000A9170000}"/>
    <cellStyle name="出力 2 4 2 4 2 2 4" xfId="7680" xr:uid="{00000000-0005-0000-0000-0000AA170000}"/>
    <cellStyle name="出力 2 4 2 4 2 3" xfId="6671" xr:uid="{00000000-0005-0000-0000-0000AB170000}"/>
    <cellStyle name="出力 2 4 2 4 3" xfId="1514" xr:uid="{00000000-0005-0000-0000-0000AC170000}"/>
    <cellStyle name="出力 2 4 2 4 3 2" xfId="4478" xr:uid="{00000000-0005-0000-0000-0000AD170000}"/>
    <cellStyle name="出力 2 4 2 4 3 2 2" xfId="9997" xr:uid="{00000000-0005-0000-0000-0000AE170000}"/>
    <cellStyle name="出力 2 4 2 4 3 3" xfId="3654" xr:uid="{00000000-0005-0000-0000-0000AF170000}"/>
    <cellStyle name="出力 2 4 2 4 3 3 2" xfId="9202" xr:uid="{00000000-0005-0000-0000-0000B0170000}"/>
    <cellStyle name="出力 2 4 2 4 3 4" xfId="7217" xr:uid="{00000000-0005-0000-0000-0000B1170000}"/>
    <cellStyle name="出力 2 4 2 4 4" xfId="6206" xr:uid="{00000000-0005-0000-0000-0000B2170000}"/>
    <cellStyle name="出力 2 4 2 5" xfId="693" xr:uid="{00000000-0005-0000-0000-0000B3170000}"/>
    <cellStyle name="出力 2 4 2 5 2" xfId="1799" xr:uid="{00000000-0005-0000-0000-0000B4170000}"/>
    <cellStyle name="出力 2 4 2 5 2 2" xfId="4708" xr:uid="{00000000-0005-0000-0000-0000B5170000}"/>
    <cellStyle name="出力 2 4 2 5 2 2 2" xfId="10205" xr:uid="{00000000-0005-0000-0000-0000B6170000}"/>
    <cellStyle name="出力 2 4 2 5 2 3" xfId="3655" xr:uid="{00000000-0005-0000-0000-0000B7170000}"/>
    <cellStyle name="出力 2 4 2 5 2 3 2" xfId="9203" xr:uid="{00000000-0005-0000-0000-0000B8170000}"/>
    <cellStyle name="出力 2 4 2 5 2 4" xfId="7480" xr:uid="{00000000-0005-0000-0000-0000B9170000}"/>
    <cellStyle name="出力 2 4 2 5 3" xfId="6471" xr:uid="{00000000-0005-0000-0000-0000BA170000}"/>
    <cellStyle name="出力 2 4 2 6" xfId="1292" xr:uid="{00000000-0005-0000-0000-0000BB170000}"/>
    <cellStyle name="出力 2 4 2 6 2" xfId="4256" xr:uid="{00000000-0005-0000-0000-0000BC170000}"/>
    <cellStyle name="出力 2 4 2 6 2 2" xfId="9797" xr:uid="{00000000-0005-0000-0000-0000BD170000}"/>
    <cellStyle name="出力 2 4 2 6 3" xfId="3656" xr:uid="{00000000-0005-0000-0000-0000BE170000}"/>
    <cellStyle name="出力 2 4 2 6 3 2" xfId="9204" xr:uid="{00000000-0005-0000-0000-0000BF170000}"/>
    <cellStyle name="出力 2 4 2 6 4" xfId="7017" xr:uid="{00000000-0005-0000-0000-0000C0170000}"/>
    <cellStyle name="出力 2 4 2 7" xfId="6006" xr:uid="{00000000-0005-0000-0000-0000C1170000}"/>
    <cellStyle name="出力 2 4 3" xfId="202" xr:uid="{00000000-0005-0000-0000-0000C2170000}"/>
    <cellStyle name="出力 2 4 3 2" xfId="273" xr:uid="{00000000-0005-0000-0000-0000C3170000}"/>
    <cellStyle name="出力 2 4 3 2 2" xfId="495" xr:uid="{00000000-0005-0000-0000-0000C4170000}"/>
    <cellStyle name="出力 2 4 3 2 2 2" xfId="1004" xr:uid="{00000000-0005-0000-0000-0000C5170000}"/>
    <cellStyle name="出力 2 4 3 2 2 2 2" xfId="2110" xr:uid="{00000000-0005-0000-0000-0000C6170000}"/>
    <cellStyle name="出力 2 4 3 2 2 2 2 2" xfId="5019" xr:uid="{00000000-0005-0000-0000-0000C7170000}"/>
    <cellStyle name="出力 2 4 3 2 2 2 2 2 2" xfId="10487" xr:uid="{00000000-0005-0000-0000-0000C8170000}"/>
    <cellStyle name="出力 2 4 3 2 2 2 2 3" xfId="3657" xr:uid="{00000000-0005-0000-0000-0000C9170000}"/>
    <cellStyle name="出力 2 4 3 2 2 2 2 3 2" xfId="9205" xr:uid="{00000000-0005-0000-0000-0000CA170000}"/>
    <cellStyle name="出力 2 4 3 2 2 2 2 4" xfId="7762" xr:uid="{00000000-0005-0000-0000-0000CB170000}"/>
    <cellStyle name="出力 2 4 3 2 2 2 3" xfId="6753" xr:uid="{00000000-0005-0000-0000-0000CC170000}"/>
    <cellStyle name="出力 2 4 3 2 2 3" xfId="1603" xr:uid="{00000000-0005-0000-0000-0000CD170000}"/>
    <cellStyle name="出力 2 4 3 2 2 3 2" xfId="4567" xr:uid="{00000000-0005-0000-0000-0000CE170000}"/>
    <cellStyle name="出力 2 4 3 2 2 3 2 2" xfId="10079" xr:uid="{00000000-0005-0000-0000-0000CF170000}"/>
    <cellStyle name="出力 2 4 3 2 2 3 3" xfId="3658" xr:uid="{00000000-0005-0000-0000-0000D0170000}"/>
    <cellStyle name="出力 2 4 3 2 2 3 3 2" xfId="9206" xr:uid="{00000000-0005-0000-0000-0000D1170000}"/>
    <cellStyle name="出力 2 4 3 2 2 3 4" xfId="7299" xr:uid="{00000000-0005-0000-0000-0000D2170000}"/>
    <cellStyle name="出力 2 4 3 2 2 4" xfId="6288" xr:uid="{00000000-0005-0000-0000-0000D3170000}"/>
    <cellStyle name="出力 2 4 3 2 3" xfId="782" xr:uid="{00000000-0005-0000-0000-0000D4170000}"/>
    <cellStyle name="出力 2 4 3 2 3 2" xfId="1888" xr:uid="{00000000-0005-0000-0000-0000D5170000}"/>
    <cellStyle name="出力 2 4 3 2 3 2 2" xfId="4797" xr:uid="{00000000-0005-0000-0000-0000D6170000}"/>
    <cellStyle name="出力 2 4 3 2 3 2 2 2" xfId="10287" xr:uid="{00000000-0005-0000-0000-0000D7170000}"/>
    <cellStyle name="出力 2 4 3 2 3 2 3" xfId="3659" xr:uid="{00000000-0005-0000-0000-0000D8170000}"/>
    <cellStyle name="出力 2 4 3 2 3 2 3 2" xfId="9207" xr:uid="{00000000-0005-0000-0000-0000D9170000}"/>
    <cellStyle name="出力 2 4 3 2 3 2 4" xfId="7562" xr:uid="{00000000-0005-0000-0000-0000DA170000}"/>
    <cellStyle name="出力 2 4 3 2 3 3" xfId="6553" xr:uid="{00000000-0005-0000-0000-0000DB170000}"/>
    <cellStyle name="出力 2 4 3 2 4" xfId="1381" xr:uid="{00000000-0005-0000-0000-0000DC170000}"/>
    <cellStyle name="出力 2 4 3 2 4 2" xfId="4345" xr:uid="{00000000-0005-0000-0000-0000DD170000}"/>
    <cellStyle name="出力 2 4 3 2 4 2 2" xfId="9879" xr:uid="{00000000-0005-0000-0000-0000DE170000}"/>
    <cellStyle name="出力 2 4 3 2 4 3" xfId="3660" xr:uid="{00000000-0005-0000-0000-0000DF170000}"/>
    <cellStyle name="出力 2 4 3 2 4 3 2" xfId="9208" xr:uid="{00000000-0005-0000-0000-0000E0170000}"/>
    <cellStyle name="出力 2 4 3 2 4 4" xfId="7099" xr:uid="{00000000-0005-0000-0000-0000E1170000}"/>
    <cellStyle name="出力 2 4 3 2 5" xfId="6088" xr:uid="{00000000-0005-0000-0000-0000E2170000}"/>
    <cellStyle name="出力 2 4 3 3" xfId="338" xr:uid="{00000000-0005-0000-0000-0000E3170000}"/>
    <cellStyle name="出力 2 4 3 3 2" xfId="560" xr:uid="{00000000-0005-0000-0000-0000E4170000}"/>
    <cellStyle name="出力 2 4 3 3 2 2" xfId="1069" xr:uid="{00000000-0005-0000-0000-0000E5170000}"/>
    <cellStyle name="出力 2 4 3 3 2 2 2" xfId="2175" xr:uid="{00000000-0005-0000-0000-0000E6170000}"/>
    <cellStyle name="出力 2 4 3 3 2 2 2 2" xfId="5084" xr:uid="{00000000-0005-0000-0000-0000E7170000}"/>
    <cellStyle name="出力 2 4 3 3 2 2 2 2 2" xfId="10546" xr:uid="{00000000-0005-0000-0000-0000E8170000}"/>
    <cellStyle name="出力 2 4 3 3 2 2 2 3" xfId="3661" xr:uid="{00000000-0005-0000-0000-0000E9170000}"/>
    <cellStyle name="出力 2 4 3 3 2 2 2 3 2" xfId="9209" xr:uid="{00000000-0005-0000-0000-0000EA170000}"/>
    <cellStyle name="出力 2 4 3 3 2 2 2 4" xfId="7821" xr:uid="{00000000-0005-0000-0000-0000EB170000}"/>
    <cellStyle name="出力 2 4 3 3 2 2 3" xfId="6812" xr:uid="{00000000-0005-0000-0000-0000EC170000}"/>
    <cellStyle name="出力 2 4 3 3 2 3" xfId="1668" xr:uid="{00000000-0005-0000-0000-0000ED170000}"/>
    <cellStyle name="出力 2 4 3 3 2 3 2" xfId="4632" xr:uid="{00000000-0005-0000-0000-0000EE170000}"/>
    <cellStyle name="出力 2 4 3 3 2 3 2 2" xfId="10138" xr:uid="{00000000-0005-0000-0000-0000EF170000}"/>
    <cellStyle name="出力 2 4 3 3 2 3 3" xfId="3662" xr:uid="{00000000-0005-0000-0000-0000F0170000}"/>
    <cellStyle name="出力 2 4 3 3 2 3 3 2" xfId="9210" xr:uid="{00000000-0005-0000-0000-0000F1170000}"/>
    <cellStyle name="出力 2 4 3 3 2 3 4" xfId="7358" xr:uid="{00000000-0005-0000-0000-0000F2170000}"/>
    <cellStyle name="出力 2 4 3 3 2 4" xfId="6347" xr:uid="{00000000-0005-0000-0000-0000F3170000}"/>
    <cellStyle name="出力 2 4 3 3 3" xfId="847" xr:uid="{00000000-0005-0000-0000-0000F4170000}"/>
    <cellStyle name="出力 2 4 3 3 3 2" xfId="1953" xr:uid="{00000000-0005-0000-0000-0000F5170000}"/>
    <cellStyle name="出力 2 4 3 3 3 2 2" xfId="4862" xr:uid="{00000000-0005-0000-0000-0000F6170000}"/>
    <cellStyle name="出力 2 4 3 3 3 2 2 2" xfId="10346" xr:uid="{00000000-0005-0000-0000-0000F7170000}"/>
    <cellStyle name="出力 2 4 3 3 3 2 3" xfId="3663" xr:uid="{00000000-0005-0000-0000-0000F8170000}"/>
    <cellStyle name="出力 2 4 3 3 3 2 3 2" xfId="9211" xr:uid="{00000000-0005-0000-0000-0000F9170000}"/>
    <cellStyle name="出力 2 4 3 3 3 2 4" xfId="7621" xr:uid="{00000000-0005-0000-0000-0000FA170000}"/>
    <cellStyle name="出力 2 4 3 3 3 3" xfId="6612" xr:uid="{00000000-0005-0000-0000-0000FB170000}"/>
    <cellStyle name="出力 2 4 3 3 4" xfId="1446" xr:uid="{00000000-0005-0000-0000-0000FC170000}"/>
    <cellStyle name="出力 2 4 3 3 4 2" xfId="4410" xr:uid="{00000000-0005-0000-0000-0000FD170000}"/>
    <cellStyle name="出力 2 4 3 3 4 2 2" xfId="9938" xr:uid="{00000000-0005-0000-0000-0000FE170000}"/>
    <cellStyle name="出力 2 4 3 3 4 3" xfId="3664" xr:uid="{00000000-0005-0000-0000-0000FF170000}"/>
    <cellStyle name="出力 2 4 3 3 4 3 2" xfId="9212" xr:uid="{00000000-0005-0000-0000-000000180000}"/>
    <cellStyle name="出力 2 4 3 3 4 4" xfId="7158" xr:uid="{00000000-0005-0000-0000-000001180000}"/>
    <cellStyle name="出力 2 4 3 3 5" xfId="6147" xr:uid="{00000000-0005-0000-0000-000002180000}"/>
    <cellStyle name="出力 2 4 3 4" xfId="424" xr:uid="{00000000-0005-0000-0000-000003180000}"/>
    <cellStyle name="出力 2 4 3 4 2" xfId="933" xr:uid="{00000000-0005-0000-0000-000004180000}"/>
    <cellStyle name="出力 2 4 3 4 2 2" xfId="2039" xr:uid="{00000000-0005-0000-0000-000005180000}"/>
    <cellStyle name="出力 2 4 3 4 2 2 2" xfId="4948" xr:uid="{00000000-0005-0000-0000-000006180000}"/>
    <cellStyle name="出力 2 4 3 4 2 2 2 2" xfId="10421" xr:uid="{00000000-0005-0000-0000-000007180000}"/>
    <cellStyle name="出力 2 4 3 4 2 2 3" xfId="3665" xr:uid="{00000000-0005-0000-0000-000008180000}"/>
    <cellStyle name="出力 2 4 3 4 2 2 3 2" xfId="9213" xr:uid="{00000000-0005-0000-0000-000009180000}"/>
    <cellStyle name="出力 2 4 3 4 2 2 4" xfId="7696" xr:uid="{00000000-0005-0000-0000-00000A180000}"/>
    <cellStyle name="出力 2 4 3 4 2 3" xfId="6687" xr:uid="{00000000-0005-0000-0000-00000B180000}"/>
    <cellStyle name="出力 2 4 3 4 3" xfId="1532" xr:uid="{00000000-0005-0000-0000-00000C180000}"/>
    <cellStyle name="出力 2 4 3 4 3 2" xfId="4496" xr:uid="{00000000-0005-0000-0000-00000D180000}"/>
    <cellStyle name="出力 2 4 3 4 3 2 2" xfId="10013" xr:uid="{00000000-0005-0000-0000-00000E180000}"/>
    <cellStyle name="出力 2 4 3 4 3 3" xfId="3666" xr:uid="{00000000-0005-0000-0000-00000F180000}"/>
    <cellStyle name="出力 2 4 3 4 3 3 2" xfId="9214" xr:uid="{00000000-0005-0000-0000-000010180000}"/>
    <cellStyle name="出力 2 4 3 4 3 4" xfId="7233" xr:uid="{00000000-0005-0000-0000-000011180000}"/>
    <cellStyle name="出力 2 4 3 4 4" xfId="6222" xr:uid="{00000000-0005-0000-0000-000012180000}"/>
    <cellStyle name="出力 2 4 3 5" xfId="711" xr:uid="{00000000-0005-0000-0000-000013180000}"/>
    <cellStyle name="出力 2 4 3 5 2" xfId="1817" xr:uid="{00000000-0005-0000-0000-000014180000}"/>
    <cellStyle name="出力 2 4 3 5 2 2" xfId="4726" xr:uid="{00000000-0005-0000-0000-000015180000}"/>
    <cellStyle name="出力 2 4 3 5 2 2 2" xfId="10221" xr:uid="{00000000-0005-0000-0000-000016180000}"/>
    <cellStyle name="出力 2 4 3 5 2 3" xfId="3667" xr:uid="{00000000-0005-0000-0000-000017180000}"/>
    <cellStyle name="出力 2 4 3 5 2 3 2" xfId="9215" xr:uid="{00000000-0005-0000-0000-000018180000}"/>
    <cellStyle name="出力 2 4 3 5 2 4" xfId="7496" xr:uid="{00000000-0005-0000-0000-000019180000}"/>
    <cellStyle name="出力 2 4 3 5 3" xfId="6487" xr:uid="{00000000-0005-0000-0000-00001A180000}"/>
    <cellStyle name="出力 2 4 3 6" xfId="1310" xr:uid="{00000000-0005-0000-0000-00001B180000}"/>
    <cellStyle name="出力 2 4 3 6 2" xfId="4274" xr:uid="{00000000-0005-0000-0000-00001C180000}"/>
    <cellStyle name="出力 2 4 3 6 2 2" xfId="9813" xr:uid="{00000000-0005-0000-0000-00001D180000}"/>
    <cellStyle name="出力 2 4 3 6 3" xfId="3668" xr:uid="{00000000-0005-0000-0000-00001E180000}"/>
    <cellStyle name="出力 2 4 3 6 3 2" xfId="9216" xr:uid="{00000000-0005-0000-0000-00001F180000}"/>
    <cellStyle name="出力 2 4 3 6 4" xfId="7033" xr:uid="{00000000-0005-0000-0000-000020180000}"/>
    <cellStyle name="出力 2 4 3 7" xfId="6022" xr:uid="{00000000-0005-0000-0000-000021180000}"/>
    <cellStyle name="出力 2 4 4" xfId="230" xr:uid="{00000000-0005-0000-0000-000022180000}"/>
    <cellStyle name="出力 2 4 4 2" xfId="452" xr:uid="{00000000-0005-0000-0000-000023180000}"/>
    <cellStyle name="出力 2 4 4 2 2" xfId="961" xr:uid="{00000000-0005-0000-0000-000024180000}"/>
    <cellStyle name="出力 2 4 4 2 2 2" xfId="2067" xr:uid="{00000000-0005-0000-0000-000025180000}"/>
    <cellStyle name="出力 2 4 4 2 2 2 2" xfId="4976" xr:uid="{00000000-0005-0000-0000-000026180000}"/>
    <cellStyle name="出力 2 4 4 2 2 2 2 2" xfId="10446" xr:uid="{00000000-0005-0000-0000-000027180000}"/>
    <cellStyle name="出力 2 4 4 2 2 2 3" xfId="3669" xr:uid="{00000000-0005-0000-0000-000028180000}"/>
    <cellStyle name="出力 2 4 4 2 2 2 3 2" xfId="9217" xr:uid="{00000000-0005-0000-0000-000029180000}"/>
    <cellStyle name="出力 2 4 4 2 2 2 4" xfId="7721" xr:uid="{00000000-0005-0000-0000-00002A180000}"/>
    <cellStyle name="出力 2 4 4 2 2 3" xfId="6712" xr:uid="{00000000-0005-0000-0000-00002B180000}"/>
    <cellStyle name="出力 2 4 4 2 3" xfId="1560" xr:uid="{00000000-0005-0000-0000-00002C180000}"/>
    <cellStyle name="出力 2 4 4 2 3 2" xfId="4524" xr:uid="{00000000-0005-0000-0000-00002D180000}"/>
    <cellStyle name="出力 2 4 4 2 3 2 2" xfId="10038" xr:uid="{00000000-0005-0000-0000-00002E180000}"/>
    <cellStyle name="出力 2 4 4 2 3 3" xfId="3670" xr:uid="{00000000-0005-0000-0000-00002F180000}"/>
    <cellStyle name="出力 2 4 4 2 3 3 2" xfId="9218" xr:uid="{00000000-0005-0000-0000-000030180000}"/>
    <cellStyle name="出力 2 4 4 2 3 4" xfId="7258" xr:uid="{00000000-0005-0000-0000-000031180000}"/>
    <cellStyle name="出力 2 4 4 2 4" xfId="6247" xr:uid="{00000000-0005-0000-0000-000032180000}"/>
    <cellStyle name="出力 2 4 4 3" xfId="739" xr:uid="{00000000-0005-0000-0000-000033180000}"/>
    <cellStyle name="出力 2 4 4 3 2" xfId="1845" xr:uid="{00000000-0005-0000-0000-000034180000}"/>
    <cellStyle name="出力 2 4 4 3 2 2" xfId="4754" xr:uid="{00000000-0005-0000-0000-000035180000}"/>
    <cellStyle name="出力 2 4 4 3 2 2 2" xfId="10246" xr:uid="{00000000-0005-0000-0000-000036180000}"/>
    <cellStyle name="出力 2 4 4 3 2 3" xfId="3671" xr:uid="{00000000-0005-0000-0000-000037180000}"/>
    <cellStyle name="出力 2 4 4 3 2 3 2" xfId="9219" xr:uid="{00000000-0005-0000-0000-000038180000}"/>
    <cellStyle name="出力 2 4 4 3 2 4" xfId="7521" xr:uid="{00000000-0005-0000-0000-000039180000}"/>
    <cellStyle name="出力 2 4 4 3 3" xfId="6512" xr:uid="{00000000-0005-0000-0000-00003A180000}"/>
    <cellStyle name="出力 2 4 4 4" xfId="1338" xr:uid="{00000000-0005-0000-0000-00003B180000}"/>
    <cellStyle name="出力 2 4 4 4 2" xfId="4302" xr:uid="{00000000-0005-0000-0000-00003C180000}"/>
    <cellStyle name="出力 2 4 4 4 2 2" xfId="9838" xr:uid="{00000000-0005-0000-0000-00003D180000}"/>
    <cellStyle name="出力 2 4 4 4 3" xfId="3672" xr:uid="{00000000-0005-0000-0000-00003E180000}"/>
    <cellStyle name="出力 2 4 4 4 3 2" xfId="9220" xr:uid="{00000000-0005-0000-0000-00003F180000}"/>
    <cellStyle name="出力 2 4 4 4 4" xfId="7058" xr:uid="{00000000-0005-0000-0000-000040180000}"/>
    <cellStyle name="出力 2 4 4 5" xfId="6047" xr:uid="{00000000-0005-0000-0000-000041180000}"/>
    <cellStyle name="出力 2 4 5" xfId="291" xr:uid="{00000000-0005-0000-0000-000042180000}"/>
    <cellStyle name="出力 2 4 5 2" xfId="513" xr:uid="{00000000-0005-0000-0000-000043180000}"/>
    <cellStyle name="出力 2 4 5 2 2" xfId="1022" xr:uid="{00000000-0005-0000-0000-000044180000}"/>
    <cellStyle name="出力 2 4 5 2 2 2" xfId="2128" xr:uid="{00000000-0005-0000-0000-000045180000}"/>
    <cellStyle name="出力 2 4 5 2 2 2 2" xfId="5037" xr:uid="{00000000-0005-0000-0000-000046180000}"/>
    <cellStyle name="出力 2 4 5 2 2 2 2 2" xfId="10505" xr:uid="{00000000-0005-0000-0000-000047180000}"/>
    <cellStyle name="出力 2 4 5 2 2 2 3" xfId="3673" xr:uid="{00000000-0005-0000-0000-000048180000}"/>
    <cellStyle name="出力 2 4 5 2 2 2 3 2" xfId="9221" xr:uid="{00000000-0005-0000-0000-000049180000}"/>
    <cellStyle name="出力 2 4 5 2 2 2 4" xfId="7780" xr:uid="{00000000-0005-0000-0000-00004A180000}"/>
    <cellStyle name="出力 2 4 5 2 2 3" xfId="6771" xr:uid="{00000000-0005-0000-0000-00004B180000}"/>
    <cellStyle name="出力 2 4 5 2 3" xfId="1621" xr:uid="{00000000-0005-0000-0000-00004C180000}"/>
    <cellStyle name="出力 2 4 5 2 3 2" xfId="4585" xr:uid="{00000000-0005-0000-0000-00004D180000}"/>
    <cellStyle name="出力 2 4 5 2 3 2 2" xfId="10097" xr:uid="{00000000-0005-0000-0000-00004E180000}"/>
    <cellStyle name="出力 2 4 5 2 3 3" xfId="3674" xr:uid="{00000000-0005-0000-0000-00004F180000}"/>
    <cellStyle name="出力 2 4 5 2 3 3 2" xfId="9222" xr:uid="{00000000-0005-0000-0000-000050180000}"/>
    <cellStyle name="出力 2 4 5 2 3 4" xfId="7317" xr:uid="{00000000-0005-0000-0000-000051180000}"/>
    <cellStyle name="出力 2 4 5 2 4" xfId="6306" xr:uid="{00000000-0005-0000-0000-000052180000}"/>
    <cellStyle name="出力 2 4 5 3" xfId="800" xr:uid="{00000000-0005-0000-0000-000053180000}"/>
    <cellStyle name="出力 2 4 5 3 2" xfId="1906" xr:uid="{00000000-0005-0000-0000-000054180000}"/>
    <cellStyle name="出力 2 4 5 3 2 2" xfId="4815" xr:uid="{00000000-0005-0000-0000-000055180000}"/>
    <cellStyle name="出力 2 4 5 3 2 2 2" xfId="10305" xr:uid="{00000000-0005-0000-0000-000056180000}"/>
    <cellStyle name="出力 2 4 5 3 2 3" xfId="3675" xr:uid="{00000000-0005-0000-0000-000057180000}"/>
    <cellStyle name="出力 2 4 5 3 2 3 2" xfId="9223" xr:uid="{00000000-0005-0000-0000-000058180000}"/>
    <cellStyle name="出力 2 4 5 3 2 4" xfId="7580" xr:uid="{00000000-0005-0000-0000-000059180000}"/>
    <cellStyle name="出力 2 4 5 3 3" xfId="6571" xr:uid="{00000000-0005-0000-0000-00005A180000}"/>
    <cellStyle name="出力 2 4 5 4" xfId="1399" xr:uid="{00000000-0005-0000-0000-00005B180000}"/>
    <cellStyle name="出力 2 4 5 4 2" xfId="4363" xr:uid="{00000000-0005-0000-0000-00005C180000}"/>
    <cellStyle name="出力 2 4 5 4 2 2" xfId="9897" xr:uid="{00000000-0005-0000-0000-00005D180000}"/>
    <cellStyle name="出力 2 4 5 4 3" xfId="3676" xr:uid="{00000000-0005-0000-0000-00005E180000}"/>
    <cellStyle name="出力 2 4 5 4 3 2" xfId="9224" xr:uid="{00000000-0005-0000-0000-00005F180000}"/>
    <cellStyle name="出力 2 4 5 4 4" xfId="7117" xr:uid="{00000000-0005-0000-0000-000060180000}"/>
    <cellStyle name="出力 2 4 5 5" xfId="6106" xr:uid="{00000000-0005-0000-0000-000061180000}"/>
    <cellStyle name="出力 2 4 6" xfId="374" xr:uid="{00000000-0005-0000-0000-000062180000}"/>
    <cellStyle name="出力 2 4 6 2" xfId="883" xr:uid="{00000000-0005-0000-0000-000063180000}"/>
    <cellStyle name="出力 2 4 6 2 2" xfId="1989" xr:uid="{00000000-0005-0000-0000-000064180000}"/>
    <cellStyle name="出力 2 4 6 2 2 2" xfId="4898" xr:uid="{00000000-0005-0000-0000-000065180000}"/>
    <cellStyle name="出力 2 4 6 2 2 2 2" xfId="10377" xr:uid="{00000000-0005-0000-0000-000066180000}"/>
    <cellStyle name="出力 2 4 6 2 2 3" xfId="3677" xr:uid="{00000000-0005-0000-0000-000067180000}"/>
    <cellStyle name="出力 2 4 6 2 2 3 2" xfId="9225" xr:uid="{00000000-0005-0000-0000-000068180000}"/>
    <cellStyle name="出力 2 4 6 2 2 4" xfId="7652" xr:uid="{00000000-0005-0000-0000-000069180000}"/>
    <cellStyle name="出力 2 4 6 2 3" xfId="6643" xr:uid="{00000000-0005-0000-0000-00006A180000}"/>
    <cellStyle name="出力 2 4 6 3" xfId="1482" xr:uid="{00000000-0005-0000-0000-00006B180000}"/>
    <cellStyle name="出力 2 4 6 3 2" xfId="4446" xr:uid="{00000000-0005-0000-0000-00006C180000}"/>
    <cellStyle name="出力 2 4 6 3 2 2" xfId="9969" xr:uid="{00000000-0005-0000-0000-00006D180000}"/>
    <cellStyle name="出力 2 4 6 3 3" xfId="3678" xr:uid="{00000000-0005-0000-0000-00006E180000}"/>
    <cellStyle name="出力 2 4 6 3 3 2" xfId="9226" xr:uid="{00000000-0005-0000-0000-00006F180000}"/>
    <cellStyle name="出力 2 4 6 3 4" xfId="7189" xr:uid="{00000000-0005-0000-0000-000070180000}"/>
    <cellStyle name="出力 2 4 6 4" xfId="6178" xr:uid="{00000000-0005-0000-0000-000071180000}"/>
    <cellStyle name="出力 2 4 7" xfId="659" xr:uid="{00000000-0005-0000-0000-000072180000}"/>
    <cellStyle name="出力 2 4 7 2" xfId="1765" xr:uid="{00000000-0005-0000-0000-000073180000}"/>
    <cellStyle name="出力 2 4 7 2 2" xfId="4674" xr:uid="{00000000-0005-0000-0000-000074180000}"/>
    <cellStyle name="出力 2 4 7 2 2 2" xfId="10175" xr:uid="{00000000-0005-0000-0000-000075180000}"/>
    <cellStyle name="出力 2 4 7 2 3" xfId="3679" xr:uid="{00000000-0005-0000-0000-000076180000}"/>
    <cellStyle name="出力 2 4 7 2 3 2" xfId="9227" xr:uid="{00000000-0005-0000-0000-000077180000}"/>
    <cellStyle name="出力 2 4 7 2 4" xfId="7450" xr:uid="{00000000-0005-0000-0000-000078180000}"/>
    <cellStyle name="出力 2 4 7 3" xfId="6441" xr:uid="{00000000-0005-0000-0000-000079180000}"/>
    <cellStyle name="出力 2 4 8" xfId="1258" xr:uid="{00000000-0005-0000-0000-00007A180000}"/>
    <cellStyle name="出力 2 4 8 2" xfId="4222" xr:uid="{00000000-0005-0000-0000-00007B180000}"/>
    <cellStyle name="出力 2 4 8 2 2" xfId="9767" xr:uid="{00000000-0005-0000-0000-00007C180000}"/>
    <cellStyle name="出力 2 4 8 3" xfId="3680" xr:uid="{00000000-0005-0000-0000-00007D180000}"/>
    <cellStyle name="出力 2 4 8 3 2" xfId="9228" xr:uid="{00000000-0005-0000-0000-00007E180000}"/>
    <cellStyle name="出力 2 4 8 4" xfId="6987" xr:uid="{00000000-0005-0000-0000-00007F180000}"/>
    <cellStyle name="出力 2 4 9" xfId="5975" xr:uid="{00000000-0005-0000-0000-000080180000}"/>
    <cellStyle name="出力 2 5" xfId="147" xr:uid="{00000000-0005-0000-0000-000081180000}"/>
    <cellStyle name="出力 2 5 2" xfId="183" xr:uid="{00000000-0005-0000-0000-000082180000}"/>
    <cellStyle name="出力 2 5 2 2" xfId="254" xr:uid="{00000000-0005-0000-0000-000083180000}"/>
    <cellStyle name="出力 2 5 2 2 2" xfId="476" xr:uid="{00000000-0005-0000-0000-000084180000}"/>
    <cellStyle name="出力 2 5 2 2 2 2" xfId="985" xr:uid="{00000000-0005-0000-0000-000085180000}"/>
    <cellStyle name="出力 2 5 2 2 2 2 2" xfId="2091" xr:uid="{00000000-0005-0000-0000-000086180000}"/>
    <cellStyle name="出力 2 5 2 2 2 2 2 2" xfId="5000" xr:uid="{00000000-0005-0000-0000-000087180000}"/>
    <cellStyle name="出力 2 5 2 2 2 2 2 2 2" xfId="10470" xr:uid="{00000000-0005-0000-0000-000088180000}"/>
    <cellStyle name="出力 2 5 2 2 2 2 2 3" xfId="3681" xr:uid="{00000000-0005-0000-0000-000089180000}"/>
    <cellStyle name="出力 2 5 2 2 2 2 2 3 2" xfId="9229" xr:uid="{00000000-0005-0000-0000-00008A180000}"/>
    <cellStyle name="出力 2 5 2 2 2 2 2 4" xfId="7745" xr:uid="{00000000-0005-0000-0000-00008B180000}"/>
    <cellStyle name="出力 2 5 2 2 2 2 3" xfId="6736" xr:uid="{00000000-0005-0000-0000-00008C180000}"/>
    <cellStyle name="出力 2 5 2 2 2 3" xfId="1584" xr:uid="{00000000-0005-0000-0000-00008D180000}"/>
    <cellStyle name="出力 2 5 2 2 2 3 2" xfId="4548" xr:uid="{00000000-0005-0000-0000-00008E180000}"/>
    <cellStyle name="出力 2 5 2 2 2 3 2 2" xfId="10062" xr:uid="{00000000-0005-0000-0000-00008F180000}"/>
    <cellStyle name="出力 2 5 2 2 2 3 3" xfId="3682" xr:uid="{00000000-0005-0000-0000-000090180000}"/>
    <cellStyle name="出力 2 5 2 2 2 3 3 2" xfId="9230" xr:uid="{00000000-0005-0000-0000-000091180000}"/>
    <cellStyle name="出力 2 5 2 2 2 3 4" xfId="7282" xr:uid="{00000000-0005-0000-0000-000092180000}"/>
    <cellStyle name="出力 2 5 2 2 2 4" xfId="6271" xr:uid="{00000000-0005-0000-0000-000093180000}"/>
    <cellStyle name="出力 2 5 2 2 3" xfId="763" xr:uid="{00000000-0005-0000-0000-000094180000}"/>
    <cellStyle name="出力 2 5 2 2 3 2" xfId="1869" xr:uid="{00000000-0005-0000-0000-000095180000}"/>
    <cellStyle name="出力 2 5 2 2 3 2 2" xfId="4778" xr:uid="{00000000-0005-0000-0000-000096180000}"/>
    <cellStyle name="出力 2 5 2 2 3 2 2 2" xfId="10270" xr:uid="{00000000-0005-0000-0000-000097180000}"/>
    <cellStyle name="出力 2 5 2 2 3 2 3" xfId="3683" xr:uid="{00000000-0005-0000-0000-000098180000}"/>
    <cellStyle name="出力 2 5 2 2 3 2 3 2" xfId="9231" xr:uid="{00000000-0005-0000-0000-000099180000}"/>
    <cellStyle name="出力 2 5 2 2 3 2 4" xfId="7545" xr:uid="{00000000-0005-0000-0000-00009A180000}"/>
    <cellStyle name="出力 2 5 2 2 3 3" xfId="6536" xr:uid="{00000000-0005-0000-0000-00009B180000}"/>
    <cellStyle name="出力 2 5 2 2 4" xfId="1362" xr:uid="{00000000-0005-0000-0000-00009C180000}"/>
    <cellStyle name="出力 2 5 2 2 4 2" xfId="4326" xr:uid="{00000000-0005-0000-0000-00009D180000}"/>
    <cellStyle name="出力 2 5 2 2 4 2 2" xfId="9862" xr:uid="{00000000-0005-0000-0000-00009E180000}"/>
    <cellStyle name="出力 2 5 2 2 4 3" xfId="3684" xr:uid="{00000000-0005-0000-0000-00009F180000}"/>
    <cellStyle name="出力 2 5 2 2 4 3 2" xfId="9232" xr:uid="{00000000-0005-0000-0000-0000A0180000}"/>
    <cellStyle name="出力 2 5 2 2 4 4" xfId="7082" xr:uid="{00000000-0005-0000-0000-0000A1180000}"/>
    <cellStyle name="出力 2 5 2 2 5" xfId="6071" xr:uid="{00000000-0005-0000-0000-0000A2180000}"/>
    <cellStyle name="出力 2 5 2 3" xfId="319" xr:uid="{00000000-0005-0000-0000-0000A3180000}"/>
    <cellStyle name="出力 2 5 2 3 2" xfId="541" xr:uid="{00000000-0005-0000-0000-0000A4180000}"/>
    <cellStyle name="出力 2 5 2 3 2 2" xfId="1050" xr:uid="{00000000-0005-0000-0000-0000A5180000}"/>
    <cellStyle name="出力 2 5 2 3 2 2 2" xfId="2156" xr:uid="{00000000-0005-0000-0000-0000A6180000}"/>
    <cellStyle name="出力 2 5 2 3 2 2 2 2" xfId="5065" xr:uid="{00000000-0005-0000-0000-0000A7180000}"/>
    <cellStyle name="出力 2 5 2 3 2 2 2 2 2" xfId="10529" xr:uid="{00000000-0005-0000-0000-0000A8180000}"/>
    <cellStyle name="出力 2 5 2 3 2 2 2 3" xfId="3685" xr:uid="{00000000-0005-0000-0000-0000A9180000}"/>
    <cellStyle name="出力 2 5 2 3 2 2 2 3 2" xfId="9233" xr:uid="{00000000-0005-0000-0000-0000AA180000}"/>
    <cellStyle name="出力 2 5 2 3 2 2 2 4" xfId="7804" xr:uid="{00000000-0005-0000-0000-0000AB180000}"/>
    <cellStyle name="出力 2 5 2 3 2 2 3" xfId="6795" xr:uid="{00000000-0005-0000-0000-0000AC180000}"/>
    <cellStyle name="出力 2 5 2 3 2 3" xfId="1649" xr:uid="{00000000-0005-0000-0000-0000AD180000}"/>
    <cellStyle name="出力 2 5 2 3 2 3 2" xfId="4613" xr:uid="{00000000-0005-0000-0000-0000AE180000}"/>
    <cellStyle name="出力 2 5 2 3 2 3 2 2" xfId="10121" xr:uid="{00000000-0005-0000-0000-0000AF180000}"/>
    <cellStyle name="出力 2 5 2 3 2 3 3" xfId="3686" xr:uid="{00000000-0005-0000-0000-0000B0180000}"/>
    <cellStyle name="出力 2 5 2 3 2 3 3 2" xfId="9234" xr:uid="{00000000-0005-0000-0000-0000B1180000}"/>
    <cellStyle name="出力 2 5 2 3 2 3 4" xfId="7341" xr:uid="{00000000-0005-0000-0000-0000B2180000}"/>
    <cellStyle name="出力 2 5 2 3 2 4" xfId="6330" xr:uid="{00000000-0005-0000-0000-0000B3180000}"/>
    <cellStyle name="出力 2 5 2 3 3" xfId="828" xr:uid="{00000000-0005-0000-0000-0000B4180000}"/>
    <cellStyle name="出力 2 5 2 3 3 2" xfId="1934" xr:uid="{00000000-0005-0000-0000-0000B5180000}"/>
    <cellStyle name="出力 2 5 2 3 3 2 2" xfId="4843" xr:uid="{00000000-0005-0000-0000-0000B6180000}"/>
    <cellStyle name="出力 2 5 2 3 3 2 2 2" xfId="10329" xr:uid="{00000000-0005-0000-0000-0000B7180000}"/>
    <cellStyle name="出力 2 5 2 3 3 2 3" xfId="3687" xr:uid="{00000000-0005-0000-0000-0000B8180000}"/>
    <cellStyle name="出力 2 5 2 3 3 2 3 2" xfId="9235" xr:uid="{00000000-0005-0000-0000-0000B9180000}"/>
    <cellStyle name="出力 2 5 2 3 3 2 4" xfId="7604" xr:uid="{00000000-0005-0000-0000-0000BA180000}"/>
    <cellStyle name="出力 2 5 2 3 3 3" xfId="6595" xr:uid="{00000000-0005-0000-0000-0000BB180000}"/>
    <cellStyle name="出力 2 5 2 3 4" xfId="1427" xr:uid="{00000000-0005-0000-0000-0000BC180000}"/>
    <cellStyle name="出力 2 5 2 3 4 2" xfId="4391" xr:uid="{00000000-0005-0000-0000-0000BD180000}"/>
    <cellStyle name="出力 2 5 2 3 4 2 2" xfId="9921" xr:uid="{00000000-0005-0000-0000-0000BE180000}"/>
    <cellStyle name="出力 2 5 2 3 4 3" xfId="3688" xr:uid="{00000000-0005-0000-0000-0000BF180000}"/>
    <cellStyle name="出力 2 5 2 3 4 3 2" xfId="9236" xr:uid="{00000000-0005-0000-0000-0000C0180000}"/>
    <cellStyle name="出力 2 5 2 3 4 4" xfId="7141" xr:uid="{00000000-0005-0000-0000-0000C1180000}"/>
    <cellStyle name="出力 2 5 2 3 5" xfId="6130" xr:uid="{00000000-0005-0000-0000-0000C2180000}"/>
    <cellStyle name="出力 2 5 2 4" xfId="405" xr:uid="{00000000-0005-0000-0000-0000C3180000}"/>
    <cellStyle name="出力 2 5 2 4 2" xfId="914" xr:uid="{00000000-0005-0000-0000-0000C4180000}"/>
    <cellStyle name="出力 2 5 2 4 2 2" xfId="2020" xr:uid="{00000000-0005-0000-0000-0000C5180000}"/>
    <cellStyle name="出力 2 5 2 4 2 2 2" xfId="4929" xr:uid="{00000000-0005-0000-0000-0000C6180000}"/>
    <cellStyle name="出力 2 5 2 4 2 2 2 2" xfId="10404" xr:uid="{00000000-0005-0000-0000-0000C7180000}"/>
    <cellStyle name="出力 2 5 2 4 2 2 3" xfId="3689" xr:uid="{00000000-0005-0000-0000-0000C8180000}"/>
    <cellStyle name="出力 2 5 2 4 2 2 3 2" xfId="9237" xr:uid="{00000000-0005-0000-0000-0000C9180000}"/>
    <cellStyle name="出力 2 5 2 4 2 2 4" xfId="7679" xr:uid="{00000000-0005-0000-0000-0000CA180000}"/>
    <cellStyle name="出力 2 5 2 4 2 3" xfId="6670" xr:uid="{00000000-0005-0000-0000-0000CB180000}"/>
    <cellStyle name="出力 2 5 2 4 3" xfId="1513" xr:uid="{00000000-0005-0000-0000-0000CC180000}"/>
    <cellStyle name="出力 2 5 2 4 3 2" xfId="4477" xr:uid="{00000000-0005-0000-0000-0000CD180000}"/>
    <cellStyle name="出力 2 5 2 4 3 2 2" xfId="9996" xr:uid="{00000000-0005-0000-0000-0000CE180000}"/>
    <cellStyle name="出力 2 5 2 4 3 3" xfId="3690" xr:uid="{00000000-0005-0000-0000-0000CF180000}"/>
    <cellStyle name="出力 2 5 2 4 3 3 2" xfId="9238" xr:uid="{00000000-0005-0000-0000-0000D0180000}"/>
    <cellStyle name="出力 2 5 2 4 3 4" xfId="7216" xr:uid="{00000000-0005-0000-0000-0000D1180000}"/>
    <cellStyle name="出力 2 5 2 4 4" xfId="6205" xr:uid="{00000000-0005-0000-0000-0000D2180000}"/>
    <cellStyle name="出力 2 5 2 5" xfId="692" xr:uid="{00000000-0005-0000-0000-0000D3180000}"/>
    <cellStyle name="出力 2 5 2 5 2" xfId="1798" xr:uid="{00000000-0005-0000-0000-0000D4180000}"/>
    <cellStyle name="出力 2 5 2 5 2 2" xfId="4707" xr:uid="{00000000-0005-0000-0000-0000D5180000}"/>
    <cellStyle name="出力 2 5 2 5 2 2 2" xfId="10204" xr:uid="{00000000-0005-0000-0000-0000D6180000}"/>
    <cellStyle name="出力 2 5 2 5 2 3" xfId="3691" xr:uid="{00000000-0005-0000-0000-0000D7180000}"/>
    <cellStyle name="出力 2 5 2 5 2 3 2" xfId="9239" xr:uid="{00000000-0005-0000-0000-0000D8180000}"/>
    <cellStyle name="出力 2 5 2 5 2 4" xfId="7479" xr:uid="{00000000-0005-0000-0000-0000D9180000}"/>
    <cellStyle name="出力 2 5 2 5 3" xfId="6470" xr:uid="{00000000-0005-0000-0000-0000DA180000}"/>
    <cellStyle name="出力 2 5 2 6" xfId="1291" xr:uid="{00000000-0005-0000-0000-0000DB180000}"/>
    <cellStyle name="出力 2 5 2 6 2" xfId="4255" xr:uid="{00000000-0005-0000-0000-0000DC180000}"/>
    <cellStyle name="出力 2 5 2 6 2 2" xfId="9796" xr:uid="{00000000-0005-0000-0000-0000DD180000}"/>
    <cellStyle name="出力 2 5 2 6 3" xfId="3692" xr:uid="{00000000-0005-0000-0000-0000DE180000}"/>
    <cellStyle name="出力 2 5 2 6 3 2" xfId="9240" xr:uid="{00000000-0005-0000-0000-0000DF180000}"/>
    <cellStyle name="出力 2 5 2 6 4" xfId="7016" xr:uid="{00000000-0005-0000-0000-0000E0180000}"/>
    <cellStyle name="出力 2 5 2 7" xfId="6005" xr:uid="{00000000-0005-0000-0000-0000E1180000}"/>
    <cellStyle name="出力 2 5 3" xfId="200" xr:uid="{00000000-0005-0000-0000-0000E2180000}"/>
    <cellStyle name="出力 2 5 3 2" xfId="271" xr:uid="{00000000-0005-0000-0000-0000E3180000}"/>
    <cellStyle name="出力 2 5 3 2 2" xfId="493" xr:uid="{00000000-0005-0000-0000-0000E4180000}"/>
    <cellStyle name="出力 2 5 3 2 2 2" xfId="1002" xr:uid="{00000000-0005-0000-0000-0000E5180000}"/>
    <cellStyle name="出力 2 5 3 2 2 2 2" xfId="2108" xr:uid="{00000000-0005-0000-0000-0000E6180000}"/>
    <cellStyle name="出力 2 5 3 2 2 2 2 2" xfId="5017" xr:uid="{00000000-0005-0000-0000-0000E7180000}"/>
    <cellStyle name="出力 2 5 3 2 2 2 2 2 2" xfId="10485" xr:uid="{00000000-0005-0000-0000-0000E8180000}"/>
    <cellStyle name="出力 2 5 3 2 2 2 2 3" xfId="3693" xr:uid="{00000000-0005-0000-0000-0000E9180000}"/>
    <cellStyle name="出力 2 5 3 2 2 2 2 3 2" xfId="9241" xr:uid="{00000000-0005-0000-0000-0000EA180000}"/>
    <cellStyle name="出力 2 5 3 2 2 2 2 4" xfId="7760" xr:uid="{00000000-0005-0000-0000-0000EB180000}"/>
    <cellStyle name="出力 2 5 3 2 2 2 3" xfId="6751" xr:uid="{00000000-0005-0000-0000-0000EC180000}"/>
    <cellStyle name="出力 2 5 3 2 2 3" xfId="1601" xr:uid="{00000000-0005-0000-0000-0000ED180000}"/>
    <cellStyle name="出力 2 5 3 2 2 3 2" xfId="4565" xr:uid="{00000000-0005-0000-0000-0000EE180000}"/>
    <cellStyle name="出力 2 5 3 2 2 3 2 2" xfId="10077" xr:uid="{00000000-0005-0000-0000-0000EF180000}"/>
    <cellStyle name="出力 2 5 3 2 2 3 3" xfId="3694" xr:uid="{00000000-0005-0000-0000-0000F0180000}"/>
    <cellStyle name="出力 2 5 3 2 2 3 3 2" xfId="9242" xr:uid="{00000000-0005-0000-0000-0000F1180000}"/>
    <cellStyle name="出力 2 5 3 2 2 3 4" xfId="7297" xr:uid="{00000000-0005-0000-0000-0000F2180000}"/>
    <cellStyle name="出力 2 5 3 2 2 4" xfId="6286" xr:uid="{00000000-0005-0000-0000-0000F3180000}"/>
    <cellStyle name="出力 2 5 3 2 3" xfId="780" xr:uid="{00000000-0005-0000-0000-0000F4180000}"/>
    <cellStyle name="出力 2 5 3 2 3 2" xfId="1886" xr:uid="{00000000-0005-0000-0000-0000F5180000}"/>
    <cellStyle name="出力 2 5 3 2 3 2 2" xfId="4795" xr:uid="{00000000-0005-0000-0000-0000F6180000}"/>
    <cellStyle name="出力 2 5 3 2 3 2 2 2" xfId="10285" xr:uid="{00000000-0005-0000-0000-0000F7180000}"/>
    <cellStyle name="出力 2 5 3 2 3 2 3" xfId="3695" xr:uid="{00000000-0005-0000-0000-0000F8180000}"/>
    <cellStyle name="出力 2 5 3 2 3 2 3 2" xfId="9243" xr:uid="{00000000-0005-0000-0000-0000F9180000}"/>
    <cellStyle name="出力 2 5 3 2 3 2 4" xfId="7560" xr:uid="{00000000-0005-0000-0000-0000FA180000}"/>
    <cellStyle name="出力 2 5 3 2 3 3" xfId="6551" xr:uid="{00000000-0005-0000-0000-0000FB180000}"/>
    <cellStyle name="出力 2 5 3 2 4" xfId="1379" xr:uid="{00000000-0005-0000-0000-0000FC180000}"/>
    <cellStyle name="出力 2 5 3 2 4 2" xfId="4343" xr:uid="{00000000-0005-0000-0000-0000FD180000}"/>
    <cellStyle name="出力 2 5 3 2 4 2 2" xfId="9877" xr:uid="{00000000-0005-0000-0000-0000FE180000}"/>
    <cellStyle name="出力 2 5 3 2 4 3" xfId="3696" xr:uid="{00000000-0005-0000-0000-0000FF180000}"/>
    <cellStyle name="出力 2 5 3 2 4 3 2" xfId="9244" xr:uid="{00000000-0005-0000-0000-000000190000}"/>
    <cellStyle name="出力 2 5 3 2 4 4" xfId="7097" xr:uid="{00000000-0005-0000-0000-000001190000}"/>
    <cellStyle name="出力 2 5 3 2 5" xfId="6086" xr:uid="{00000000-0005-0000-0000-000002190000}"/>
    <cellStyle name="出力 2 5 3 3" xfId="336" xr:uid="{00000000-0005-0000-0000-000003190000}"/>
    <cellStyle name="出力 2 5 3 3 2" xfId="558" xr:uid="{00000000-0005-0000-0000-000004190000}"/>
    <cellStyle name="出力 2 5 3 3 2 2" xfId="1067" xr:uid="{00000000-0005-0000-0000-000005190000}"/>
    <cellStyle name="出力 2 5 3 3 2 2 2" xfId="2173" xr:uid="{00000000-0005-0000-0000-000006190000}"/>
    <cellStyle name="出力 2 5 3 3 2 2 2 2" xfId="5082" xr:uid="{00000000-0005-0000-0000-000007190000}"/>
    <cellStyle name="出力 2 5 3 3 2 2 2 2 2" xfId="10544" xr:uid="{00000000-0005-0000-0000-000008190000}"/>
    <cellStyle name="出力 2 5 3 3 2 2 2 3" xfId="3697" xr:uid="{00000000-0005-0000-0000-000009190000}"/>
    <cellStyle name="出力 2 5 3 3 2 2 2 3 2" xfId="9245" xr:uid="{00000000-0005-0000-0000-00000A190000}"/>
    <cellStyle name="出力 2 5 3 3 2 2 2 4" xfId="7819" xr:uid="{00000000-0005-0000-0000-00000B190000}"/>
    <cellStyle name="出力 2 5 3 3 2 2 3" xfId="6810" xr:uid="{00000000-0005-0000-0000-00000C190000}"/>
    <cellStyle name="出力 2 5 3 3 2 3" xfId="1666" xr:uid="{00000000-0005-0000-0000-00000D190000}"/>
    <cellStyle name="出力 2 5 3 3 2 3 2" xfId="4630" xr:uid="{00000000-0005-0000-0000-00000E190000}"/>
    <cellStyle name="出力 2 5 3 3 2 3 2 2" xfId="10136" xr:uid="{00000000-0005-0000-0000-00000F190000}"/>
    <cellStyle name="出力 2 5 3 3 2 3 3" xfId="3698" xr:uid="{00000000-0005-0000-0000-000010190000}"/>
    <cellStyle name="出力 2 5 3 3 2 3 3 2" xfId="9246" xr:uid="{00000000-0005-0000-0000-000011190000}"/>
    <cellStyle name="出力 2 5 3 3 2 3 4" xfId="7356" xr:uid="{00000000-0005-0000-0000-000012190000}"/>
    <cellStyle name="出力 2 5 3 3 2 4" xfId="6345" xr:uid="{00000000-0005-0000-0000-000013190000}"/>
    <cellStyle name="出力 2 5 3 3 3" xfId="845" xr:uid="{00000000-0005-0000-0000-000014190000}"/>
    <cellStyle name="出力 2 5 3 3 3 2" xfId="1951" xr:uid="{00000000-0005-0000-0000-000015190000}"/>
    <cellStyle name="出力 2 5 3 3 3 2 2" xfId="4860" xr:uid="{00000000-0005-0000-0000-000016190000}"/>
    <cellStyle name="出力 2 5 3 3 3 2 2 2" xfId="10344" xr:uid="{00000000-0005-0000-0000-000017190000}"/>
    <cellStyle name="出力 2 5 3 3 3 2 3" xfId="3699" xr:uid="{00000000-0005-0000-0000-000018190000}"/>
    <cellStyle name="出力 2 5 3 3 3 2 3 2" xfId="9247" xr:uid="{00000000-0005-0000-0000-000019190000}"/>
    <cellStyle name="出力 2 5 3 3 3 2 4" xfId="7619" xr:uid="{00000000-0005-0000-0000-00001A190000}"/>
    <cellStyle name="出力 2 5 3 3 3 3" xfId="6610" xr:uid="{00000000-0005-0000-0000-00001B190000}"/>
    <cellStyle name="出力 2 5 3 3 4" xfId="1444" xr:uid="{00000000-0005-0000-0000-00001C190000}"/>
    <cellStyle name="出力 2 5 3 3 4 2" xfId="4408" xr:uid="{00000000-0005-0000-0000-00001D190000}"/>
    <cellStyle name="出力 2 5 3 3 4 2 2" xfId="9936" xr:uid="{00000000-0005-0000-0000-00001E190000}"/>
    <cellStyle name="出力 2 5 3 3 4 3" xfId="3700" xr:uid="{00000000-0005-0000-0000-00001F190000}"/>
    <cellStyle name="出力 2 5 3 3 4 3 2" xfId="9248" xr:uid="{00000000-0005-0000-0000-000020190000}"/>
    <cellStyle name="出力 2 5 3 3 4 4" xfId="7156" xr:uid="{00000000-0005-0000-0000-000021190000}"/>
    <cellStyle name="出力 2 5 3 3 5" xfId="6145" xr:uid="{00000000-0005-0000-0000-000022190000}"/>
    <cellStyle name="出力 2 5 3 4" xfId="422" xr:uid="{00000000-0005-0000-0000-000023190000}"/>
    <cellStyle name="出力 2 5 3 4 2" xfId="931" xr:uid="{00000000-0005-0000-0000-000024190000}"/>
    <cellStyle name="出力 2 5 3 4 2 2" xfId="2037" xr:uid="{00000000-0005-0000-0000-000025190000}"/>
    <cellStyle name="出力 2 5 3 4 2 2 2" xfId="4946" xr:uid="{00000000-0005-0000-0000-000026190000}"/>
    <cellStyle name="出力 2 5 3 4 2 2 2 2" xfId="10419" xr:uid="{00000000-0005-0000-0000-000027190000}"/>
    <cellStyle name="出力 2 5 3 4 2 2 3" xfId="3701" xr:uid="{00000000-0005-0000-0000-000028190000}"/>
    <cellStyle name="出力 2 5 3 4 2 2 3 2" xfId="9249" xr:uid="{00000000-0005-0000-0000-000029190000}"/>
    <cellStyle name="出力 2 5 3 4 2 2 4" xfId="7694" xr:uid="{00000000-0005-0000-0000-00002A190000}"/>
    <cellStyle name="出力 2 5 3 4 2 3" xfId="6685" xr:uid="{00000000-0005-0000-0000-00002B190000}"/>
    <cellStyle name="出力 2 5 3 4 3" xfId="1530" xr:uid="{00000000-0005-0000-0000-00002C190000}"/>
    <cellStyle name="出力 2 5 3 4 3 2" xfId="4494" xr:uid="{00000000-0005-0000-0000-00002D190000}"/>
    <cellStyle name="出力 2 5 3 4 3 2 2" xfId="10011" xr:uid="{00000000-0005-0000-0000-00002E190000}"/>
    <cellStyle name="出力 2 5 3 4 3 3" xfId="3702" xr:uid="{00000000-0005-0000-0000-00002F190000}"/>
    <cellStyle name="出力 2 5 3 4 3 3 2" xfId="9250" xr:uid="{00000000-0005-0000-0000-000030190000}"/>
    <cellStyle name="出力 2 5 3 4 3 4" xfId="7231" xr:uid="{00000000-0005-0000-0000-000031190000}"/>
    <cellStyle name="出力 2 5 3 4 4" xfId="6220" xr:uid="{00000000-0005-0000-0000-000032190000}"/>
    <cellStyle name="出力 2 5 3 5" xfId="709" xr:uid="{00000000-0005-0000-0000-000033190000}"/>
    <cellStyle name="出力 2 5 3 5 2" xfId="1815" xr:uid="{00000000-0005-0000-0000-000034190000}"/>
    <cellStyle name="出力 2 5 3 5 2 2" xfId="4724" xr:uid="{00000000-0005-0000-0000-000035190000}"/>
    <cellStyle name="出力 2 5 3 5 2 2 2" xfId="10219" xr:uid="{00000000-0005-0000-0000-000036190000}"/>
    <cellStyle name="出力 2 5 3 5 2 3" xfId="3703" xr:uid="{00000000-0005-0000-0000-000037190000}"/>
    <cellStyle name="出力 2 5 3 5 2 3 2" xfId="9251" xr:uid="{00000000-0005-0000-0000-000038190000}"/>
    <cellStyle name="出力 2 5 3 5 2 4" xfId="7494" xr:uid="{00000000-0005-0000-0000-000039190000}"/>
    <cellStyle name="出力 2 5 3 5 3" xfId="6485" xr:uid="{00000000-0005-0000-0000-00003A190000}"/>
    <cellStyle name="出力 2 5 3 6" xfId="1308" xr:uid="{00000000-0005-0000-0000-00003B190000}"/>
    <cellStyle name="出力 2 5 3 6 2" xfId="4272" xr:uid="{00000000-0005-0000-0000-00003C190000}"/>
    <cellStyle name="出力 2 5 3 6 2 2" xfId="9811" xr:uid="{00000000-0005-0000-0000-00003D190000}"/>
    <cellStyle name="出力 2 5 3 6 3" xfId="3704" xr:uid="{00000000-0005-0000-0000-00003E190000}"/>
    <cellStyle name="出力 2 5 3 6 3 2" xfId="9252" xr:uid="{00000000-0005-0000-0000-00003F190000}"/>
    <cellStyle name="出力 2 5 3 6 4" xfId="7031" xr:uid="{00000000-0005-0000-0000-000040190000}"/>
    <cellStyle name="出力 2 5 3 7" xfId="6020" xr:uid="{00000000-0005-0000-0000-000041190000}"/>
    <cellStyle name="出力 2 5 4" xfId="228" xr:uid="{00000000-0005-0000-0000-000042190000}"/>
    <cellStyle name="出力 2 5 4 2" xfId="450" xr:uid="{00000000-0005-0000-0000-000043190000}"/>
    <cellStyle name="出力 2 5 4 2 2" xfId="959" xr:uid="{00000000-0005-0000-0000-000044190000}"/>
    <cellStyle name="出力 2 5 4 2 2 2" xfId="2065" xr:uid="{00000000-0005-0000-0000-000045190000}"/>
    <cellStyle name="出力 2 5 4 2 2 2 2" xfId="4974" xr:uid="{00000000-0005-0000-0000-000046190000}"/>
    <cellStyle name="出力 2 5 4 2 2 2 2 2" xfId="10444" xr:uid="{00000000-0005-0000-0000-000047190000}"/>
    <cellStyle name="出力 2 5 4 2 2 2 3" xfId="3705" xr:uid="{00000000-0005-0000-0000-000048190000}"/>
    <cellStyle name="出力 2 5 4 2 2 2 3 2" xfId="9253" xr:uid="{00000000-0005-0000-0000-000049190000}"/>
    <cellStyle name="出力 2 5 4 2 2 2 4" xfId="7719" xr:uid="{00000000-0005-0000-0000-00004A190000}"/>
    <cellStyle name="出力 2 5 4 2 2 3" xfId="6710" xr:uid="{00000000-0005-0000-0000-00004B190000}"/>
    <cellStyle name="出力 2 5 4 2 3" xfId="1558" xr:uid="{00000000-0005-0000-0000-00004C190000}"/>
    <cellStyle name="出力 2 5 4 2 3 2" xfId="4522" xr:uid="{00000000-0005-0000-0000-00004D190000}"/>
    <cellStyle name="出力 2 5 4 2 3 2 2" xfId="10036" xr:uid="{00000000-0005-0000-0000-00004E190000}"/>
    <cellStyle name="出力 2 5 4 2 3 3" xfId="3706" xr:uid="{00000000-0005-0000-0000-00004F190000}"/>
    <cellStyle name="出力 2 5 4 2 3 3 2" xfId="9254" xr:uid="{00000000-0005-0000-0000-000050190000}"/>
    <cellStyle name="出力 2 5 4 2 3 4" xfId="7256" xr:uid="{00000000-0005-0000-0000-000051190000}"/>
    <cellStyle name="出力 2 5 4 2 4" xfId="6245" xr:uid="{00000000-0005-0000-0000-000052190000}"/>
    <cellStyle name="出力 2 5 4 3" xfId="737" xr:uid="{00000000-0005-0000-0000-000053190000}"/>
    <cellStyle name="出力 2 5 4 3 2" xfId="1843" xr:uid="{00000000-0005-0000-0000-000054190000}"/>
    <cellStyle name="出力 2 5 4 3 2 2" xfId="4752" xr:uid="{00000000-0005-0000-0000-000055190000}"/>
    <cellStyle name="出力 2 5 4 3 2 2 2" xfId="10244" xr:uid="{00000000-0005-0000-0000-000056190000}"/>
    <cellStyle name="出力 2 5 4 3 2 3" xfId="3707" xr:uid="{00000000-0005-0000-0000-000057190000}"/>
    <cellStyle name="出力 2 5 4 3 2 3 2" xfId="9255" xr:uid="{00000000-0005-0000-0000-000058190000}"/>
    <cellStyle name="出力 2 5 4 3 2 4" xfId="7519" xr:uid="{00000000-0005-0000-0000-000059190000}"/>
    <cellStyle name="出力 2 5 4 3 3" xfId="6510" xr:uid="{00000000-0005-0000-0000-00005A190000}"/>
    <cellStyle name="出力 2 5 4 4" xfId="1336" xr:uid="{00000000-0005-0000-0000-00005B190000}"/>
    <cellStyle name="出力 2 5 4 4 2" xfId="4300" xr:uid="{00000000-0005-0000-0000-00005C190000}"/>
    <cellStyle name="出力 2 5 4 4 2 2" xfId="9836" xr:uid="{00000000-0005-0000-0000-00005D190000}"/>
    <cellStyle name="出力 2 5 4 4 3" xfId="3708" xr:uid="{00000000-0005-0000-0000-00005E190000}"/>
    <cellStyle name="出力 2 5 4 4 3 2" xfId="9256" xr:uid="{00000000-0005-0000-0000-00005F190000}"/>
    <cellStyle name="出力 2 5 4 4 4" xfId="7056" xr:uid="{00000000-0005-0000-0000-000060190000}"/>
    <cellStyle name="出力 2 5 4 5" xfId="6045" xr:uid="{00000000-0005-0000-0000-000061190000}"/>
    <cellStyle name="出力 2 5 5" xfId="289" xr:uid="{00000000-0005-0000-0000-000062190000}"/>
    <cellStyle name="出力 2 5 5 2" xfId="511" xr:uid="{00000000-0005-0000-0000-000063190000}"/>
    <cellStyle name="出力 2 5 5 2 2" xfId="1020" xr:uid="{00000000-0005-0000-0000-000064190000}"/>
    <cellStyle name="出力 2 5 5 2 2 2" xfId="2126" xr:uid="{00000000-0005-0000-0000-000065190000}"/>
    <cellStyle name="出力 2 5 5 2 2 2 2" xfId="5035" xr:uid="{00000000-0005-0000-0000-000066190000}"/>
    <cellStyle name="出力 2 5 5 2 2 2 2 2" xfId="10503" xr:uid="{00000000-0005-0000-0000-000067190000}"/>
    <cellStyle name="出力 2 5 5 2 2 2 3" xfId="3709" xr:uid="{00000000-0005-0000-0000-000068190000}"/>
    <cellStyle name="出力 2 5 5 2 2 2 3 2" xfId="9257" xr:uid="{00000000-0005-0000-0000-000069190000}"/>
    <cellStyle name="出力 2 5 5 2 2 2 4" xfId="7778" xr:uid="{00000000-0005-0000-0000-00006A190000}"/>
    <cellStyle name="出力 2 5 5 2 2 3" xfId="6769" xr:uid="{00000000-0005-0000-0000-00006B190000}"/>
    <cellStyle name="出力 2 5 5 2 3" xfId="1619" xr:uid="{00000000-0005-0000-0000-00006C190000}"/>
    <cellStyle name="出力 2 5 5 2 3 2" xfId="4583" xr:uid="{00000000-0005-0000-0000-00006D190000}"/>
    <cellStyle name="出力 2 5 5 2 3 2 2" xfId="10095" xr:uid="{00000000-0005-0000-0000-00006E190000}"/>
    <cellStyle name="出力 2 5 5 2 3 3" xfId="3710" xr:uid="{00000000-0005-0000-0000-00006F190000}"/>
    <cellStyle name="出力 2 5 5 2 3 3 2" xfId="9258" xr:uid="{00000000-0005-0000-0000-000070190000}"/>
    <cellStyle name="出力 2 5 5 2 3 4" xfId="7315" xr:uid="{00000000-0005-0000-0000-000071190000}"/>
    <cellStyle name="出力 2 5 5 2 4" xfId="6304" xr:uid="{00000000-0005-0000-0000-000072190000}"/>
    <cellStyle name="出力 2 5 5 3" xfId="798" xr:uid="{00000000-0005-0000-0000-000073190000}"/>
    <cellStyle name="出力 2 5 5 3 2" xfId="1904" xr:uid="{00000000-0005-0000-0000-000074190000}"/>
    <cellStyle name="出力 2 5 5 3 2 2" xfId="4813" xr:uid="{00000000-0005-0000-0000-000075190000}"/>
    <cellStyle name="出力 2 5 5 3 2 2 2" xfId="10303" xr:uid="{00000000-0005-0000-0000-000076190000}"/>
    <cellStyle name="出力 2 5 5 3 2 3" xfId="3711" xr:uid="{00000000-0005-0000-0000-000077190000}"/>
    <cellStyle name="出力 2 5 5 3 2 3 2" xfId="9259" xr:uid="{00000000-0005-0000-0000-000078190000}"/>
    <cellStyle name="出力 2 5 5 3 2 4" xfId="7578" xr:uid="{00000000-0005-0000-0000-000079190000}"/>
    <cellStyle name="出力 2 5 5 3 3" xfId="6569" xr:uid="{00000000-0005-0000-0000-00007A190000}"/>
    <cellStyle name="出力 2 5 5 4" xfId="1397" xr:uid="{00000000-0005-0000-0000-00007B190000}"/>
    <cellStyle name="出力 2 5 5 4 2" xfId="4361" xr:uid="{00000000-0005-0000-0000-00007C190000}"/>
    <cellStyle name="出力 2 5 5 4 2 2" xfId="9895" xr:uid="{00000000-0005-0000-0000-00007D190000}"/>
    <cellStyle name="出力 2 5 5 4 3" xfId="3712" xr:uid="{00000000-0005-0000-0000-00007E190000}"/>
    <cellStyle name="出力 2 5 5 4 3 2" xfId="9260" xr:uid="{00000000-0005-0000-0000-00007F190000}"/>
    <cellStyle name="出力 2 5 5 4 4" xfId="7115" xr:uid="{00000000-0005-0000-0000-000080190000}"/>
    <cellStyle name="出力 2 5 5 5" xfId="6104" xr:uid="{00000000-0005-0000-0000-000081190000}"/>
    <cellStyle name="出力 2 5 6" xfId="372" xr:uid="{00000000-0005-0000-0000-000082190000}"/>
    <cellStyle name="出力 2 5 6 2" xfId="881" xr:uid="{00000000-0005-0000-0000-000083190000}"/>
    <cellStyle name="出力 2 5 6 2 2" xfId="1987" xr:uid="{00000000-0005-0000-0000-000084190000}"/>
    <cellStyle name="出力 2 5 6 2 2 2" xfId="4896" xr:uid="{00000000-0005-0000-0000-000085190000}"/>
    <cellStyle name="出力 2 5 6 2 2 2 2" xfId="10375" xr:uid="{00000000-0005-0000-0000-000086190000}"/>
    <cellStyle name="出力 2 5 6 2 2 3" xfId="3713" xr:uid="{00000000-0005-0000-0000-000087190000}"/>
    <cellStyle name="出力 2 5 6 2 2 3 2" xfId="9261" xr:uid="{00000000-0005-0000-0000-000088190000}"/>
    <cellStyle name="出力 2 5 6 2 2 4" xfId="7650" xr:uid="{00000000-0005-0000-0000-000089190000}"/>
    <cellStyle name="出力 2 5 6 2 3" xfId="6641" xr:uid="{00000000-0005-0000-0000-00008A190000}"/>
    <cellStyle name="出力 2 5 6 3" xfId="1480" xr:uid="{00000000-0005-0000-0000-00008B190000}"/>
    <cellStyle name="出力 2 5 6 3 2" xfId="4444" xr:uid="{00000000-0005-0000-0000-00008C190000}"/>
    <cellStyle name="出力 2 5 6 3 2 2" xfId="9967" xr:uid="{00000000-0005-0000-0000-00008D190000}"/>
    <cellStyle name="出力 2 5 6 3 3" xfId="3714" xr:uid="{00000000-0005-0000-0000-00008E190000}"/>
    <cellStyle name="出力 2 5 6 3 3 2" xfId="9262" xr:uid="{00000000-0005-0000-0000-00008F190000}"/>
    <cellStyle name="出力 2 5 6 3 4" xfId="7187" xr:uid="{00000000-0005-0000-0000-000090190000}"/>
    <cellStyle name="出力 2 5 6 4" xfId="6176" xr:uid="{00000000-0005-0000-0000-000091190000}"/>
    <cellStyle name="出力 2 5 7" xfId="657" xr:uid="{00000000-0005-0000-0000-000092190000}"/>
    <cellStyle name="出力 2 5 7 2" xfId="1763" xr:uid="{00000000-0005-0000-0000-000093190000}"/>
    <cellStyle name="出力 2 5 7 2 2" xfId="4672" xr:uid="{00000000-0005-0000-0000-000094190000}"/>
    <cellStyle name="出力 2 5 7 2 2 2" xfId="10173" xr:uid="{00000000-0005-0000-0000-000095190000}"/>
    <cellStyle name="出力 2 5 7 2 3" xfId="3715" xr:uid="{00000000-0005-0000-0000-000096190000}"/>
    <cellStyle name="出力 2 5 7 2 3 2" xfId="9263" xr:uid="{00000000-0005-0000-0000-000097190000}"/>
    <cellStyle name="出力 2 5 7 2 4" xfId="7448" xr:uid="{00000000-0005-0000-0000-000098190000}"/>
    <cellStyle name="出力 2 5 7 3" xfId="6439" xr:uid="{00000000-0005-0000-0000-000099190000}"/>
    <cellStyle name="出力 2 5 8" xfId="1256" xr:uid="{00000000-0005-0000-0000-00009A190000}"/>
    <cellStyle name="出力 2 5 8 2" xfId="4220" xr:uid="{00000000-0005-0000-0000-00009B190000}"/>
    <cellStyle name="出力 2 5 8 2 2" xfId="9765" xr:uid="{00000000-0005-0000-0000-00009C190000}"/>
    <cellStyle name="出力 2 5 8 3" xfId="3716" xr:uid="{00000000-0005-0000-0000-00009D190000}"/>
    <cellStyle name="出力 2 5 8 3 2" xfId="9264" xr:uid="{00000000-0005-0000-0000-00009E190000}"/>
    <cellStyle name="出力 2 5 8 4" xfId="6985" xr:uid="{00000000-0005-0000-0000-00009F190000}"/>
    <cellStyle name="出力 2 5 9" xfId="5973" xr:uid="{00000000-0005-0000-0000-0000A0190000}"/>
    <cellStyle name="出力 2 6" xfId="167" xr:uid="{00000000-0005-0000-0000-0000A1190000}"/>
    <cellStyle name="出力 2 6 2" xfId="219" xr:uid="{00000000-0005-0000-0000-0000A2190000}"/>
    <cellStyle name="出力 2 6 2 2" xfId="287" xr:uid="{00000000-0005-0000-0000-0000A3190000}"/>
    <cellStyle name="出力 2 6 2 2 2" xfId="509" xr:uid="{00000000-0005-0000-0000-0000A4190000}"/>
    <cellStyle name="出力 2 6 2 2 2 2" xfId="1018" xr:uid="{00000000-0005-0000-0000-0000A5190000}"/>
    <cellStyle name="出力 2 6 2 2 2 2 2" xfId="2124" xr:uid="{00000000-0005-0000-0000-0000A6190000}"/>
    <cellStyle name="出力 2 6 2 2 2 2 2 2" xfId="5033" xr:uid="{00000000-0005-0000-0000-0000A7190000}"/>
    <cellStyle name="出力 2 6 2 2 2 2 2 2 2" xfId="10501" xr:uid="{00000000-0005-0000-0000-0000A8190000}"/>
    <cellStyle name="出力 2 6 2 2 2 2 2 3" xfId="3717" xr:uid="{00000000-0005-0000-0000-0000A9190000}"/>
    <cellStyle name="出力 2 6 2 2 2 2 2 3 2" xfId="9265" xr:uid="{00000000-0005-0000-0000-0000AA190000}"/>
    <cellStyle name="出力 2 6 2 2 2 2 2 4" xfId="7776" xr:uid="{00000000-0005-0000-0000-0000AB190000}"/>
    <cellStyle name="出力 2 6 2 2 2 2 3" xfId="6767" xr:uid="{00000000-0005-0000-0000-0000AC190000}"/>
    <cellStyle name="出力 2 6 2 2 2 3" xfId="1617" xr:uid="{00000000-0005-0000-0000-0000AD190000}"/>
    <cellStyle name="出力 2 6 2 2 2 3 2" xfId="4581" xr:uid="{00000000-0005-0000-0000-0000AE190000}"/>
    <cellStyle name="出力 2 6 2 2 2 3 2 2" xfId="10093" xr:uid="{00000000-0005-0000-0000-0000AF190000}"/>
    <cellStyle name="出力 2 6 2 2 2 3 3" xfId="3718" xr:uid="{00000000-0005-0000-0000-0000B0190000}"/>
    <cellStyle name="出力 2 6 2 2 2 3 3 2" xfId="9266" xr:uid="{00000000-0005-0000-0000-0000B1190000}"/>
    <cellStyle name="出力 2 6 2 2 2 3 4" xfId="7313" xr:uid="{00000000-0005-0000-0000-0000B2190000}"/>
    <cellStyle name="出力 2 6 2 2 2 4" xfId="6302" xr:uid="{00000000-0005-0000-0000-0000B3190000}"/>
    <cellStyle name="出力 2 6 2 2 3" xfId="796" xr:uid="{00000000-0005-0000-0000-0000B4190000}"/>
    <cellStyle name="出力 2 6 2 2 3 2" xfId="1902" xr:uid="{00000000-0005-0000-0000-0000B5190000}"/>
    <cellStyle name="出力 2 6 2 2 3 2 2" xfId="4811" xr:uid="{00000000-0005-0000-0000-0000B6190000}"/>
    <cellStyle name="出力 2 6 2 2 3 2 2 2" xfId="10301" xr:uid="{00000000-0005-0000-0000-0000B7190000}"/>
    <cellStyle name="出力 2 6 2 2 3 2 3" xfId="3719" xr:uid="{00000000-0005-0000-0000-0000B8190000}"/>
    <cellStyle name="出力 2 6 2 2 3 2 3 2" xfId="9267" xr:uid="{00000000-0005-0000-0000-0000B9190000}"/>
    <cellStyle name="出力 2 6 2 2 3 2 4" xfId="7576" xr:uid="{00000000-0005-0000-0000-0000BA190000}"/>
    <cellStyle name="出力 2 6 2 2 3 3" xfId="6567" xr:uid="{00000000-0005-0000-0000-0000BB190000}"/>
    <cellStyle name="出力 2 6 2 2 4" xfId="1395" xr:uid="{00000000-0005-0000-0000-0000BC190000}"/>
    <cellStyle name="出力 2 6 2 2 4 2" xfId="4359" xr:uid="{00000000-0005-0000-0000-0000BD190000}"/>
    <cellStyle name="出力 2 6 2 2 4 2 2" xfId="9893" xr:uid="{00000000-0005-0000-0000-0000BE190000}"/>
    <cellStyle name="出力 2 6 2 2 4 3" xfId="3720" xr:uid="{00000000-0005-0000-0000-0000BF190000}"/>
    <cellStyle name="出力 2 6 2 2 4 3 2" xfId="9268" xr:uid="{00000000-0005-0000-0000-0000C0190000}"/>
    <cellStyle name="出力 2 6 2 2 4 4" xfId="7113" xr:uid="{00000000-0005-0000-0000-0000C1190000}"/>
    <cellStyle name="出力 2 6 2 2 5" xfId="6102" xr:uid="{00000000-0005-0000-0000-0000C2190000}"/>
    <cellStyle name="出力 2 6 2 3" xfId="355" xr:uid="{00000000-0005-0000-0000-0000C3190000}"/>
    <cellStyle name="出力 2 6 2 3 2" xfId="577" xr:uid="{00000000-0005-0000-0000-0000C4190000}"/>
    <cellStyle name="出力 2 6 2 3 2 2" xfId="1086" xr:uid="{00000000-0005-0000-0000-0000C5190000}"/>
    <cellStyle name="出力 2 6 2 3 2 2 2" xfId="2192" xr:uid="{00000000-0005-0000-0000-0000C6190000}"/>
    <cellStyle name="出力 2 6 2 3 2 2 2 2" xfId="5101" xr:uid="{00000000-0005-0000-0000-0000C7190000}"/>
    <cellStyle name="出力 2 6 2 3 2 2 2 2 2" xfId="10560" xr:uid="{00000000-0005-0000-0000-0000C8190000}"/>
    <cellStyle name="出力 2 6 2 3 2 2 2 3" xfId="3721" xr:uid="{00000000-0005-0000-0000-0000C9190000}"/>
    <cellStyle name="出力 2 6 2 3 2 2 2 3 2" xfId="9269" xr:uid="{00000000-0005-0000-0000-0000CA190000}"/>
    <cellStyle name="出力 2 6 2 3 2 2 2 4" xfId="7835" xr:uid="{00000000-0005-0000-0000-0000CB190000}"/>
    <cellStyle name="出力 2 6 2 3 2 2 3" xfId="6826" xr:uid="{00000000-0005-0000-0000-0000CC190000}"/>
    <cellStyle name="出力 2 6 2 3 2 3" xfId="1685" xr:uid="{00000000-0005-0000-0000-0000CD190000}"/>
    <cellStyle name="出力 2 6 2 3 2 3 2" xfId="4649" xr:uid="{00000000-0005-0000-0000-0000CE190000}"/>
    <cellStyle name="出力 2 6 2 3 2 3 2 2" xfId="10152" xr:uid="{00000000-0005-0000-0000-0000CF190000}"/>
    <cellStyle name="出力 2 6 2 3 2 3 3" xfId="3722" xr:uid="{00000000-0005-0000-0000-0000D0190000}"/>
    <cellStyle name="出力 2 6 2 3 2 3 3 2" xfId="9270" xr:uid="{00000000-0005-0000-0000-0000D1190000}"/>
    <cellStyle name="出力 2 6 2 3 2 3 4" xfId="7372" xr:uid="{00000000-0005-0000-0000-0000D2190000}"/>
    <cellStyle name="出力 2 6 2 3 2 4" xfId="6361" xr:uid="{00000000-0005-0000-0000-0000D3190000}"/>
    <cellStyle name="出力 2 6 2 3 3" xfId="864" xr:uid="{00000000-0005-0000-0000-0000D4190000}"/>
    <cellStyle name="出力 2 6 2 3 3 2" xfId="1970" xr:uid="{00000000-0005-0000-0000-0000D5190000}"/>
    <cellStyle name="出力 2 6 2 3 3 2 2" xfId="4879" xr:uid="{00000000-0005-0000-0000-0000D6190000}"/>
    <cellStyle name="出力 2 6 2 3 3 2 2 2" xfId="10360" xr:uid="{00000000-0005-0000-0000-0000D7190000}"/>
    <cellStyle name="出力 2 6 2 3 3 2 3" xfId="3723" xr:uid="{00000000-0005-0000-0000-0000D8190000}"/>
    <cellStyle name="出力 2 6 2 3 3 2 3 2" xfId="9271" xr:uid="{00000000-0005-0000-0000-0000D9190000}"/>
    <cellStyle name="出力 2 6 2 3 3 2 4" xfId="7635" xr:uid="{00000000-0005-0000-0000-0000DA190000}"/>
    <cellStyle name="出力 2 6 2 3 3 3" xfId="6626" xr:uid="{00000000-0005-0000-0000-0000DB190000}"/>
    <cellStyle name="出力 2 6 2 3 4" xfId="1463" xr:uid="{00000000-0005-0000-0000-0000DC190000}"/>
    <cellStyle name="出力 2 6 2 3 4 2" xfId="4427" xr:uid="{00000000-0005-0000-0000-0000DD190000}"/>
    <cellStyle name="出力 2 6 2 3 4 2 2" xfId="9952" xr:uid="{00000000-0005-0000-0000-0000DE190000}"/>
    <cellStyle name="出力 2 6 2 3 4 3" xfId="3724" xr:uid="{00000000-0005-0000-0000-0000DF190000}"/>
    <cellStyle name="出力 2 6 2 3 4 3 2" xfId="9272" xr:uid="{00000000-0005-0000-0000-0000E0190000}"/>
    <cellStyle name="出力 2 6 2 3 4 4" xfId="7172" xr:uid="{00000000-0005-0000-0000-0000E1190000}"/>
    <cellStyle name="出力 2 6 2 3 5" xfId="6161" xr:uid="{00000000-0005-0000-0000-0000E2190000}"/>
    <cellStyle name="出力 2 6 2 4" xfId="441" xr:uid="{00000000-0005-0000-0000-0000E3190000}"/>
    <cellStyle name="出力 2 6 2 4 2" xfId="950" xr:uid="{00000000-0005-0000-0000-0000E4190000}"/>
    <cellStyle name="出力 2 6 2 4 2 2" xfId="2056" xr:uid="{00000000-0005-0000-0000-0000E5190000}"/>
    <cellStyle name="出力 2 6 2 4 2 2 2" xfId="4965" xr:uid="{00000000-0005-0000-0000-0000E6190000}"/>
    <cellStyle name="出力 2 6 2 4 2 2 2 2" xfId="10435" xr:uid="{00000000-0005-0000-0000-0000E7190000}"/>
    <cellStyle name="出力 2 6 2 4 2 2 3" xfId="3725" xr:uid="{00000000-0005-0000-0000-0000E8190000}"/>
    <cellStyle name="出力 2 6 2 4 2 2 3 2" xfId="9273" xr:uid="{00000000-0005-0000-0000-0000E9190000}"/>
    <cellStyle name="出力 2 6 2 4 2 2 4" xfId="7710" xr:uid="{00000000-0005-0000-0000-0000EA190000}"/>
    <cellStyle name="出力 2 6 2 4 2 3" xfId="6701" xr:uid="{00000000-0005-0000-0000-0000EB190000}"/>
    <cellStyle name="出力 2 6 2 4 3" xfId="1549" xr:uid="{00000000-0005-0000-0000-0000EC190000}"/>
    <cellStyle name="出力 2 6 2 4 3 2" xfId="4513" xr:uid="{00000000-0005-0000-0000-0000ED190000}"/>
    <cellStyle name="出力 2 6 2 4 3 2 2" xfId="10027" xr:uid="{00000000-0005-0000-0000-0000EE190000}"/>
    <cellStyle name="出力 2 6 2 4 3 3" xfId="3726" xr:uid="{00000000-0005-0000-0000-0000EF190000}"/>
    <cellStyle name="出力 2 6 2 4 3 3 2" xfId="9274" xr:uid="{00000000-0005-0000-0000-0000F0190000}"/>
    <cellStyle name="出力 2 6 2 4 3 4" xfId="7247" xr:uid="{00000000-0005-0000-0000-0000F1190000}"/>
    <cellStyle name="出力 2 6 2 4 4" xfId="6236" xr:uid="{00000000-0005-0000-0000-0000F2190000}"/>
    <cellStyle name="出力 2 6 2 5" xfId="728" xr:uid="{00000000-0005-0000-0000-0000F3190000}"/>
    <cellStyle name="出力 2 6 2 5 2" xfId="1834" xr:uid="{00000000-0005-0000-0000-0000F4190000}"/>
    <cellStyle name="出力 2 6 2 5 2 2" xfId="4743" xr:uid="{00000000-0005-0000-0000-0000F5190000}"/>
    <cellStyle name="出力 2 6 2 5 2 2 2" xfId="10235" xr:uid="{00000000-0005-0000-0000-0000F6190000}"/>
    <cellStyle name="出力 2 6 2 5 2 3" xfId="3727" xr:uid="{00000000-0005-0000-0000-0000F7190000}"/>
    <cellStyle name="出力 2 6 2 5 2 3 2" xfId="9275" xr:uid="{00000000-0005-0000-0000-0000F8190000}"/>
    <cellStyle name="出力 2 6 2 5 2 4" xfId="7510" xr:uid="{00000000-0005-0000-0000-0000F9190000}"/>
    <cellStyle name="出力 2 6 2 5 3" xfId="6501" xr:uid="{00000000-0005-0000-0000-0000FA190000}"/>
    <cellStyle name="出力 2 6 2 6" xfId="1327" xr:uid="{00000000-0005-0000-0000-0000FB190000}"/>
    <cellStyle name="出力 2 6 2 6 2" xfId="4291" xr:uid="{00000000-0005-0000-0000-0000FC190000}"/>
    <cellStyle name="出力 2 6 2 6 2 2" xfId="9827" xr:uid="{00000000-0005-0000-0000-0000FD190000}"/>
    <cellStyle name="出力 2 6 2 6 3" xfId="3728" xr:uid="{00000000-0005-0000-0000-0000FE190000}"/>
    <cellStyle name="出力 2 6 2 6 3 2" xfId="9276" xr:uid="{00000000-0005-0000-0000-0000FF190000}"/>
    <cellStyle name="出力 2 6 2 6 4" xfId="7047" xr:uid="{00000000-0005-0000-0000-0000001A0000}"/>
    <cellStyle name="出力 2 6 2 7" xfId="6036" xr:uid="{00000000-0005-0000-0000-0000011A0000}"/>
    <cellStyle name="出力 2 6 3" xfId="244" xr:uid="{00000000-0005-0000-0000-0000021A0000}"/>
    <cellStyle name="出力 2 6 3 2" xfId="466" xr:uid="{00000000-0005-0000-0000-0000031A0000}"/>
    <cellStyle name="出力 2 6 3 2 2" xfId="975" xr:uid="{00000000-0005-0000-0000-0000041A0000}"/>
    <cellStyle name="出力 2 6 3 2 2 2" xfId="2081" xr:uid="{00000000-0005-0000-0000-0000051A0000}"/>
    <cellStyle name="出力 2 6 3 2 2 2 2" xfId="4990" xr:uid="{00000000-0005-0000-0000-0000061A0000}"/>
    <cellStyle name="出力 2 6 3 2 2 2 2 2" xfId="10460" xr:uid="{00000000-0005-0000-0000-0000071A0000}"/>
    <cellStyle name="出力 2 6 3 2 2 2 3" xfId="3729" xr:uid="{00000000-0005-0000-0000-0000081A0000}"/>
    <cellStyle name="出力 2 6 3 2 2 2 3 2" xfId="9277" xr:uid="{00000000-0005-0000-0000-0000091A0000}"/>
    <cellStyle name="出力 2 6 3 2 2 2 4" xfId="7735" xr:uid="{00000000-0005-0000-0000-00000A1A0000}"/>
    <cellStyle name="出力 2 6 3 2 2 3" xfId="6726" xr:uid="{00000000-0005-0000-0000-00000B1A0000}"/>
    <cellStyle name="出力 2 6 3 2 3" xfId="1574" xr:uid="{00000000-0005-0000-0000-00000C1A0000}"/>
    <cellStyle name="出力 2 6 3 2 3 2" xfId="4538" xr:uid="{00000000-0005-0000-0000-00000D1A0000}"/>
    <cellStyle name="出力 2 6 3 2 3 2 2" xfId="10052" xr:uid="{00000000-0005-0000-0000-00000E1A0000}"/>
    <cellStyle name="出力 2 6 3 2 3 3" xfId="3730" xr:uid="{00000000-0005-0000-0000-00000F1A0000}"/>
    <cellStyle name="出力 2 6 3 2 3 3 2" xfId="9278" xr:uid="{00000000-0005-0000-0000-0000101A0000}"/>
    <cellStyle name="出力 2 6 3 2 3 4" xfId="7272" xr:uid="{00000000-0005-0000-0000-0000111A0000}"/>
    <cellStyle name="出力 2 6 3 2 4" xfId="6261" xr:uid="{00000000-0005-0000-0000-0000121A0000}"/>
    <cellStyle name="出力 2 6 3 3" xfId="753" xr:uid="{00000000-0005-0000-0000-0000131A0000}"/>
    <cellStyle name="出力 2 6 3 3 2" xfId="1859" xr:uid="{00000000-0005-0000-0000-0000141A0000}"/>
    <cellStyle name="出力 2 6 3 3 2 2" xfId="4768" xr:uid="{00000000-0005-0000-0000-0000151A0000}"/>
    <cellStyle name="出力 2 6 3 3 2 2 2" xfId="10260" xr:uid="{00000000-0005-0000-0000-0000161A0000}"/>
    <cellStyle name="出力 2 6 3 3 2 3" xfId="3731" xr:uid="{00000000-0005-0000-0000-0000171A0000}"/>
    <cellStyle name="出力 2 6 3 3 2 3 2" xfId="9279" xr:uid="{00000000-0005-0000-0000-0000181A0000}"/>
    <cellStyle name="出力 2 6 3 3 2 4" xfId="7535" xr:uid="{00000000-0005-0000-0000-0000191A0000}"/>
    <cellStyle name="出力 2 6 3 3 3" xfId="6526" xr:uid="{00000000-0005-0000-0000-00001A1A0000}"/>
    <cellStyle name="出力 2 6 3 4" xfId="1352" xr:uid="{00000000-0005-0000-0000-00001B1A0000}"/>
    <cellStyle name="出力 2 6 3 4 2" xfId="4316" xr:uid="{00000000-0005-0000-0000-00001C1A0000}"/>
    <cellStyle name="出力 2 6 3 4 2 2" xfId="9852" xr:uid="{00000000-0005-0000-0000-00001D1A0000}"/>
    <cellStyle name="出力 2 6 3 4 3" xfId="3732" xr:uid="{00000000-0005-0000-0000-00001E1A0000}"/>
    <cellStyle name="出力 2 6 3 4 3 2" xfId="9280" xr:uid="{00000000-0005-0000-0000-00001F1A0000}"/>
    <cellStyle name="出力 2 6 3 4 4" xfId="7072" xr:uid="{00000000-0005-0000-0000-0000201A0000}"/>
    <cellStyle name="出力 2 6 3 5" xfId="6061" xr:uid="{00000000-0005-0000-0000-0000211A0000}"/>
    <cellStyle name="出力 2 6 4" xfId="308" xr:uid="{00000000-0005-0000-0000-0000221A0000}"/>
    <cellStyle name="出力 2 6 4 2" xfId="530" xr:uid="{00000000-0005-0000-0000-0000231A0000}"/>
    <cellStyle name="出力 2 6 4 2 2" xfId="1039" xr:uid="{00000000-0005-0000-0000-0000241A0000}"/>
    <cellStyle name="出力 2 6 4 2 2 2" xfId="2145" xr:uid="{00000000-0005-0000-0000-0000251A0000}"/>
    <cellStyle name="出力 2 6 4 2 2 2 2" xfId="5054" xr:uid="{00000000-0005-0000-0000-0000261A0000}"/>
    <cellStyle name="出力 2 6 4 2 2 2 2 2" xfId="10519" xr:uid="{00000000-0005-0000-0000-0000271A0000}"/>
    <cellStyle name="出力 2 6 4 2 2 2 3" xfId="3733" xr:uid="{00000000-0005-0000-0000-0000281A0000}"/>
    <cellStyle name="出力 2 6 4 2 2 2 3 2" xfId="9281" xr:uid="{00000000-0005-0000-0000-0000291A0000}"/>
    <cellStyle name="出力 2 6 4 2 2 2 4" xfId="7794" xr:uid="{00000000-0005-0000-0000-00002A1A0000}"/>
    <cellStyle name="出力 2 6 4 2 2 3" xfId="6785" xr:uid="{00000000-0005-0000-0000-00002B1A0000}"/>
    <cellStyle name="出力 2 6 4 2 3" xfId="1638" xr:uid="{00000000-0005-0000-0000-00002C1A0000}"/>
    <cellStyle name="出力 2 6 4 2 3 2" xfId="4602" xr:uid="{00000000-0005-0000-0000-00002D1A0000}"/>
    <cellStyle name="出力 2 6 4 2 3 2 2" xfId="10111" xr:uid="{00000000-0005-0000-0000-00002E1A0000}"/>
    <cellStyle name="出力 2 6 4 2 3 3" xfId="3734" xr:uid="{00000000-0005-0000-0000-00002F1A0000}"/>
    <cellStyle name="出力 2 6 4 2 3 3 2" xfId="9282" xr:uid="{00000000-0005-0000-0000-0000301A0000}"/>
    <cellStyle name="出力 2 6 4 2 3 4" xfId="7331" xr:uid="{00000000-0005-0000-0000-0000311A0000}"/>
    <cellStyle name="出力 2 6 4 2 4" xfId="6320" xr:uid="{00000000-0005-0000-0000-0000321A0000}"/>
    <cellStyle name="出力 2 6 4 3" xfId="817" xr:uid="{00000000-0005-0000-0000-0000331A0000}"/>
    <cellStyle name="出力 2 6 4 3 2" xfId="1923" xr:uid="{00000000-0005-0000-0000-0000341A0000}"/>
    <cellStyle name="出力 2 6 4 3 2 2" xfId="4832" xr:uid="{00000000-0005-0000-0000-0000351A0000}"/>
    <cellStyle name="出力 2 6 4 3 2 2 2" xfId="10319" xr:uid="{00000000-0005-0000-0000-0000361A0000}"/>
    <cellStyle name="出力 2 6 4 3 2 3" xfId="3735" xr:uid="{00000000-0005-0000-0000-0000371A0000}"/>
    <cellStyle name="出力 2 6 4 3 2 3 2" xfId="9283" xr:uid="{00000000-0005-0000-0000-0000381A0000}"/>
    <cellStyle name="出力 2 6 4 3 2 4" xfId="7594" xr:uid="{00000000-0005-0000-0000-0000391A0000}"/>
    <cellStyle name="出力 2 6 4 3 3" xfId="6585" xr:uid="{00000000-0005-0000-0000-00003A1A0000}"/>
    <cellStyle name="出力 2 6 4 4" xfId="1416" xr:uid="{00000000-0005-0000-0000-00003B1A0000}"/>
    <cellStyle name="出力 2 6 4 4 2" xfId="4380" xr:uid="{00000000-0005-0000-0000-00003C1A0000}"/>
    <cellStyle name="出力 2 6 4 4 2 2" xfId="9911" xr:uid="{00000000-0005-0000-0000-00003D1A0000}"/>
    <cellStyle name="出力 2 6 4 4 3" xfId="3736" xr:uid="{00000000-0005-0000-0000-00003E1A0000}"/>
    <cellStyle name="出力 2 6 4 4 3 2" xfId="9284" xr:uid="{00000000-0005-0000-0000-00003F1A0000}"/>
    <cellStyle name="出力 2 6 4 4 4" xfId="7131" xr:uid="{00000000-0005-0000-0000-0000401A0000}"/>
    <cellStyle name="出力 2 6 4 5" xfId="6120" xr:uid="{00000000-0005-0000-0000-0000411A0000}"/>
    <cellStyle name="出力 2 6 5" xfId="391" xr:uid="{00000000-0005-0000-0000-0000421A0000}"/>
    <cellStyle name="出力 2 6 5 2" xfId="900" xr:uid="{00000000-0005-0000-0000-0000431A0000}"/>
    <cellStyle name="出力 2 6 5 2 2" xfId="2006" xr:uid="{00000000-0005-0000-0000-0000441A0000}"/>
    <cellStyle name="出力 2 6 5 2 2 2" xfId="4915" xr:uid="{00000000-0005-0000-0000-0000451A0000}"/>
    <cellStyle name="出力 2 6 5 2 2 2 2" xfId="10391" xr:uid="{00000000-0005-0000-0000-0000461A0000}"/>
    <cellStyle name="出力 2 6 5 2 2 3" xfId="3737" xr:uid="{00000000-0005-0000-0000-0000471A0000}"/>
    <cellStyle name="出力 2 6 5 2 2 3 2" xfId="9285" xr:uid="{00000000-0005-0000-0000-0000481A0000}"/>
    <cellStyle name="出力 2 6 5 2 2 4" xfId="7666" xr:uid="{00000000-0005-0000-0000-0000491A0000}"/>
    <cellStyle name="出力 2 6 5 2 3" xfId="6657" xr:uid="{00000000-0005-0000-0000-00004A1A0000}"/>
    <cellStyle name="出力 2 6 5 3" xfId="1499" xr:uid="{00000000-0005-0000-0000-00004B1A0000}"/>
    <cellStyle name="出力 2 6 5 3 2" xfId="4463" xr:uid="{00000000-0005-0000-0000-00004C1A0000}"/>
    <cellStyle name="出力 2 6 5 3 2 2" xfId="9983" xr:uid="{00000000-0005-0000-0000-00004D1A0000}"/>
    <cellStyle name="出力 2 6 5 3 3" xfId="3738" xr:uid="{00000000-0005-0000-0000-00004E1A0000}"/>
    <cellStyle name="出力 2 6 5 3 3 2" xfId="9286" xr:uid="{00000000-0005-0000-0000-00004F1A0000}"/>
    <cellStyle name="出力 2 6 5 3 4" xfId="7203" xr:uid="{00000000-0005-0000-0000-0000501A0000}"/>
    <cellStyle name="出力 2 6 5 4" xfId="6192" xr:uid="{00000000-0005-0000-0000-0000511A0000}"/>
    <cellStyle name="出力 2 6 6" xfId="676" xr:uid="{00000000-0005-0000-0000-0000521A0000}"/>
    <cellStyle name="出力 2 6 6 2" xfId="1782" xr:uid="{00000000-0005-0000-0000-0000531A0000}"/>
    <cellStyle name="出力 2 6 6 2 2" xfId="4691" xr:uid="{00000000-0005-0000-0000-0000541A0000}"/>
    <cellStyle name="出力 2 6 6 2 2 2" xfId="10189" xr:uid="{00000000-0005-0000-0000-0000551A0000}"/>
    <cellStyle name="出力 2 6 6 2 3" xfId="3739" xr:uid="{00000000-0005-0000-0000-0000561A0000}"/>
    <cellStyle name="出力 2 6 6 2 3 2" xfId="9287" xr:uid="{00000000-0005-0000-0000-0000571A0000}"/>
    <cellStyle name="出力 2 6 6 2 4" xfId="7464" xr:uid="{00000000-0005-0000-0000-0000581A0000}"/>
    <cellStyle name="出力 2 6 6 3" xfId="6455" xr:uid="{00000000-0005-0000-0000-0000591A0000}"/>
    <cellStyle name="出力 2 6 7" xfId="1275" xr:uid="{00000000-0005-0000-0000-00005A1A0000}"/>
    <cellStyle name="出力 2 6 7 2" xfId="4239" xr:uid="{00000000-0005-0000-0000-00005B1A0000}"/>
    <cellStyle name="出力 2 6 7 2 2" xfId="9781" xr:uid="{00000000-0005-0000-0000-00005C1A0000}"/>
    <cellStyle name="出力 2 6 7 3" xfId="3740" xr:uid="{00000000-0005-0000-0000-00005D1A0000}"/>
    <cellStyle name="出力 2 6 7 3 2" xfId="9288" xr:uid="{00000000-0005-0000-0000-00005E1A0000}"/>
    <cellStyle name="出力 2 6 7 4" xfId="7001" xr:uid="{00000000-0005-0000-0000-00005F1A0000}"/>
    <cellStyle name="出力 2 6 8" xfId="5990" xr:uid="{00000000-0005-0000-0000-0000601A0000}"/>
    <cellStyle name="出力 2 7" xfId="113" xr:uid="{00000000-0005-0000-0000-0000611A0000}"/>
    <cellStyle name="出力 2 7 2" xfId="170" xr:uid="{00000000-0005-0000-0000-0000621A0000}"/>
    <cellStyle name="出力 2 7 2 2" xfId="245" xr:uid="{00000000-0005-0000-0000-0000631A0000}"/>
    <cellStyle name="出力 2 7 2 2 2" xfId="467" xr:uid="{00000000-0005-0000-0000-0000641A0000}"/>
    <cellStyle name="出力 2 7 2 2 2 2" xfId="976" xr:uid="{00000000-0005-0000-0000-0000651A0000}"/>
    <cellStyle name="出力 2 7 2 2 2 2 2" xfId="2082" xr:uid="{00000000-0005-0000-0000-0000661A0000}"/>
    <cellStyle name="出力 2 7 2 2 2 2 2 2" xfId="4991" xr:uid="{00000000-0005-0000-0000-0000671A0000}"/>
    <cellStyle name="出力 2 7 2 2 2 2 2 2 2" xfId="10461" xr:uid="{00000000-0005-0000-0000-0000681A0000}"/>
    <cellStyle name="出力 2 7 2 2 2 2 2 3" xfId="3741" xr:uid="{00000000-0005-0000-0000-0000691A0000}"/>
    <cellStyle name="出力 2 7 2 2 2 2 2 3 2" xfId="9289" xr:uid="{00000000-0005-0000-0000-00006A1A0000}"/>
    <cellStyle name="出力 2 7 2 2 2 2 2 4" xfId="7736" xr:uid="{00000000-0005-0000-0000-00006B1A0000}"/>
    <cellStyle name="出力 2 7 2 2 2 2 3" xfId="6727" xr:uid="{00000000-0005-0000-0000-00006C1A0000}"/>
    <cellStyle name="出力 2 7 2 2 2 3" xfId="1575" xr:uid="{00000000-0005-0000-0000-00006D1A0000}"/>
    <cellStyle name="出力 2 7 2 2 2 3 2" xfId="4539" xr:uid="{00000000-0005-0000-0000-00006E1A0000}"/>
    <cellStyle name="出力 2 7 2 2 2 3 2 2" xfId="10053" xr:uid="{00000000-0005-0000-0000-00006F1A0000}"/>
    <cellStyle name="出力 2 7 2 2 2 3 3" xfId="3742" xr:uid="{00000000-0005-0000-0000-0000701A0000}"/>
    <cellStyle name="出力 2 7 2 2 2 3 3 2" xfId="9290" xr:uid="{00000000-0005-0000-0000-0000711A0000}"/>
    <cellStyle name="出力 2 7 2 2 2 3 4" xfId="7273" xr:uid="{00000000-0005-0000-0000-0000721A0000}"/>
    <cellStyle name="出力 2 7 2 2 2 4" xfId="6262" xr:uid="{00000000-0005-0000-0000-0000731A0000}"/>
    <cellStyle name="出力 2 7 2 2 3" xfId="754" xr:uid="{00000000-0005-0000-0000-0000741A0000}"/>
    <cellStyle name="出力 2 7 2 2 3 2" xfId="1860" xr:uid="{00000000-0005-0000-0000-0000751A0000}"/>
    <cellStyle name="出力 2 7 2 2 3 2 2" xfId="4769" xr:uid="{00000000-0005-0000-0000-0000761A0000}"/>
    <cellStyle name="出力 2 7 2 2 3 2 2 2" xfId="10261" xr:uid="{00000000-0005-0000-0000-0000771A0000}"/>
    <cellStyle name="出力 2 7 2 2 3 2 3" xfId="3743" xr:uid="{00000000-0005-0000-0000-0000781A0000}"/>
    <cellStyle name="出力 2 7 2 2 3 2 3 2" xfId="9291" xr:uid="{00000000-0005-0000-0000-0000791A0000}"/>
    <cellStyle name="出力 2 7 2 2 3 2 4" xfId="7536" xr:uid="{00000000-0005-0000-0000-00007A1A0000}"/>
    <cellStyle name="出力 2 7 2 2 3 3" xfId="6527" xr:uid="{00000000-0005-0000-0000-00007B1A0000}"/>
    <cellStyle name="出力 2 7 2 2 4" xfId="1353" xr:uid="{00000000-0005-0000-0000-00007C1A0000}"/>
    <cellStyle name="出力 2 7 2 2 4 2" xfId="4317" xr:uid="{00000000-0005-0000-0000-00007D1A0000}"/>
    <cellStyle name="出力 2 7 2 2 4 2 2" xfId="9853" xr:uid="{00000000-0005-0000-0000-00007E1A0000}"/>
    <cellStyle name="出力 2 7 2 2 4 3" xfId="3744" xr:uid="{00000000-0005-0000-0000-00007F1A0000}"/>
    <cellStyle name="出力 2 7 2 2 4 3 2" xfId="9292" xr:uid="{00000000-0005-0000-0000-0000801A0000}"/>
    <cellStyle name="出力 2 7 2 2 4 4" xfId="7073" xr:uid="{00000000-0005-0000-0000-0000811A0000}"/>
    <cellStyle name="出力 2 7 2 2 5" xfId="6062" xr:uid="{00000000-0005-0000-0000-0000821A0000}"/>
    <cellStyle name="出力 2 7 2 3" xfId="309" xr:uid="{00000000-0005-0000-0000-0000831A0000}"/>
    <cellStyle name="出力 2 7 2 3 2" xfId="531" xr:uid="{00000000-0005-0000-0000-0000841A0000}"/>
    <cellStyle name="出力 2 7 2 3 2 2" xfId="1040" xr:uid="{00000000-0005-0000-0000-0000851A0000}"/>
    <cellStyle name="出力 2 7 2 3 2 2 2" xfId="2146" xr:uid="{00000000-0005-0000-0000-0000861A0000}"/>
    <cellStyle name="出力 2 7 2 3 2 2 2 2" xfId="5055" xr:uid="{00000000-0005-0000-0000-0000871A0000}"/>
    <cellStyle name="出力 2 7 2 3 2 2 2 2 2" xfId="10520" xr:uid="{00000000-0005-0000-0000-0000881A0000}"/>
    <cellStyle name="出力 2 7 2 3 2 2 2 3" xfId="3745" xr:uid="{00000000-0005-0000-0000-0000891A0000}"/>
    <cellStyle name="出力 2 7 2 3 2 2 2 3 2" xfId="9293" xr:uid="{00000000-0005-0000-0000-00008A1A0000}"/>
    <cellStyle name="出力 2 7 2 3 2 2 2 4" xfId="7795" xr:uid="{00000000-0005-0000-0000-00008B1A0000}"/>
    <cellStyle name="出力 2 7 2 3 2 2 3" xfId="6786" xr:uid="{00000000-0005-0000-0000-00008C1A0000}"/>
    <cellStyle name="出力 2 7 2 3 2 3" xfId="1639" xr:uid="{00000000-0005-0000-0000-00008D1A0000}"/>
    <cellStyle name="出力 2 7 2 3 2 3 2" xfId="4603" xr:uid="{00000000-0005-0000-0000-00008E1A0000}"/>
    <cellStyle name="出力 2 7 2 3 2 3 2 2" xfId="10112" xr:uid="{00000000-0005-0000-0000-00008F1A0000}"/>
    <cellStyle name="出力 2 7 2 3 2 3 3" xfId="3746" xr:uid="{00000000-0005-0000-0000-0000901A0000}"/>
    <cellStyle name="出力 2 7 2 3 2 3 3 2" xfId="9294" xr:uid="{00000000-0005-0000-0000-0000911A0000}"/>
    <cellStyle name="出力 2 7 2 3 2 3 4" xfId="7332" xr:uid="{00000000-0005-0000-0000-0000921A0000}"/>
    <cellStyle name="出力 2 7 2 3 2 4" xfId="6321" xr:uid="{00000000-0005-0000-0000-0000931A0000}"/>
    <cellStyle name="出力 2 7 2 3 3" xfId="818" xr:uid="{00000000-0005-0000-0000-0000941A0000}"/>
    <cellStyle name="出力 2 7 2 3 3 2" xfId="1924" xr:uid="{00000000-0005-0000-0000-0000951A0000}"/>
    <cellStyle name="出力 2 7 2 3 3 2 2" xfId="4833" xr:uid="{00000000-0005-0000-0000-0000961A0000}"/>
    <cellStyle name="出力 2 7 2 3 3 2 2 2" xfId="10320" xr:uid="{00000000-0005-0000-0000-0000971A0000}"/>
    <cellStyle name="出力 2 7 2 3 3 2 3" xfId="3747" xr:uid="{00000000-0005-0000-0000-0000981A0000}"/>
    <cellStyle name="出力 2 7 2 3 3 2 3 2" xfId="9295" xr:uid="{00000000-0005-0000-0000-0000991A0000}"/>
    <cellStyle name="出力 2 7 2 3 3 2 4" xfId="7595" xr:uid="{00000000-0005-0000-0000-00009A1A0000}"/>
    <cellStyle name="出力 2 7 2 3 3 3" xfId="6586" xr:uid="{00000000-0005-0000-0000-00009B1A0000}"/>
    <cellStyle name="出力 2 7 2 3 4" xfId="1417" xr:uid="{00000000-0005-0000-0000-00009C1A0000}"/>
    <cellStyle name="出力 2 7 2 3 4 2" xfId="4381" xr:uid="{00000000-0005-0000-0000-00009D1A0000}"/>
    <cellStyle name="出力 2 7 2 3 4 2 2" xfId="9912" xr:uid="{00000000-0005-0000-0000-00009E1A0000}"/>
    <cellStyle name="出力 2 7 2 3 4 3" xfId="3748" xr:uid="{00000000-0005-0000-0000-00009F1A0000}"/>
    <cellStyle name="出力 2 7 2 3 4 3 2" xfId="9296" xr:uid="{00000000-0005-0000-0000-0000A01A0000}"/>
    <cellStyle name="出力 2 7 2 3 4 4" xfId="7132" xr:uid="{00000000-0005-0000-0000-0000A11A0000}"/>
    <cellStyle name="出力 2 7 2 3 5" xfId="6121" xr:uid="{00000000-0005-0000-0000-0000A21A0000}"/>
    <cellStyle name="出力 2 7 2 4" xfId="393" xr:uid="{00000000-0005-0000-0000-0000A31A0000}"/>
    <cellStyle name="出力 2 7 2 4 2" xfId="902" xr:uid="{00000000-0005-0000-0000-0000A41A0000}"/>
    <cellStyle name="出力 2 7 2 4 2 2" xfId="2008" xr:uid="{00000000-0005-0000-0000-0000A51A0000}"/>
    <cellStyle name="出力 2 7 2 4 2 2 2" xfId="4917" xr:uid="{00000000-0005-0000-0000-0000A61A0000}"/>
    <cellStyle name="出力 2 7 2 4 2 2 2 2" xfId="10393" xr:uid="{00000000-0005-0000-0000-0000A71A0000}"/>
    <cellStyle name="出力 2 7 2 4 2 2 3" xfId="3749" xr:uid="{00000000-0005-0000-0000-0000A81A0000}"/>
    <cellStyle name="出力 2 7 2 4 2 2 3 2" xfId="9297" xr:uid="{00000000-0005-0000-0000-0000A91A0000}"/>
    <cellStyle name="出力 2 7 2 4 2 2 4" xfId="7668" xr:uid="{00000000-0005-0000-0000-0000AA1A0000}"/>
    <cellStyle name="出力 2 7 2 4 2 3" xfId="6659" xr:uid="{00000000-0005-0000-0000-0000AB1A0000}"/>
    <cellStyle name="出力 2 7 2 4 3" xfId="1501" xr:uid="{00000000-0005-0000-0000-0000AC1A0000}"/>
    <cellStyle name="出力 2 7 2 4 3 2" xfId="4465" xr:uid="{00000000-0005-0000-0000-0000AD1A0000}"/>
    <cellStyle name="出力 2 7 2 4 3 2 2" xfId="9985" xr:uid="{00000000-0005-0000-0000-0000AE1A0000}"/>
    <cellStyle name="出力 2 7 2 4 3 3" xfId="3750" xr:uid="{00000000-0005-0000-0000-0000AF1A0000}"/>
    <cellStyle name="出力 2 7 2 4 3 3 2" xfId="9298" xr:uid="{00000000-0005-0000-0000-0000B01A0000}"/>
    <cellStyle name="出力 2 7 2 4 3 4" xfId="7205" xr:uid="{00000000-0005-0000-0000-0000B11A0000}"/>
    <cellStyle name="出力 2 7 2 4 4" xfId="6194" xr:uid="{00000000-0005-0000-0000-0000B21A0000}"/>
    <cellStyle name="出力 2 7 2 5" xfId="679" xr:uid="{00000000-0005-0000-0000-0000B31A0000}"/>
    <cellStyle name="出力 2 7 2 5 2" xfId="1785" xr:uid="{00000000-0005-0000-0000-0000B41A0000}"/>
    <cellStyle name="出力 2 7 2 5 2 2" xfId="4694" xr:uid="{00000000-0005-0000-0000-0000B51A0000}"/>
    <cellStyle name="出力 2 7 2 5 2 2 2" xfId="10192" xr:uid="{00000000-0005-0000-0000-0000B61A0000}"/>
    <cellStyle name="出力 2 7 2 5 2 3" xfId="3751" xr:uid="{00000000-0005-0000-0000-0000B71A0000}"/>
    <cellStyle name="出力 2 7 2 5 2 3 2" xfId="9299" xr:uid="{00000000-0005-0000-0000-0000B81A0000}"/>
    <cellStyle name="出力 2 7 2 5 2 4" xfId="7467" xr:uid="{00000000-0005-0000-0000-0000B91A0000}"/>
    <cellStyle name="出力 2 7 2 5 3" xfId="6458" xr:uid="{00000000-0005-0000-0000-0000BA1A0000}"/>
    <cellStyle name="出力 2 7 2 6" xfId="1278" xr:uid="{00000000-0005-0000-0000-0000BB1A0000}"/>
    <cellStyle name="出力 2 7 2 6 2" xfId="4242" xr:uid="{00000000-0005-0000-0000-0000BC1A0000}"/>
    <cellStyle name="出力 2 7 2 6 2 2" xfId="9784" xr:uid="{00000000-0005-0000-0000-0000BD1A0000}"/>
    <cellStyle name="出力 2 7 2 6 3" xfId="3752" xr:uid="{00000000-0005-0000-0000-0000BE1A0000}"/>
    <cellStyle name="出力 2 7 2 6 3 2" xfId="9300" xr:uid="{00000000-0005-0000-0000-0000BF1A0000}"/>
    <cellStyle name="出力 2 7 2 6 4" xfId="7004" xr:uid="{00000000-0005-0000-0000-0000C01A0000}"/>
    <cellStyle name="出力 2 7 2 7" xfId="5993" xr:uid="{00000000-0005-0000-0000-0000C11A0000}"/>
    <cellStyle name="出力 2 7 3" xfId="116" xr:uid="{00000000-0005-0000-0000-0000C21A0000}"/>
    <cellStyle name="出力 2 7 3 2" xfId="366" xr:uid="{00000000-0005-0000-0000-0000C31A0000}"/>
    <cellStyle name="出力 2 7 3 2 2" xfId="875" xr:uid="{00000000-0005-0000-0000-0000C41A0000}"/>
    <cellStyle name="出力 2 7 3 2 2 2" xfId="1981" xr:uid="{00000000-0005-0000-0000-0000C51A0000}"/>
    <cellStyle name="出力 2 7 3 2 2 2 2" xfId="4890" xr:uid="{00000000-0005-0000-0000-0000C61A0000}"/>
    <cellStyle name="出力 2 7 3 2 2 2 2 2" xfId="10370" xr:uid="{00000000-0005-0000-0000-0000C71A0000}"/>
    <cellStyle name="出力 2 7 3 2 2 2 3" xfId="3753" xr:uid="{00000000-0005-0000-0000-0000C81A0000}"/>
    <cellStyle name="出力 2 7 3 2 2 2 3 2" xfId="9301" xr:uid="{00000000-0005-0000-0000-0000C91A0000}"/>
    <cellStyle name="出力 2 7 3 2 2 2 4" xfId="7645" xr:uid="{00000000-0005-0000-0000-0000CA1A0000}"/>
    <cellStyle name="出力 2 7 3 2 2 3" xfId="6636" xr:uid="{00000000-0005-0000-0000-0000CB1A0000}"/>
    <cellStyle name="出力 2 7 3 2 3" xfId="1474" xr:uid="{00000000-0005-0000-0000-0000CC1A0000}"/>
    <cellStyle name="出力 2 7 3 2 3 2" xfId="4438" xr:uid="{00000000-0005-0000-0000-0000CD1A0000}"/>
    <cellStyle name="出力 2 7 3 2 3 2 2" xfId="9962" xr:uid="{00000000-0005-0000-0000-0000CE1A0000}"/>
    <cellStyle name="出力 2 7 3 2 3 3" xfId="3754" xr:uid="{00000000-0005-0000-0000-0000CF1A0000}"/>
    <cellStyle name="出力 2 7 3 2 3 3 2" xfId="9302" xr:uid="{00000000-0005-0000-0000-0000D01A0000}"/>
    <cellStyle name="出力 2 7 3 2 3 4" xfId="7182" xr:uid="{00000000-0005-0000-0000-0000D11A0000}"/>
    <cellStyle name="出力 2 7 3 2 4" xfId="6171" xr:uid="{00000000-0005-0000-0000-0000D21A0000}"/>
    <cellStyle name="出力 2 7 3 3" xfId="653" xr:uid="{00000000-0005-0000-0000-0000D31A0000}"/>
    <cellStyle name="出力 2 7 3 3 2" xfId="1759" xr:uid="{00000000-0005-0000-0000-0000D41A0000}"/>
    <cellStyle name="出力 2 7 3 3 2 2" xfId="4668" xr:uid="{00000000-0005-0000-0000-0000D51A0000}"/>
    <cellStyle name="出力 2 7 3 3 2 2 2" xfId="10170" xr:uid="{00000000-0005-0000-0000-0000D61A0000}"/>
    <cellStyle name="出力 2 7 3 3 2 3" xfId="3755" xr:uid="{00000000-0005-0000-0000-0000D71A0000}"/>
    <cellStyle name="出力 2 7 3 3 2 3 2" xfId="9303" xr:uid="{00000000-0005-0000-0000-0000D81A0000}"/>
    <cellStyle name="出力 2 7 3 3 2 4" xfId="7445" xr:uid="{00000000-0005-0000-0000-0000D91A0000}"/>
    <cellStyle name="出力 2 7 3 3 3" xfId="6436" xr:uid="{00000000-0005-0000-0000-0000DA1A0000}"/>
    <cellStyle name="出力 2 7 3 4" xfId="1225" xr:uid="{00000000-0005-0000-0000-0000DB1A0000}"/>
    <cellStyle name="出力 2 7 3 4 2" xfId="4216" xr:uid="{00000000-0005-0000-0000-0000DC1A0000}"/>
    <cellStyle name="出力 2 7 3 4 2 2" xfId="9762" xr:uid="{00000000-0005-0000-0000-0000DD1A0000}"/>
    <cellStyle name="出力 2 7 3 4 3" xfId="3756" xr:uid="{00000000-0005-0000-0000-0000DE1A0000}"/>
    <cellStyle name="出力 2 7 3 4 3 2" xfId="9304" xr:uid="{00000000-0005-0000-0000-0000DF1A0000}"/>
    <cellStyle name="出力 2 7 3 4 4" xfId="6956" xr:uid="{00000000-0005-0000-0000-0000E01A0000}"/>
    <cellStyle name="出力 2 7 3 5" xfId="5944" xr:uid="{00000000-0005-0000-0000-0000E11A0000}"/>
    <cellStyle name="出力 2 7 4" xfId="109" xr:uid="{00000000-0005-0000-0000-0000E21A0000}"/>
    <cellStyle name="出力 2 7 4 2" xfId="181" xr:uid="{00000000-0005-0000-0000-0000E31A0000}"/>
    <cellStyle name="出力 2 7 4 2 2" xfId="690" xr:uid="{00000000-0005-0000-0000-0000E41A0000}"/>
    <cellStyle name="出力 2 7 4 2 2 2" xfId="1796" xr:uid="{00000000-0005-0000-0000-0000E51A0000}"/>
    <cellStyle name="出力 2 7 4 2 2 2 2" xfId="4705" xr:uid="{00000000-0005-0000-0000-0000E61A0000}"/>
    <cellStyle name="出力 2 7 4 2 2 2 2 2" xfId="10202" xr:uid="{00000000-0005-0000-0000-0000E71A0000}"/>
    <cellStyle name="出力 2 7 4 2 2 2 3" xfId="3757" xr:uid="{00000000-0005-0000-0000-0000E81A0000}"/>
    <cellStyle name="出力 2 7 4 2 2 2 3 2" xfId="9305" xr:uid="{00000000-0005-0000-0000-0000E91A0000}"/>
    <cellStyle name="出力 2 7 4 2 2 2 4" xfId="7477" xr:uid="{00000000-0005-0000-0000-0000EA1A0000}"/>
    <cellStyle name="出力 2 7 4 2 2 3" xfId="6468" xr:uid="{00000000-0005-0000-0000-0000EB1A0000}"/>
    <cellStyle name="出力 2 7 4 2 3" xfId="1289" xr:uid="{00000000-0005-0000-0000-0000EC1A0000}"/>
    <cellStyle name="出力 2 7 4 2 3 2" xfId="4253" xr:uid="{00000000-0005-0000-0000-0000ED1A0000}"/>
    <cellStyle name="出力 2 7 4 2 3 2 2" xfId="9794" xr:uid="{00000000-0005-0000-0000-0000EE1A0000}"/>
    <cellStyle name="出力 2 7 4 2 3 3" xfId="3758" xr:uid="{00000000-0005-0000-0000-0000EF1A0000}"/>
    <cellStyle name="出力 2 7 4 2 3 3 2" xfId="9306" xr:uid="{00000000-0005-0000-0000-0000F01A0000}"/>
    <cellStyle name="出力 2 7 4 2 3 4" xfId="7014" xr:uid="{00000000-0005-0000-0000-0000F11A0000}"/>
    <cellStyle name="出力 2 7 4 2 4" xfId="6003" xr:uid="{00000000-0005-0000-0000-0000F21A0000}"/>
    <cellStyle name="出力 2 7 4 3" xfId="646" xr:uid="{00000000-0005-0000-0000-0000F31A0000}"/>
    <cellStyle name="出力 2 7 4 3 2" xfId="1752" xr:uid="{00000000-0005-0000-0000-0000F41A0000}"/>
    <cellStyle name="出力 2 7 4 3 2 2" xfId="4661" xr:uid="{00000000-0005-0000-0000-0000F51A0000}"/>
    <cellStyle name="出力 2 7 4 3 2 2 2" xfId="10163" xr:uid="{00000000-0005-0000-0000-0000F61A0000}"/>
    <cellStyle name="出力 2 7 4 3 2 3" xfId="3759" xr:uid="{00000000-0005-0000-0000-0000F71A0000}"/>
    <cellStyle name="出力 2 7 4 3 2 3 2" xfId="9307" xr:uid="{00000000-0005-0000-0000-0000F81A0000}"/>
    <cellStyle name="出力 2 7 4 3 2 4" xfId="7438" xr:uid="{00000000-0005-0000-0000-0000F91A0000}"/>
    <cellStyle name="出力 2 7 4 3 3" xfId="6429" xr:uid="{00000000-0005-0000-0000-0000FA1A0000}"/>
    <cellStyle name="出力 2 7 4 4" xfId="1218" xr:uid="{00000000-0005-0000-0000-0000FB1A0000}"/>
    <cellStyle name="出力 2 7 4 4 2" xfId="4209" xr:uid="{00000000-0005-0000-0000-0000FC1A0000}"/>
    <cellStyle name="出力 2 7 4 4 2 2" xfId="9755" xr:uid="{00000000-0005-0000-0000-0000FD1A0000}"/>
    <cellStyle name="出力 2 7 4 4 3" xfId="3760" xr:uid="{00000000-0005-0000-0000-0000FE1A0000}"/>
    <cellStyle name="出力 2 7 4 4 3 2" xfId="9308" xr:uid="{00000000-0005-0000-0000-0000FF1A0000}"/>
    <cellStyle name="出力 2 7 4 4 4" xfId="6949" xr:uid="{00000000-0005-0000-0000-0000001B0000}"/>
    <cellStyle name="出力 2 7 4 5" xfId="5937" xr:uid="{00000000-0005-0000-0000-0000011B0000}"/>
    <cellStyle name="出力 2 7 5" xfId="103" xr:uid="{00000000-0005-0000-0000-0000021B0000}"/>
    <cellStyle name="出力 2 7 5 2" xfId="640" xr:uid="{00000000-0005-0000-0000-0000031B0000}"/>
    <cellStyle name="出力 2 7 5 2 2" xfId="1746" xr:uid="{00000000-0005-0000-0000-0000041B0000}"/>
    <cellStyle name="出力 2 7 5 2 2 2" xfId="4655" xr:uid="{00000000-0005-0000-0000-0000051B0000}"/>
    <cellStyle name="出力 2 7 5 2 2 2 2" xfId="10157" xr:uid="{00000000-0005-0000-0000-0000061B0000}"/>
    <cellStyle name="出力 2 7 5 2 2 3" xfId="3761" xr:uid="{00000000-0005-0000-0000-0000071B0000}"/>
    <cellStyle name="出力 2 7 5 2 2 3 2" xfId="9309" xr:uid="{00000000-0005-0000-0000-0000081B0000}"/>
    <cellStyle name="出力 2 7 5 2 2 4" xfId="7432" xr:uid="{00000000-0005-0000-0000-0000091B0000}"/>
    <cellStyle name="出力 2 7 5 2 3" xfId="6423" xr:uid="{00000000-0005-0000-0000-00000A1B0000}"/>
    <cellStyle name="出力 2 7 5 3" xfId="1212" xr:uid="{00000000-0005-0000-0000-00000B1B0000}"/>
    <cellStyle name="出力 2 7 5 3 2" xfId="4203" xr:uid="{00000000-0005-0000-0000-00000C1B0000}"/>
    <cellStyle name="出力 2 7 5 3 2 2" xfId="9749" xr:uid="{00000000-0005-0000-0000-00000D1B0000}"/>
    <cellStyle name="出力 2 7 5 3 3" xfId="3762" xr:uid="{00000000-0005-0000-0000-00000E1B0000}"/>
    <cellStyle name="出力 2 7 5 3 3 2" xfId="9310" xr:uid="{00000000-0005-0000-0000-00000F1B0000}"/>
    <cellStyle name="出力 2 7 5 3 4" xfId="6943" xr:uid="{00000000-0005-0000-0000-0000101B0000}"/>
    <cellStyle name="出力 2 7 5 4" xfId="5931" xr:uid="{00000000-0005-0000-0000-0000111B0000}"/>
    <cellStyle name="出力 2 7 6" xfId="650" xr:uid="{00000000-0005-0000-0000-0000121B0000}"/>
    <cellStyle name="出力 2 7 6 2" xfId="1756" xr:uid="{00000000-0005-0000-0000-0000131B0000}"/>
    <cellStyle name="出力 2 7 6 2 2" xfId="4665" xr:uid="{00000000-0005-0000-0000-0000141B0000}"/>
    <cellStyle name="出力 2 7 6 2 2 2" xfId="10167" xr:uid="{00000000-0005-0000-0000-0000151B0000}"/>
    <cellStyle name="出力 2 7 6 2 3" xfId="3763" xr:uid="{00000000-0005-0000-0000-0000161B0000}"/>
    <cellStyle name="出力 2 7 6 2 3 2" xfId="9311" xr:uid="{00000000-0005-0000-0000-0000171B0000}"/>
    <cellStyle name="出力 2 7 6 2 4" xfId="7442" xr:uid="{00000000-0005-0000-0000-0000181B0000}"/>
    <cellStyle name="出力 2 7 6 3" xfId="6433" xr:uid="{00000000-0005-0000-0000-0000191B0000}"/>
    <cellStyle name="出力 2 7 7" xfId="1222" xr:uid="{00000000-0005-0000-0000-00001A1B0000}"/>
    <cellStyle name="出力 2 7 7 2" xfId="4213" xr:uid="{00000000-0005-0000-0000-00001B1B0000}"/>
    <cellStyle name="出力 2 7 7 2 2" xfId="9759" xr:uid="{00000000-0005-0000-0000-00001C1B0000}"/>
    <cellStyle name="出力 2 7 7 3" xfId="3764" xr:uid="{00000000-0005-0000-0000-00001D1B0000}"/>
    <cellStyle name="出力 2 7 7 3 2" xfId="9312" xr:uid="{00000000-0005-0000-0000-00001E1B0000}"/>
    <cellStyle name="出力 2 7 7 4" xfId="6953" xr:uid="{00000000-0005-0000-0000-00001F1B0000}"/>
    <cellStyle name="出力 2 7 8" xfId="5941" xr:uid="{00000000-0005-0000-0000-0000201B0000}"/>
    <cellStyle name="出力 2 8" xfId="178" xr:uid="{00000000-0005-0000-0000-0000211B0000}"/>
    <cellStyle name="出力 2 8 2" xfId="252" xr:uid="{00000000-0005-0000-0000-0000221B0000}"/>
    <cellStyle name="出力 2 8 2 2" xfId="474" xr:uid="{00000000-0005-0000-0000-0000231B0000}"/>
    <cellStyle name="出力 2 8 2 2 2" xfId="983" xr:uid="{00000000-0005-0000-0000-0000241B0000}"/>
    <cellStyle name="出力 2 8 2 2 2 2" xfId="2089" xr:uid="{00000000-0005-0000-0000-0000251B0000}"/>
    <cellStyle name="出力 2 8 2 2 2 2 2" xfId="4998" xr:uid="{00000000-0005-0000-0000-0000261B0000}"/>
    <cellStyle name="出力 2 8 2 2 2 2 2 2" xfId="10468" xr:uid="{00000000-0005-0000-0000-0000271B0000}"/>
    <cellStyle name="出力 2 8 2 2 2 2 3" xfId="3765" xr:uid="{00000000-0005-0000-0000-0000281B0000}"/>
    <cellStyle name="出力 2 8 2 2 2 2 3 2" xfId="9313" xr:uid="{00000000-0005-0000-0000-0000291B0000}"/>
    <cellStyle name="出力 2 8 2 2 2 2 4" xfId="7743" xr:uid="{00000000-0005-0000-0000-00002A1B0000}"/>
    <cellStyle name="出力 2 8 2 2 2 3" xfId="6734" xr:uid="{00000000-0005-0000-0000-00002B1B0000}"/>
    <cellStyle name="出力 2 8 2 2 3" xfId="1582" xr:uid="{00000000-0005-0000-0000-00002C1B0000}"/>
    <cellStyle name="出力 2 8 2 2 3 2" xfId="4546" xr:uid="{00000000-0005-0000-0000-00002D1B0000}"/>
    <cellStyle name="出力 2 8 2 2 3 2 2" xfId="10060" xr:uid="{00000000-0005-0000-0000-00002E1B0000}"/>
    <cellStyle name="出力 2 8 2 2 3 3" xfId="3766" xr:uid="{00000000-0005-0000-0000-00002F1B0000}"/>
    <cellStyle name="出力 2 8 2 2 3 3 2" xfId="9314" xr:uid="{00000000-0005-0000-0000-0000301B0000}"/>
    <cellStyle name="出力 2 8 2 2 3 4" xfId="7280" xr:uid="{00000000-0005-0000-0000-0000311B0000}"/>
    <cellStyle name="出力 2 8 2 2 4" xfId="6269" xr:uid="{00000000-0005-0000-0000-0000321B0000}"/>
    <cellStyle name="出力 2 8 2 3" xfId="761" xr:uid="{00000000-0005-0000-0000-0000331B0000}"/>
    <cellStyle name="出力 2 8 2 3 2" xfId="1867" xr:uid="{00000000-0005-0000-0000-0000341B0000}"/>
    <cellStyle name="出力 2 8 2 3 2 2" xfId="4776" xr:uid="{00000000-0005-0000-0000-0000351B0000}"/>
    <cellStyle name="出力 2 8 2 3 2 2 2" xfId="10268" xr:uid="{00000000-0005-0000-0000-0000361B0000}"/>
    <cellStyle name="出力 2 8 2 3 2 3" xfId="3767" xr:uid="{00000000-0005-0000-0000-0000371B0000}"/>
    <cellStyle name="出力 2 8 2 3 2 3 2" xfId="9315" xr:uid="{00000000-0005-0000-0000-0000381B0000}"/>
    <cellStyle name="出力 2 8 2 3 2 4" xfId="7543" xr:uid="{00000000-0005-0000-0000-0000391B0000}"/>
    <cellStyle name="出力 2 8 2 3 3" xfId="6534" xr:uid="{00000000-0005-0000-0000-00003A1B0000}"/>
    <cellStyle name="出力 2 8 2 4" xfId="1360" xr:uid="{00000000-0005-0000-0000-00003B1B0000}"/>
    <cellStyle name="出力 2 8 2 4 2" xfId="4324" xr:uid="{00000000-0005-0000-0000-00003C1B0000}"/>
    <cellStyle name="出力 2 8 2 4 2 2" xfId="9860" xr:uid="{00000000-0005-0000-0000-00003D1B0000}"/>
    <cellStyle name="出力 2 8 2 4 3" xfId="3768" xr:uid="{00000000-0005-0000-0000-00003E1B0000}"/>
    <cellStyle name="出力 2 8 2 4 3 2" xfId="9316" xr:uid="{00000000-0005-0000-0000-00003F1B0000}"/>
    <cellStyle name="出力 2 8 2 4 4" xfId="7080" xr:uid="{00000000-0005-0000-0000-0000401B0000}"/>
    <cellStyle name="出力 2 8 2 5" xfId="6069" xr:uid="{00000000-0005-0000-0000-0000411B0000}"/>
    <cellStyle name="出力 2 8 3" xfId="317" xr:uid="{00000000-0005-0000-0000-0000421B0000}"/>
    <cellStyle name="出力 2 8 3 2" xfId="539" xr:uid="{00000000-0005-0000-0000-0000431B0000}"/>
    <cellStyle name="出力 2 8 3 2 2" xfId="1048" xr:uid="{00000000-0005-0000-0000-0000441B0000}"/>
    <cellStyle name="出力 2 8 3 2 2 2" xfId="2154" xr:uid="{00000000-0005-0000-0000-0000451B0000}"/>
    <cellStyle name="出力 2 8 3 2 2 2 2" xfId="5063" xr:uid="{00000000-0005-0000-0000-0000461B0000}"/>
    <cellStyle name="出力 2 8 3 2 2 2 2 2" xfId="10527" xr:uid="{00000000-0005-0000-0000-0000471B0000}"/>
    <cellStyle name="出力 2 8 3 2 2 2 3" xfId="3769" xr:uid="{00000000-0005-0000-0000-0000481B0000}"/>
    <cellStyle name="出力 2 8 3 2 2 2 3 2" xfId="9317" xr:uid="{00000000-0005-0000-0000-0000491B0000}"/>
    <cellStyle name="出力 2 8 3 2 2 2 4" xfId="7802" xr:uid="{00000000-0005-0000-0000-00004A1B0000}"/>
    <cellStyle name="出力 2 8 3 2 2 3" xfId="6793" xr:uid="{00000000-0005-0000-0000-00004B1B0000}"/>
    <cellStyle name="出力 2 8 3 2 3" xfId="1647" xr:uid="{00000000-0005-0000-0000-00004C1B0000}"/>
    <cellStyle name="出力 2 8 3 2 3 2" xfId="4611" xr:uid="{00000000-0005-0000-0000-00004D1B0000}"/>
    <cellStyle name="出力 2 8 3 2 3 2 2" xfId="10119" xr:uid="{00000000-0005-0000-0000-00004E1B0000}"/>
    <cellStyle name="出力 2 8 3 2 3 3" xfId="3770" xr:uid="{00000000-0005-0000-0000-00004F1B0000}"/>
    <cellStyle name="出力 2 8 3 2 3 3 2" xfId="9318" xr:uid="{00000000-0005-0000-0000-0000501B0000}"/>
    <cellStyle name="出力 2 8 3 2 3 4" xfId="7339" xr:uid="{00000000-0005-0000-0000-0000511B0000}"/>
    <cellStyle name="出力 2 8 3 2 4" xfId="6328" xr:uid="{00000000-0005-0000-0000-0000521B0000}"/>
    <cellStyle name="出力 2 8 3 3" xfId="826" xr:uid="{00000000-0005-0000-0000-0000531B0000}"/>
    <cellStyle name="出力 2 8 3 3 2" xfId="1932" xr:uid="{00000000-0005-0000-0000-0000541B0000}"/>
    <cellStyle name="出力 2 8 3 3 2 2" xfId="4841" xr:uid="{00000000-0005-0000-0000-0000551B0000}"/>
    <cellStyle name="出力 2 8 3 3 2 2 2" xfId="10327" xr:uid="{00000000-0005-0000-0000-0000561B0000}"/>
    <cellStyle name="出力 2 8 3 3 2 3" xfId="3771" xr:uid="{00000000-0005-0000-0000-0000571B0000}"/>
    <cellStyle name="出力 2 8 3 3 2 3 2" xfId="9319" xr:uid="{00000000-0005-0000-0000-0000581B0000}"/>
    <cellStyle name="出力 2 8 3 3 2 4" xfId="7602" xr:uid="{00000000-0005-0000-0000-0000591B0000}"/>
    <cellStyle name="出力 2 8 3 3 3" xfId="6593" xr:uid="{00000000-0005-0000-0000-00005A1B0000}"/>
    <cellStyle name="出力 2 8 3 4" xfId="1425" xr:uid="{00000000-0005-0000-0000-00005B1B0000}"/>
    <cellStyle name="出力 2 8 3 4 2" xfId="4389" xr:uid="{00000000-0005-0000-0000-00005C1B0000}"/>
    <cellStyle name="出力 2 8 3 4 2 2" xfId="9919" xr:uid="{00000000-0005-0000-0000-00005D1B0000}"/>
    <cellStyle name="出力 2 8 3 4 3" xfId="3772" xr:uid="{00000000-0005-0000-0000-00005E1B0000}"/>
    <cellStyle name="出力 2 8 3 4 3 2" xfId="9320" xr:uid="{00000000-0005-0000-0000-00005F1B0000}"/>
    <cellStyle name="出力 2 8 3 4 4" xfId="7139" xr:uid="{00000000-0005-0000-0000-0000601B0000}"/>
    <cellStyle name="出力 2 8 3 5" xfId="6128" xr:uid="{00000000-0005-0000-0000-0000611B0000}"/>
    <cellStyle name="出力 2 8 4" xfId="401" xr:uid="{00000000-0005-0000-0000-0000621B0000}"/>
    <cellStyle name="出力 2 8 4 2" xfId="910" xr:uid="{00000000-0005-0000-0000-0000631B0000}"/>
    <cellStyle name="出力 2 8 4 2 2" xfId="2016" xr:uid="{00000000-0005-0000-0000-0000641B0000}"/>
    <cellStyle name="出力 2 8 4 2 2 2" xfId="4925" xr:uid="{00000000-0005-0000-0000-0000651B0000}"/>
    <cellStyle name="出力 2 8 4 2 2 2 2" xfId="10400" xr:uid="{00000000-0005-0000-0000-0000661B0000}"/>
    <cellStyle name="出力 2 8 4 2 2 3" xfId="3773" xr:uid="{00000000-0005-0000-0000-0000671B0000}"/>
    <cellStyle name="出力 2 8 4 2 2 3 2" xfId="9321" xr:uid="{00000000-0005-0000-0000-0000681B0000}"/>
    <cellStyle name="出力 2 8 4 2 2 4" xfId="7675" xr:uid="{00000000-0005-0000-0000-0000691B0000}"/>
    <cellStyle name="出力 2 8 4 2 3" xfId="6666" xr:uid="{00000000-0005-0000-0000-00006A1B0000}"/>
    <cellStyle name="出力 2 8 4 3" xfId="1509" xr:uid="{00000000-0005-0000-0000-00006B1B0000}"/>
    <cellStyle name="出力 2 8 4 3 2" xfId="4473" xr:uid="{00000000-0005-0000-0000-00006C1B0000}"/>
    <cellStyle name="出力 2 8 4 3 2 2" xfId="9992" xr:uid="{00000000-0005-0000-0000-00006D1B0000}"/>
    <cellStyle name="出力 2 8 4 3 3" xfId="3774" xr:uid="{00000000-0005-0000-0000-00006E1B0000}"/>
    <cellStyle name="出力 2 8 4 3 3 2" xfId="9322" xr:uid="{00000000-0005-0000-0000-00006F1B0000}"/>
    <cellStyle name="出力 2 8 4 3 4" xfId="7212" xr:uid="{00000000-0005-0000-0000-0000701B0000}"/>
    <cellStyle name="出力 2 8 4 4" xfId="6201" xr:uid="{00000000-0005-0000-0000-0000711B0000}"/>
    <cellStyle name="出力 2 8 5" xfId="687" xr:uid="{00000000-0005-0000-0000-0000721B0000}"/>
    <cellStyle name="出力 2 8 5 2" xfId="1793" xr:uid="{00000000-0005-0000-0000-0000731B0000}"/>
    <cellStyle name="出力 2 8 5 2 2" xfId="4702" xr:uid="{00000000-0005-0000-0000-0000741B0000}"/>
    <cellStyle name="出力 2 8 5 2 2 2" xfId="10199" xr:uid="{00000000-0005-0000-0000-0000751B0000}"/>
    <cellStyle name="出力 2 8 5 2 3" xfId="3775" xr:uid="{00000000-0005-0000-0000-0000761B0000}"/>
    <cellStyle name="出力 2 8 5 2 3 2" xfId="9323" xr:uid="{00000000-0005-0000-0000-0000771B0000}"/>
    <cellStyle name="出力 2 8 5 2 4" xfId="7474" xr:uid="{00000000-0005-0000-0000-0000781B0000}"/>
    <cellStyle name="出力 2 8 5 3" xfId="6465" xr:uid="{00000000-0005-0000-0000-0000791B0000}"/>
    <cellStyle name="出力 2 8 6" xfId="1286" xr:uid="{00000000-0005-0000-0000-00007A1B0000}"/>
    <cellStyle name="出力 2 8 6 2" xfId="4250" xr:uid="{00000000-0005-0000-0000-00007B1B0000}"/>
    <cellStyle name="出力 2 8 6 2 2" xfId="9791" xr:uid="{00000000-0005-0000-0000-00007C1B0000}"/>
    <cellStyle name="出力 2 8 6 3" xfId="3776" xr:uid="{00000000-0005-0000-0000-00007D1B0000}"/>
    <cellStyle name="出力 2 8 6 3 2" xfId="9324" xr:uid="{00000000-0005-0000-0000-00007E1B0000}"/>
    <cellStyle name="出力 2 8 6 4" xfId="7011" xr:uid="{00000000-0005-0000-0000-00007F1B0000}"/>
    <cellStyle name="出力 2 8 7" xfId="6000" xr:uid="{00000000-0005-0000-0000-0000801B0000}"/>
    <cellStyle name="出力 2 9" xfId="115" xr:uid="{00000000-0005-0000-0000-0000811B0000}"/>
    <cellStyle name="出力 2 9 2" xfId="362" xr:uid="{00000000-0005-0000-0000-0000821B0000}"/>
    <cellStyle name="出力 2 9 2 2" xfId="871" xr:uid="{00000000-0005-0000-0000-0000831B0000}"/>
    <cellStyle name="出力 2 9 2 2 2" xfId="1977" xr:uid="{00000000-0005-0000-0000-0000841B0000}"/>
    <cellStyle name="出力 2 9 2 2 2 2" xfId="4886" xr:uid="{00000000-0005-0000-0000-0000851B0000}"/>
    <cellStyle name="出力 2 9 2 2 2 2 2" xfId="10366" xr:uid="{00000000-0005-0000-0000-0000861B0000}"/>
    <cellStyle name="出力 2 9 2 2 2 3" xfId="3777" xr:uid="{00000000-0005-0000-0000-0000871B0000}"/>
    <cellStyle name="出力 2 9 2 2 2 3 2" xfId="9325" xr:uid="{00000000-0005-0000-0000-0000881B0000}"/>
    <cellStyle name="出力 2 9 2 2 2 4" xfId="7641" xr:uid="{00000000-0005-0000-0000-0000891B0000}"/>
    <cellStyle name="出力 2 9 2 2 3" xfId="6632" xr:uid="{00000000-0005-0000-0000-00008A1B0000}"/>
    <cellStyle name="出力 2 9 2 3" xfId="1470" xr:uid="{00000000-0005-0000-0000-00008B1B0000}"/>
    <cellStyle name="出力 2 9 2 3 2" xfId="4434" xr:uid="{00000000-0005-0000-0000-00008C1B0000}"/>
    <cellStyle name="出力 2 9 2 3 2 2" xfId="9958" xr:uid="{00000000-0005-0000-0000-00008D1B0000}"/>
    <cellStyle name="出力 2 9 2 3 3" xfId="3778" xr:uid="{00000000-0005-0000-0000-00008E1B0000}"/>
    <cellStyle name="出力 2 9 2 3 3 2" xfId="9326" xr:uid="{00000000-0005-0000-0000-00008F1B0000}"/>
    <cellStyle name="出力 2 9 2 3 4" xfId="7178" xr:uid="{00000000-0005-0000-0000-0000901B0000}"/>
    <cellStyle name="出力 2 9 2 4" xfId="6167" xr:uid="{00000000-0005-0000-0000-0000911B0000}"/>
    <cellStyle name="出力 2 9 3" xfId="652" xr:uid="{00000000-0005-0000-0000-0000921B0000}"/>
    <cellStyle name="出力 2 9 3 2" xfId="1758" xr:uid="{00000000-0005-0000-0000-0000931B0000}"/>
    <cellStyle name="出力 2 9 3 2 2" xfId="4667" xr:uid="{00000000-0005-0000-0000-0000941B0000}"/>
    <cellStyle name="出力 2 9 3 2 2 2" xfId="10169" xr:uid="{00000000-0005-0000-0000-0000951B0000}"/>
    <cellStyle name="出力 2 9 3 2 3" xfId="3779" xr:uid="{00000000-0005-0000-0000-0000961B0000}"/>
    <cellStyle name="出力 2 9 3 2 3 2" xfId="9327" xr:uid="{00000000-0005-0000-0000-0000971B0000}"/>
    <cellStyle name="出力 2 9 3 2 4" xfId="7444" xr:uid="{00000000-0005-0000-0000-0000981B0000}"/>
    <cellStyle name="出力 2 9 3 3" xfId="6435" xr:uid="{00000000-0005-0000-0000-0000991B0000}"/>
    <cellStyle name="出力 2 9 4" xfId="1224" xr:uid="{00000000-0005-0000-0000-00009A1B0000}"/>
    <cellStyle name="出力 2 9 4 2" xfId="4215" xr:uid="{00000000-0005-0000-0000-00009B1B0000}"/>
    <cellStyle name="出力 2 9 4 2 2" xfId="9761" xr:uid="{00000000-0005-0000-0000-00009C1B0000}"/>
    <cellStyle name="出力 2 9 4 3" xfId="3780" xr:uid="{00000000-0005-0000-0000-00009D1B0000}"/>
    <cellStyle name="出力 2 9 4 3 2" xfId="9328" xr:uid="{00000000-0005-0000-0000-00009E1B0000}"/>
    <cellStyle name="出力 2 9 4 4" xfId="6955" xr:uid="{00000000-0005-0000-0000-00009F1B0000}"/>
    <cellStyle name="出力 2 9 5" xfId="5943" xr:uid="{00000000-0005-0000-0000-0000A01B0000}"/>
    <cellStyle name="説明文" xfId="16" builtinId="53" customBuiltin="1"/>
    <cellStyle name="説明文 2" xfId="91" xr:uid="{00000000-0005-0000-0000-0000A21B0000}"/>
    <cellStyle name="通貨 2" xfId="102" xr:uid="{00000000-0005-0000-0000-0000A31B0000}"/>
    <cellStyle name="通貨 2 2" xfId="608" xr:uid="{00000000-0005-0000-0000-0000A41B0000}"/>
    <cellStyle name="通貨 2 2 2" xfId="1714" xr:uid="{00000000-0005-0000-0000-0000A51B0000}"/>
    <cellStyle name="通貨 2 2 2 2" xfId="2624" xr:uid="{00000000-0005-0000-0000-0000A61B0000}"/>
    <cellStyle name="通貨 2 2 2 2 2" xfId="5479" xr:uid="{00000000-0005-0000-0000-0000A71B0000}"/>
    <cellStyle name="通貨 2 2 2 2 2 2" xfId="10845" xr:uid="{00000000-0005-0000-0000-0000A81B0000}"/>
    <cellStyle name="通貨 2 2 2 2 3" xfId="8173" xr:uid="{00000000-0005-0000-0000-0000A91B0000}"/>
    <cellStyle name="通貨 2 2 2 3" xfId="2974" xr:uid="{00000000-0005-0000-0000-0000AA1B0000}"/>
    <cellStyle name="通貨 2 2 2 3 2" xfId="5815" xr:uid="{00000000-0005-0000-0000-0000AB1B0000}"/>
    <cellStyle name="通貨 2 2 2 3 2 2" xfId="11181" xr:uid="{00000000-0005-0000-0000-0000AC1B0000}"/>
    <cellStyle name="通貨 2 2 2 3 3" xfId="8522" xr:uid="{00000000-0005-0000-0000-0000AD1B0000}"/>
    <cellStyle name="通貨 2 2 2 4" xfId="3783" xr:uid="{00000000-0005-0000-0000-0000AE1B0000}"/>
    <cellStyle name="通貨 2 2 2 4 2" xfId="9331" xr:uid="{00000000-0005-0000-0000-0000AF1B0000}"/>
    <cellStyle name="通貨 2 2 2 5" xfId="7401" xr:uid="{00000000-0005-0000-0000-0000B01B0000}"/>
    <cellStyle name="通貨 2 2 3" xfId="2342" xr:uid="{00000000-0005-0000-0000-0000B11B0000}"/>
    <cellStyle name="通貨 2 2 3 2" xfId="5213" xr:uid="{00000000-0005-0000-0000-0000B21B0000}"/>
    <cellStyle name="通貨 2 2 3 2 2" xfId="10670" xr:uid="{00000000-0005-0000-0000-0000B31B0000}"/>
    <cellStyle name="通貨 2 2 3 3" xfId="7983" xr:uid="{00000000-0005-0000-0000-0000B41B0000}"/>
    <cellStyle name="通貨 2 2 4" xfId="2807" xr:uid="{00000000-0005-0000-0000-0000B51B0000}"/>
    <cellStyle name="通貨 2 2 4 2" xfId="5648" xr:uid="{00000000-0005-0000-0000-0000B61B0000}"/>
    <cellStyle name="通貨 2 2 4 2 2" xfId="11014" xr:uid="{00000000-0005-0000-0000-0000B71B0000}"/>
    <cellStyle name="通貨 2 2 4 3" xfId="8355" xr:uid="{00000000-0005-0000-0000-0000B81B0000}"/>
    <cellStyle name="通貨 2 2 5" xfId="3782" xr:uid="{00000000-0005-0000-0000-0000B91B0000}"/>
    <cellStyle name="通貨 2 2 5 2" xfId="9330" xr:uid="{00000000-0005-0000-0000-0000BA1B0000}"/>
    <cellStyle name="通貨 2 2 6" xfId="6392" xr:uid="{00000000-0005-0000-0000-0000BB1B0000}"/>
    <cellStyle name="通貨 2 3" xfId="1089" xr:uid="{00000000-0005-0000-0000-0000BC1B0000}"/>
    <cellStyle name="通貨 2 3 2" xfId="2195" xr:uid="{00000000-0005-0000-0000-0000BD1B0000}"/>
    <cellStyle name="通貨 2 3 2 2" xfId="2665" xr:uid="{00000000-0005-0000-0000-0000BE1B0000}"/>
    <cellStyle name="通貨 2 3 2 2 2" xfId="5508" xr:uid="{00000000-0005-0000-0000-0000BF1B0000}"/>
    <cellStyle name="通貨 2 3 2 2 2 2" xfId="10874" xr:uid="{00000000-0005-0000-0000-0000C01B0000}"/>
    <cellStyle name="通貨 2 3 2 2 3" xfId="8214" xr:uid="{00000000-0005-0000-0000-0000C11B0000}"/>
    <cellStyle name="通貨 2 3 2 3" xfId="3003" xr:uid="{00000000-0005-0000-0000-0000C21B0000}"/>
    <cellStyle name="通貨 2 3 2 3 2" xfId="5844" xr:uid="{00000000-0005-0000-0000-0000C31B0000}"/>
    <cellStyle name="通貨 2 3 2 3 2 2" xfId="11210" xr:uid="{00000000-0005-0000-0000-0000C41B0000}"/>
    <cellStyle name="通貨 2 3 2 3 3" xfId="8551" xr:uid="{00000000-0005-0000-0000-0000C51B0000}"/>
    <cellStyle name="通貨 2 3 2 4" xfId="3785" xr:uid="{00000000-0005-0000-0000-0000C61B0000}"/>
    <cellStyle name="通貨 2 3 2 4 2" xfId="9333" xr:uid="{00000000-0005-0000-0000-0000C71B0000}"/>
    <cellStyle name="通貨 2 3 2 5" xfId="7838" xr:uid="{00000000-0005-0000-0000-0000C81B0000}"/>
    <cellStyle name="通貨 2 3 3" xfId="2371" xr:uid="{00000000-0005-0000-0000-0000C91B0000}"/>
    <cellStyle name="通貨 2 3 3 2" xfId="5242" xr:uid="{00000000-0005-0000-0000-0000CA1B0000}"/>
    <cellStyle name="通貨 2 3 3 2 2" xfId="10699" xr:uid="{00000000-0005-0000-0000-0000CB1B0000}"/>
    <cellStyle name="通貨 2 3 3 3" xfId="8012" xr:uid="{00000000-0005-0000-0000-0000CC1B0000}"/>
    <cellStyle name="通貨 2 3 4" xfId="2836" xr:uid="{00000000-0005-0000-0000-0000CD1B0000}"/>
    <cellStyle name="通貨 2 3 4 2" xfId="5677" xr:uid="{00000000-0005-0000-0000-0000CE1B0000}"/>
    <cellStyle name="通貨 2 3 4 2 2" xfId="11043" xr:uid="{00000000-0005-0000-0000-0000CF1B0000}"/>
    <cellStyle name="通貨 2 3 4 3" xfId="8384" xr:uid="{00000000-0005-0000-0000-0000D01B0000}"/>
    <cellStyle name="通貨 2 3 5" xfId="3784" xr:uid="{00000000-0005-0000-0000-0000D11B0000}"/>
    <cellStyle name="通貨 2 3 5 2" xfId="9332" xr:uid="{00000000-0005-0000-0000-0000D21B0000}"/>
    <cellStyle name="通貨 2 3 6" xfId="6829" xr:uid="{00000000-0005-0000-0000-0000D31B0000}"/>
    <cellStyle name="通貨 2 4" xfId="1211" xr:uid="{00000000-0005-0000-0000-0000D41B0000}"/>
    <cellStyle name="通貨 2 4 2" xfId="2558" xr:uid="{00000000-0005-0000-0000-0000D51B0000}"/>
    <cellStyle name="通貨 2 4 2 2" xfId="5425" xr:uid="{00000000-0005-0000-0000-0000D61B0000}"/>
    <cellStyle name="通貨 2 4 2 2 2" xfId="10791" xr:uid="{00000000-0005-0000-0000-0000D71B0000}"/>
    <cellStyle name="通貨 2 4 2 3" xfId="8107" xr:uid="{00000000-0005-0000-0000-0000D81B0000}"/>
    <cellStyle name="通貨 2 4 3" xfId="2920" xr:uid="{00000000-0005-0000-0000-0000D91B0000}"/>
    <cellStyle name="通貨 2 4 3 2" xfId="5761" xr:uid="{00000000-0005-0000-0000-0000DA1B0000}"/>
    <cellStyle name="通貨 2 4 3 2 2" xfId="11127" xr:uid="{00000000-0005-0000-0000-0000DB1B0000}"/>
    <cellStyle name="通貨 2 4 3 3" xfId="8468" xr:uid="{00000000-0005-0000-0000-0000DC1B0000}"/>
    <cellStyle name="通貨 2 4 4" xfId="3786" xr:uid="{00000000-0005-0000-0000-0000DD1B0000}"/>
    <cellStyle name="通貨 2 4 4 2" xfId="9334" xr:uid="{00000000-0005-0000-0000-0000DE1B0000}"/>
    <cellStyle name="通貨 2 4 5" xfId="6942" xr:uid="{00000000-0005-0000-0000-0000DF1B0000}"/>
    <cellStyle name="通貨 2 5" xfId="2287" xr:uid="{00000000-0005-0000-0000-0000E01B0000}"/>
    <cellStyle name="通貨 2 5 2" xfId="5158" xr:uid="{00000000-0005-0000-0000-0000E11B0000}"/>
    <cellStyle name="通貨 2 5 2 2" xfId="10615" xr:uid="{00000000-0005-0000-0000-0000E21B0000}"/>
    <cellStyle name="通貨 2 5 3" xfId="7928" xr:uid="{00000000-0005-0000-0000-0000E31B0000}"/>
    <cellStyle name="通貨 2 6" xfId="2752" xr:uid="{00000000-0005-0000-0000-0000E41B0000}"/>
    <cellStyle name="通貨 2 6 2" xfId="5593" xr:uid="{00000000-0005-0000-0000-0000E51B0000}"/>
    <cellStyle name="通貨 2 6 2 2" xfId="10959" xr:uid="{00000000-0005-0000-0000-0000E61B0000}"/>
    <cellStyle name="通貨 2 6 3" xfId="8300" xr:uid="{00000000-0005-0000-0000-0000E71B0000}"/>
    <cellStyle name="通貨 2 7" xfId="3781" xr:uid="{00000000-0005-0000-0000-0000E81B0000}"/>
    <cellStyle name="通貨 2 7 2" xfId="9329" xr:uid="{00000000-0005-0000-0000-0000E91B0000}"/>
    <cellStyle name="通貨 2 8" xfId="5930" xr:uid="{00000000-0005-0000-0000-0000EA1B0000}"/>
    <cellStyle name="通貨 3" xfId="579" xr:uid="{00000000-0005-0000-0000-0000EB1B0000}"/>
    <cellStyle name="通貨 3 2" xfId="1686" xr:uid="{00000000-0005-0000-0000-0000EC1B0000}"/>
    <cellStyle name="通貨 3 2 2" xfId="2597" xr:uid="{00000000-0005-0000-0000-0000ED1B0000}"/>
    <cellStyle name="通貨 3 2 2 2" xfId="5452" xr:uid="{00000000-0005-0000-0000-0000EE1B0000}"/>
    <cellStyle name="通貨 3 2 2 2 2" xfId="10818" xr:uid="{00000000-0005-0000-0000-0000EF1B0000}"/>
    <cellStyle name="通貨 3 2 2 3" xfId="8146" xr:uid="{00000000-0005-0000-0000-0000F01B0000}"/>
    <cellStyle name="通貨 3 2 3" xfId="2947" xr:uid="{00000000-0005-0000-0000-0000F11B0000}"/>
    <cellStyle name="通貨 3 2 3 2" xfId="5788" xr:uid="{00000000-0005-0000-0000-0000F21B0000}"/>
    <cellStyle name="通貨 3 2 3 2 2" xfId="11154" xr:uid="{00000000-0005-0000-0000-0000F31B0000}"/>
    <cellStyle name="通貨 3 2 3 3" xfId="8495" xr:uid="{00000000-0005-0000-0000-0000F41B0000}"/>
    <cellStyle name="通貨 3 2 4" xfId="3788" xr:uid="{00000000-0005-0000-0000-0000F51B0000}"/>
    <cellStyle name="通貨 3 2 4 2" xfId="9336" xr:uid="{00000000-0005-0000-0000-0000F61B0000}"/>
    <cellStyle name="通貨 3 2 5" xfId="7373" xr:uid="{00000000-0005-0000-0000-0000F71B0000}"/>
    <cellStyle name="通貨 3 3" xfId="2314" xr:uid="{00000000-0005-0000-0000-0000F81B0000}"/>
    <cellStyle name="通貨 3 3 2" xfId="5185" xr:uid="{00000000-0005-0000-0000-0000F91B0000}"/>
    <cellStyle name="通貨 3 3 2 2" xfId="10642" xr:uid="{00000000-0005-0000-0000-0000FA1B0000}"/>
    <cellStyle name="通貨 3 3 3" xfId="7955" xr:uid="{00000000-0005-0000-0000-0000FB1B0000}"/>
    <cellStyle name="通貨 3 4" xfId="2779" xr:uid="{00000000-0005-0000-0000-0000FC1B0000}"/>
    <cellStyle name="通貨 3 4 2" xfId="5620" xr:uid="{00000000-0005-0000-0000-0000FD1B0000}"/>
    <cellStyle name="通貨 3 4 2 2" xfId="10986" xr:uid="{00000000-0005-0000-0000-0000FE1B0000}"/>
    <cellStyle name="通貨 3 4 3" xfId="8327" xr:uid="{00000000-0005-0000-0000-0000FF1B0000}"/>
    <cellStyle name="通貨 3 5" xfId="3787" xr:uid="{00000000-0005-0000-0000-0000001C0000}"/>
    <cellStyle name="通貨 3 5 2" xfId="9335" xr:uid="{00000000-0005-0000-0000-0000011C0000}"/>
    <cellStyle name="通貨 3 6" xfId="6363" xr:uid="{00000000-0005-0000-0000-0000021C0000}"/>
    <cellStyle name="入力" xfId="10" builtinId="20" customBuiltin="1"/>
    <cellStyle name="入力 2" xfId="92" xr:uid="{00000000-0005-0000-0000-0000041C0000}"/>
    <cellStyle name="入力 2 10" xfId="363" xr:uid="{00000000-0005-0000-0000-0000051C0000}"/>
    <cellStyle name="入力 2 10 2" xfId="872" xr:uid="{00000000-0005-0000-0000-0000061C0000}"/>
    <cellStyle name="入力 2 10 2 2" xfId="1978" xr:uid="{00000000-0005-0000-0000-0000071C0000}"/>
    <cellStyle name="入力 2 10 2 2 2" xfId="4887" xr:uid="{00000000-0005-0000-0000-0000081C0000}"/>
    <cellStyle name="入力 2 10 2 2 2 2" xfId="10367" xr:uid="{00000000-0005-0000-0000-0000091C0000}"/>
    <cellStyle name="入力 2 10 2 2 3" xfId="3789" xr:uid="{00000000-0005-0000-0000-00000A1C0000}"/>
    <cellStyle name="入力 2 10 2 2 3 2" xfId="9337" xr:uid="{00000000-0005-0000-0000-00000B1C0000}"/>
    <cellStyle name="入力 2 10 2 2 4" xfId="7642" xr:uid="{00000000-0005-0000-0000-00000C1C0000}"/>
    <cellStyle name="入力 2 10 2 3" xfId="6633" xr:uid="{00000000-0005-0000-0000-00000D1C0000}"/>
    <cellStyle name="入力 2 10 3" xfId="1471" xr:uid="{00000000-0005-0000-0000-00000E1C0000}"/>
    <cellStyle name="入力 2 10 3 2" xfId="4435" xr:uid="{00000000-0005-0000-0000-00000F1C0000}"/>
    <cellStyle name="入力 2 10 3 2 2" xfId="9959" xr:uid="{00000000-0005-0000-0000-0000101C0000}"/>
    <cellStyle name="入力 2 10 3 3" xfId="3790" xr:uid="{00000000-0005-0000-0000-0000111C0000}"/>
    <cellStyle name="入力 2 10 3 3 2" xfId="9338" xr:uid="{00000000-0005-0000-0000-0000121C0000}"/>
    <cellStyle name="入力 2 10 3 4" xfId="7179" xr:uid="{00000000-0005-0000-0000-0000131C0000}"/>
    <cellStyle name="入力 2 10 4" xfId="6168" xr:uid="{00000000-0005-0000-0000-0000141C0000}"/>
    <cellStyle name="入力 2 11" xfId="639" xr:uid="{00000000-0005-0000-0000-0000151C0000}"/>
    <cellStyle name="入力 2 11 2" xfId="1745" xr:uid="{00000000-0005-0000-0000-0000161C0000}"/>
    <cellStyle name="入力 2 11 2 2" xfId="4654" xr:uid="{00000000-0005-0000-0000-0000171C0000}"/>
    <cellStyle name="入力 2 11 2 2 2" xfId="10156" xr:uid="{00000000-0005-0000-0000-0000181C0000}"/>
    <cellStyle name="入力 2 11 2 3" xfId="3791" xr:uid="{00000000-0005-0000-0000-0000191C0000}"/>
    <cellStyle name="入力 2 11 2 3 2" xfId="9339" xr:uid="{00000000-0005-0000-0000-00001A1C0000}"/>
    <cellStyle name="入力 2 11 2 4" xfId="7431" xr:uid="{00000000-0005-0000-0000-00001B1C0000}"/>
    <cellStyle name="入力 2 11 3" xfId="6422" xr:uid="{00000000-0005-0000-0000-00001C1C0000}"/>
    <cellStyle name="入力 2 12" xfId="1105" xr:uid="{00000000-0005-0000-0000-00001D1C0000}"/>
    <cellStyle name="入力 2 12 2" xfId="2209" xr:uid="{00000000-0005-0000-0000-00001E1C0000}"/>
    <cellStyle name="入力 2 12 2 2" xfId="5108" xr:uid="{00000000-0005-0000-0000-00001F1C0000}"/>
    <cellStyle name="入力 2 12 2 2 2" xfId="10565" xr:uid="{00000000-0005-0000-0000-0000201C0000}"/>
    <cellStyle name="入力 2 12 2 3" xfId="3793" xr:uid="{00000000-0005-0000-0000-0000211C0000}"/>
    <cellStyle name="入力 2 12 2 3 2" xfId="9341" xr:uid="{00000000-0005-0000-0000-0000221C0000}"/>
    <cellStyle name="入力 2 12 2 4" xfId="7850" xr:uid="{00000000-0005-0000-0000-0000231C0000}"/>
    <cellStyle name="入力 2 12 3" xfId="2503" xr:uid="{00000000-0005-0000-0000-0000241C0000}"/>
    <cellStyle name="入力 2 12 3 2" xfId="5371" xr:uid="{00000000-0005-0000-0000-0000251C0000}"/>
    <cellStyle name="入力 2 12 3 2 2" xfId="10738" xr:uid="{00000000-0005-0000-0000-0000261C0000}"/>
    <cellStyle name="入力 2 12 3 3" xfId="3794" xr:uid="{00000000-0005-0000-0000-0000271C0000}"/>
    <cellStyle name="入力 2 12 3 3 2" xfId="9342" xr:uid="{00000000-0005-0000-0000-0000281C0000}"/>
    <cellStyle name="入力 2 12 3 4" xfId="8053" xr:uid="{00000000-0005-0000-0000-0000291C0000}"/>
    <cellStyle name="入力 2 12 4" xfId="4191" xr:uid="{00000000-0005-0000-0000-00002A1C0000}"/>
    <cellStyle name="入力 2 12 4 2" xfId="9739" xr:uid="{00000000-0005-0000-0000-00002B1C0000}"/>
    <cellStyle name="入力 2 12 5" xfId="3792" xr:uid="{00000000-0005-0000-0000-00002C1C0000}"/>
    <cellStyle name="入力 2 12 5 2" xfId="9340" xr:uid="{00000000-0005-0000-0000-00002D1C0000}"/>
    <cellStyle name="入力 2 12 6" xfId="6843" xr:uid="{00000000-0005-0000-0000-00002E1C0000}"/>
    <cellStyle name="入力 2 13" xfId="1205" xr:uid="{00000000-0005-0000-0000-00002F1C0000}"/>
    <cellStyle name="入力 2 13 2" xfId="2552" xr:uid="{00000000-0005-0000-0000-0000301C0000}"/>
    <cellStyle name="入力 2 13 2 2" xfId="5419" xr:uid="{00000000-0005-0000-0000-0000311C0000}"/>
    <cellStyle name="入力 2 13 2 2 2" xfId="10785" xr:uid="{00000000-0005-0000-0000-0000321C0000}"/>
    <cellStyle name="入力 2 13 2 3" xfId="3796" xr:uid="{00000000-0005-0000-0000-0000331C0000}"/>
    <cellStyle name="入力 2 13 2 3 2" xfId="9344" xr:uid="{00000000-0005-0000-0000-0000341C0000}"/>
    <cellStyle name="入力 2 13 2 4" xfId="8101" xr:uid="{00000000-0005-0000-0000-0000351C0000}"/>
    <cellStyle name="入力 2 13 3" xfId="4202" xr:uid="{00000000-0005-0000-0000-0000361C0000}"/>
    <cellStyle name="入力 2 13 3 2" xfId="9748" xr:uid="{00000000-0005-0000-0000-0000371C0000}"/>
    <cellStyle name="入力 2 13 4" xfId="3795" xr:uid="{00000000-0005-0000-0000-0000381C0000}"/>
    <cellStyle name="入力 2 13 4 2" xfId="9343" xr:uid="{00000000-0005-0000-0000-0000391C0000}"/>
    <cellStyle name="入力 2 13 5" xfId="6936" xr:uid="{00000000-0005-0000-0000-00003A1C0000}"/>
    <cellStyle name="入力 2 14" xfId="1156" xr:uid="{00000000-0005-0000-0000-00003B1C0000}"/>
    <cellStyle name="入力 2 14 2" xfId="4197" xr:uid="{00000000-0005-0000-0000-00003C1C0000}"/>
    <cellStyle name="入力 2 14 2 2" xfId="9744" xr:uid="{00000000-0005-0000-0000-00003D1C0000}"/>
    <cellStyle name="入力 2 14 3" xfId="3797" xr:uid="{00000000-0005-0000-0000-00003E1C0000}"/>
    <cellStyle name="入力 2 14 3 2" xfId="9345" xr:uid="{00000000-0005-0000-0000-00003F1C0000}"/>
    <cellStyle name="入力 2 14 4" xfId="6889" xr:uid="{00000000-0005-0000-0000-0000401C0000}"/>
    <cellStyle name="入力 2 15" xfId="5921" xr:uid="{00000000-0005-0000-0000-0000411C0000}"/>
    <cellStyle name="入力 2 2" xfId="166" xr:uid="{00000000-0005-0000-0000-0000421C0000}"/>
    <cellStyle name="入力 2 2 2" xfId="197" xr:uid="{00000000-0005-0000-0000-0000431C0000}"/>
    <cellStyle name="入力 2 2 2 2" xfId="268" xr:uid="{00000000-0005-0000-0000-0000441C0000}"/>
    <cellStyle name="入力 2 2 2 2 2" xfId="490" xr:uid="{00000000-0005-0000-0000-0000451C0000}"/>
    <cellStyle name="入力 2 2 2 2 2 2" xfId="999" xr:uid="{00000000-0005-0000-0000-0000461C0000}"/>
    <cellStyle name="入力 2 2 2 2 2 2 2" xfId="2105" xr:uid="{00000000-0005-0000-0000-0000471C0000}"/>
    <cellStyle name="入力 2 2 2 2 2 2 2 2" xfId="5014" xr:uid="{00000000-0005-0000-0000-0000481C0000}"/>
    <cellStyle name="入力 2 2 2 2 2 2 2 2 2" xfId="10482" xr:uid="{00000000-0005-0000-0000-0000491C0000}"/>
    <cellStyle name="入力 2 2 2 2 2 2 2 3" xfId="3798" xr:uid="{00000000-0005-0000-0000-00004A1C0000}"/>
    <cellStyle name="入力 2 2 2 2 2 2 2 3 2" xfId="9346" xr:uid="{00000000-0005-0000-0000-00004B1C0000}"/>
    <cellStyle name="入力 2 2 2 2 2 2 2 4" xfId="7757" xr:uid="{00000000-0005-0000-0000-00004C1C0000}"/>
    <cellStyle name="入力 2 2 2 2 2 2 3" xfId="6748" xr:uid="{00000000-0005-0000-0000-00004D1C0000}"/>
    <cellStyle name="入力 2 2 2 2 2 3" xfId="1598" xr:uid="{00000000-0005-0000-0000-00004E1C0000}"/>
    <cellStyle name="入力 2 2 2 2 2 3 2" xfId="4562" xr:uid="{00000000-0005-0000-0000-00004F1C0000}"/>
    <cellStyle name="入力 2 2 2 2 2 3 2 2" xfId="10074" xr:uid="{00000000-0005-0000-0000-0000501C0000}"/>
    <cellStyle name="入力 2 2 2 2 2 3 3" xfId="3799" xr:uid="{00000000-0005-0000-0000-0000511C0000}"/>
    <cellStyle name="入力 2 2 2 2 2 3 3 2" xfId="9347" xr:uid="{00000000-0005-0000-0000-0000521C0000}"/>
    <cellStyle name="入力 2 2 2 2 2 3 4" xfId="7294" xr:uid="{00000000-0005-0000-0000-0000531C0000}"/>
    <cellStyle name="入力 2 2 2 2 2 4" xfId="6283" xr:uid="{00000000-0005-0000-0000-0000541C0000}"/>
    <cellStyle name="入力 2 2 2 2 3" xfId="777" xr:uid="{00000000-0005-0000-0000-0000551C0000}"/>
    <cellStyle name="入力 2 2 2 2 3 2" xfId="1883" xr:uid="{00000000-0005-0000-0000-0000561C0000}"/>
    <cellStyle name="入力 2 2 2 2 3 2 2" xfId="4792" xr:uid="{00000000-0005-0000-0000-0000571C0000}"/>
    <cellStyle name="入力 2 2 2 2 3 2 2 2" xfId="10282" xr:uid="{00000000-0005-0000-0000-0000581C0000}"/>
    <cellStyle name="入力 2 2 2 2 3 2 3" xfId="3800" xr:uid="{00000000-0005-0000-0000-0000591C0000}"/>
    <cellStyle name="入力 2 2 2 2 3 2 3 2" xfId="9348" xr:uid="{00000000-0005-0000-0000-00005A1C0000}"/>
    <cellStyle name="入力 2 2 2 2 3 2 4" xfId="7557" xr:uid="{00000000-0005-0000-0000-00005B1C0000}"/>
    <cellStyle name="入力 2 2 2 2 3 3" xfId="6548" xr:uid="{00000000-0005-0000-0000-00005C1C0000}"/>
    <cellStyle name="入力 2 2 2 2 4" xfId="1376" xr:uid="{00000000-0005-0000-0000-00005D1C0000}"/>
    <cellStyle name="入力 2 2 2 2 4 2" xfId="4340" xr:uid="{00000000-0005-0000-0000-00005E1C0000}"/>
    <cellStyle name="入力 2 2 2 2 4 2 2" xfId="9874" xr:uid="{00000000-0005-0000-0000-00005F1C0000}"/>
    <cellStyle name="入力 2 2 2 2 4 3" xfId="3801" xr:uid="{00000000-0005-0000-0000-0000601C0000}"/>
    <cellStyle name="入力 2 2 2 2 4 3 2" xfId="9349" xr:uid="{00000000-0005-0000-0000-0000611C0000}"/>
    <cellStyle name="入力 2 2 2 2 4 4" xfId="7094" xr:uid="{00000000-0005-0000-0000-0000621C0000}"/>
    <cellStyle name="入力 2 2 2 2 5" xfId="6083" xr:uid="{00000000-0005-0000-0000-0000631C0000}"/>
    <cellStyle name="入力 2 2 2 3" xfId="333" xr:uid="{00000000-0005-0000-0000-0000641C0000}"/>
    <cellStyle name="入力 2 2 2 3 2" xfId="555" xr:uid="{00000000-0005-0000-0000-0000651C0000}"/>
    <cellStyle name="入力 2 2 2 3 2 2" xfId="1064" xr:uid="{00000000-0005-0000-0000-0000661C0000}"/>
    <cellStyle name="入力 2 2 2 3 2 2 2" xfId="2170" xr:uid="{00000000-0005-0000-0000-0000671C0000}"/>
    <cellStyle name="入力 2 2 2 3 2 2 2 2" xfId="5079" xr:uid="{00000000-0005-0000-0000-0000681C0000}"/>
    <cellStyle name="入力 2 2 2 3 2 2 2 2 2" xfId="10541" xr:uid="{00000000-0005-0000-0000-0000691C0000}"/>
    <cellStyle name="入力 2 2 2 3 2 2 2 3" xfId="3802" xr:uid="{00000000-0005-0000-0000-00006A1C0000}"/>
    <cellStyle name="入力 2 2 2 3 2 2 2 3 2" xfId="9350" xr:uid="{00000000-0005-0000-0000-00006B1C0000}"/>
    <cellStyle name="入力 2 2 2 3 2 2 2 4" xfId="7816" xr:uid="{00000000-0005-0000-0000-00006C1C0000}"/>
    <cellStyle name="入力 2 2 2 3 2 2 3" xfId="6807" xr:uid="{00000000-0005-0000-0000-00006D1C0000}"/>
    <cellStyle name="入力 2 2 2 3 2 3" xfId="1663" xr:uid="{00000000-0005-0000-0000-00006E1C0000}"/>
    <cellStyle name="入力 2 2 2 3 2 3 2" xfId="4627" xr:uid="{00000000-0005-0000-0000-00006F1C0000}"/>
    <cellStyle name="入力 2 2 2 3 2 3 2 2" xfId="10133" xr:uid="{00000000-0005-0000-0000-0000701C0000}"/>
    <cellStyle name="入力 2 2 2 3 2 3 3" xfId="3803" xr:uid="{00000000-0005-0000-0000-0000711C0000}"/>
    <cellStyle name="入力 2 2 2 3 2 3 3 2" xfId="9351" xr:uid="{00000000-0005-0000-0000-0000721C0000}"/>
    <cellStyle name="入力 2 2 2 3 2 3 4" xfId="7353" xr:uid="{00000000-0005-0000-0000-0000731C0000}"/>
    <cellStyle name="入力 2 2 2 3 2 4" xfId="6342" xr:uid="{00000000-0005-0000-0000-0000741C0000}"/>
    <cellStyle name="入力 2 2 2 3 3" xfId="842" xr:uid="{00000000-0005-0000-0000-0000751C0000}"/>
    <cellStyle name="入力 2 2 2 3 3 2" xfId="1948" xr:uid="{00000000-0005-0000-0000-0000761C0000}"/>
    <cellStyle name="入力 2 2 2 3 3 2 2" xfId="4857" xr:uid="{00000000-0005-0000-0000-0000771C0000}"/>
    <cellStyle name="入力 2 2 2 3 3 2 2 2" xfId="10341" xr:uid="{00000000-0005-0000-0000-0000781C0000}"/>
    <cellStyle name="入力 2 2 2 3 3 2 3" xfId="3804" xr:uid="{00000000-0005-0000-0000-0000791C0000}"/>
    <cellStyle name="入力 2 2 2 3 3 2 3 2" xfId="9352" xr:uid="{00000000-0005-0000-0000-00007A1C0000}"/>
    <cellStyle name="入力 2 2 2 3 3 2 4" xfId="7616" xr:uid="{00000000-0005-0000-0000-00007B1C0000}"/>
    <cellStyle name="入力 2 2 2 3 3 3" xfId="6607" xr:uid="{00000000-0005-0000-0000-00007C1C0000}"/>
    <cellStyle name="入力 2 2 2 3 4" xfId="1441" xr:uid="{00000000-0005-0000-0000-00007D1C0000}"/>
    <cellStyle name="入力 2 2 2 3 4 2" xfId="4405" xr:uid="{00000000-0005-0000-0000-00007E1C0000}"/>
    <cellStyle name="入力 2 2 2 3 4 2 2" xfId="9933" xr:uid="{00000000-0005-0000-0000-00007F1C0000}"/>
    <cellStyle name="入力 2 2 2 3 4 3" xfId="3805" xr:uid="{00000000-0005-0000-0000-0000801C0000}"/>
    <cellStyle name="入力 2 2 2 3 4 3 2" xfId="9353" xr:uid="{00000000-0005-0000-0000-0000811C0000}"/>
    <cellStyle name="入力 2 2 2 3 4 4" xfId="7153" xr:uid="{00000000-0005-0000-0000-0000821C0000}"/>
    <cellStyle name="入力 2 2 2 3 5" xfId="6142" xr:uid="{00000000-0005-0000-0000-0000831C0000}"/>
    <cellStyle name="入力 2 2 2 4" xfId="419" xr:uid="{00000000-0005-0000-0000-0000841C0000}"/>
    <cellStyle name="入力 2 2 2 4 2" xfId="928" xr:uid="{00000000-0005-0000-0000-0000851C0000}"/>
    <cellStyle name="入力 2 2 2 4 2 2" xfId="2034" xr:uid="{00000000-0005-0000-0000-0000861C0000}"/>
    <cellStyle name="入力 2 2 2 4 2 2 2" xfId="4943" xr:uid="{00000000-0005-0000-0000-0000871C0000}"/>
    <cellStyle name="入力 2 2 2 4 2 2 2 2" xfId="10416" xr:uid="{00000000-0005-0000-0000-0000881C0000}"/>
    <cellStyle name="入力 2 2 2 4 2 2 3" xfId="3806" xr:uid="{00000000-0005-0000-0000-0000891C0000}"/>
    <cellStyle name="入力 2 2 2 4 2 2 3 2" xfId="9354" xr:uid="{00000000-0005-0000-0000-00008A1C0000}"/>
    <cellStyle name="入力 2 2 2 4 2 2 4" xfId="7691" xr:uid="{00000000-0005-0000-0000-00008B1C0000}"/>
    <cellStyle name="入力 2 2 2 4 2 3" xfId="6682" xr:uid="{00000000-0005-0000-0000-00008C1C0000}"/>
    <cellStyle name="入力 2 2 2 4 3" xfId="1527" xr:uid="{00000000-0005-0000-0000-00008D1C0000}"/>
    <cellStyle name="入力 2 2 2 4 3 2" xfId="4491" xr:uid="{00000000-0005-0000-0000-00008E1C0000}"/>
    <cellStyle name="入力 2 2 2 4 3 2 2" xfId="10008" xr:uid="{00000000-0005-0000-0000-00008F1C0000}"/>
    <cellStyle name="入力 2 2 2 4 3 3" xfId="3807" xr:uid="{00000000-0005-0000-0000-0000901C0000}"/>
    <cellStyle name="入力 2 2 2 4 3 3 2" xfId="9355" xr:uid="{00000000-0005-0000-0000-0000911C0000}"/>
    <cellStyle name="入力 2 2 2 4 3 4" xfId="7228" xr:uid="{00000000-0005-0000-0000-0000921C0000}"/>
    <cellStyle name="入力 2 2 2 4 4" xfId="6217" xr:uid="{00000000-0005-0000-0000-0000931C0000}"/>
    <cellStyle name="入力 2 2 2 5" xfId="706" xr:uid="{00000000-0005-0000-0000-0000941C0000}"/>
    <cellStyle name="入力 2 2 2 5 2" xfId="1812" xr:uid="{00000000-0005-0000-0000-0000951C0000}"/>
    <cellStyle name="入力 2 2 2 5 2 2" xfId="4721" xr:uid="{00000000-0005-0000-0000-0000961C0000}"/>
    <cellStyle name="入力 2 2 2 5 2 2 2" xfId="10216" xr:uid="{00000000-0005-0000-0000-0000971C0000}"/>
    <cellStyle name="入力 2 2 2 5 2 3" xfId="3808" xr:uid="{00000000-0005-0000-0000-0000981C0000}"/>
    <cellStyle name="入力 2 2 2 5 2 3 2" xfId="9356" xr:uid="{00000000-0005-0000-0000-0000991C0000}"/>
    <cellStyle name="入力 2 2 2 5 2 4" xfId="7491" xr:uid="{00000000-0005-0000-0000-00009A1C0000}"/>
    <cellStyle name="入力 2 2 2 5 3" xfId="6482" xr:uid="{00000000-0005-0000-0000-00009B1C0000}"/>
    <cellStyle name="入力 2 2 2 6" xfId="1305" xr:uid="{00000000-0005-0000-0000-00009C1C0000}"/>
    <cellStyle name="入力 2 2 2 6 2" xfId="4269" xr:uid="{00000000-0005-0000-0000-00009D1C0000}"/>
    <cellStyle name="入力 2 2 2 6 2 2" xfId="9808" xr:uid="{00000000-0005-0000-0000-00009E1C0000}"/>
    <cellStyle name="入力 2 2 2 6 3" xfId="3809" xr:uid="{00000000-0005-0000-0000-00009F1C0000}"/>
    <cellStyle name="入力 2 2 2 6 3 2" xfId="9357" xr:uid="{00000000-0005-0000-0000-0000A01C0000}"/>
    <cellStyle name="入力 2 2 2 6 4" xfId="7028" xr:uid="{00000000-0005-0000-0000-0000A11C0000}"/>
    <cellStyle name="入力 2 2 2 7" xfId="6017" xr:uid="{00000000-0005-0000-0000-0000A21C0000}"/>
    <cellStyle name="入力 2 2 3" xfId="218" xr:uid="{00000000-0005-0000-0000-0000A31C0000}"/>
    <cellStyle name="入力 2 2 3 2" xfId="286" xr:uid="{00000000-0005-0000-0000-0000A41C0000}"/>
    <cellStyle name="入力 2 2 3 2 2" xfId="508" xr:uid="{00000000-0005-0000-0000-0000A51C0000}"/>
    <cellStyle name="入力 2 2 3 2 2 2" xfId="1017" xr:uid="{00000000-0005-0000-0000-0000A61C0000}"/>
    <cellStyle name="入力 2 2 3 2 2 2 2" xfId="2123" xr:uid="{00000000-0005-0000-0000-0000A71C0000}"/>
    <cellStyle name="入力 2 2 3 2 2 2 2 2" xfId="5032" xr:uid="{00000000-0005-0000-0000-0000A81C0000}"/>
    <cellStyle name="入力 2 2 3 2 2 2 2 2 2" xfId="10500" xr:uid="{00000000-0005-0000-0000-0000A91C0000}"/>
    <cellStyle name="入力 2 2 3 2 2 2 2 3" xfId="3810" xr:uid="{00000000-0005-0000-0000-0000AA1C0000}"/>
    <cellStyle name="入力 2 2 3 2 2 2 2 3 2" xfId="9358" xr:uid="{00000000-0005-0000-0000-0000AB1C0000}"/>
    <cellStyle name="入力 2 2 3 2 2 2 2 4" xfId="7775" xr:uid="{00000000-0005-0000-0000-0000AC1C0000}"/>
    <cellStyle name="入力 2 2 3 2 2 2 3" xfId="6766" xr:uid="{00000000-0005-0000-0000-0000AD1C0000}"/>
    <cellStyle name="入力 2 2 3 2 2 3" xfId="1616" xr:uid="{00000000-0005-0000-0000-0000AE1C0000}"/>
    <cellStyle name="入力 2 2 3 2 2 3 2" xfId="4580" xr:uid="{00000000-0005-0000-0000-0000AF1C0000}"/>
    <cellStyle name="入力 2 2 3 2 2 3 2 2" xfId="10092" xr:uid="{00000000-0005-0000-0000-0000B01C0000}"/>
    <cellStyle name="入力 2 2 3 2 2 3 3" xfId="3811" xr:uid="{00000000-0005-0000-0000-0000B11C0000}"/>
    <cellStyle name="入力 2 2 3 2 2 3 3 2" xfId="9359" xr:uid="{00000000-0005-0000-0000-0000B21C0000}"/>
    <cellStyle name="入力 2 2 3 2 2 3 4" xfId="7312" xr:uid="{00000000-0005-0000-0000-0000B31C0000}"/>
    <cellStyle name="入力 2 2 3 2 2 4" xfId="6301" xr:uid="{00000000-0005-0000-0000-0000B41C0000}"/>
    <cellStyle name="入力 2 2 3 2 3" xfId="795" xr:uid="{00000000-0005-0000-0000-0000B51C0000}"/>
    <cellStyle name="入力 2 2 3 2 3 2" xfId="1901" xr:uid="{00000000-0005-0000-0000-0000B61C0000}"/>
    <cellStyle name="入力 2 2 3 2 3 2 2" xfId="4810" xr:uid="{00000000-0005-0000-0000-0000B71C0000}"/>
    <cellStyle name="入力 2 2 3 2 3 2 2 2" xfId="10300" xr:uid="{00000000-0005-0000-0000-0000B81C0000}"/>
    <cellStyle name="入力 2 2 3 2 3 2 3" xfId="3812" xr:uid="{00000000-0005-0000-0000-0000B91C0000}"/>
    <cellStyle name="入力 2 2 3 2 3 2 3 2" xfId="9360" xr:uid="{00000000-0005-0000-0000-0000BA1C0000}"/>
    <cellStyle name="入力 2 2 3 2 3 2 4" xfId="7575" xr:uid="{00000000-0005-0000-0000-0000BB1C0000}"/>
    <cellStyle name="入力 2 2 3 2 3 3" xfId="6566" xr:uid="{00000000-0005-0000-0000-0000BC1C0000}"/>
    <cellStyle name="入力 2 2 3 2 4" xfId="1394" xr:uid="{00000000-0005-0000-0000-0000BD1C0000}"/>
    <cellStyle name="入力 2 2 3 2 4 2" xfId="4358" xr:uid="{00000000-0005-0000-0000-0000BE1C0000}"/>
    <cellStyle name="入力 2 2 3 2 4 2 2" xfId="9892" xr:uid="{00000000-0005-0000-0000-0000BF1C0000}"/>
    <cellStyle name="入力 2 2 3 2 4 3" xfId="3813" xr:uid="{00000000-0005-0000-0000-0000C01C0000}"/>
    <cellStyle name="入力 2 2 3 2 4 3 2" xfId="9361" xr:uid="{00000000-0005-0000-0000-0000C11C0000}"/>
    <cellStyle name="入力 2 2 3 2 4 4" xfId="7112" xr:uid="{00000000-0005-0000-0000-0000C21C0000}"/>
    <cellStyle name="入力 2 2 3 2 5" xfId="6101" xr:uid="{00000000-0005-0000-0000-0000C31C0000}"/>
    <cellStyle name="入力 2 2 3 3" xfId="354" xr:uid="{00000000-0005-0000-0000-0000C41C0000}"/>
    <cellStyle name="入力 2 2 3 3 2" xfId="576" xr:uid="{00000000-0005-0000-0000-0000C51C0000}"/>
    <cellStyle name="入力 2 2 3 3 2 2" xfId="1085" xr:uid="{00000000-0005-0000-0000-0000C61C0000}"/>
    <cellStyle name="入力 2 2 3 3 2 2 2" xfId="2191" xr:uid="{00000000-0005-0000-0000-0000C71C0000}"/>
    <cellStyle name="入力 2 2 3 3 2 2 2 2" xfId="5100" xr:uid="{00000000-0005-0000-0000-0000C81C0000}"/>
    <cellStyle name="入力 2 2 3 3 2 2 2 2 2" xfId="10559" xr:uid="{00000000-0005-0000-0000-0000C91C0000}"/>
    <cellStyle name="入力 2 2 3 3 2 2 2 3" xfId="3814" xr:uid="{00000000-0005-0000-0000-0000CA1C0000}"/>
    <cellStyle name="入力 2 2 3 3 2 2 2 3 2" xfId="9362" xr:uid="{00000000-0005-0000-0000-0000CB1C0000}"/>
    <cellStyle name="入力 2 2 3 3 2 2 2 4" xfId="7834" xr:uid="{00000000-0005-0000-0000-0000CC1C0000}"/>
    <cellStyle name="入力 2 2 3 3 2 2 3" xfId="6825" xr:uid="{00000000-0005-0000-0000-0000CD1C0000}"/>
    <cellStyle name="入力 2 2 3 3 2 3" xfId="1684" xr:uid="{00000000-0005-0000-0000-0000CE1C0000}"/>
    <cellStyle name="入力 2 2 3 3 2 3 2" xfId="4648" xr:uid="{00000000-0005-0000-0000-0000CF1C0000}"/>
    <cellStyle name="入力 2 2 3 3 2 3 2 2" xfId="10151" xr:uid="{00000000-0005-0000-0000-0000D01C0000}"/>
    <cellStyle name="入力 2 2 3 3 2 3 3" xfId="3815" xr:uid="{00000000-0005-0000-0000-0000D11C0000}"/>
    <cellStyle name="入力 2 2 3 3 2 3 3 2" xfId="9363" xr:uid="{00000000-0005-0000-0000-0000D21C0000}"/>
    <cellStyle name="入力 2 2 3 3 2 3 4" xfId="7371" xr:uid="{00000000-0005-0000-0000-0000D31C0000}"/>
    <cellStyle name="入力 2 2 3 3 2 4" xfId="6360" xr:uid="{00000000-0005-0000-0000-0000D41C0000}"/>
    <cellStyle name="入力 2 2 3 3 3" xfId="863" xr:uid="{00000000-0005-0000-0000-0000D51C0000}"/>
    <cellStyle name="入力 2 2 3 3 3 2" xfId="1969" xr:uid="{00000000-0005-0000-0000-0000D61C0000}"/>
    <cellStyle name="入力 2 2 3 3 3 2 2" xfId="4878" xr:uid="{00000000-0005-0000-0000-0000D71C0000}"/>
    <cellStyle name="入力 2 2 3 3 3 2 2 2" xfId="10359" xr:uid="{00000000-0005-0000-0000-0000D81C0000}"/>
    <cellStyle name="入力 2 2 3 3 3 2 3" xfId="3816" xr:uid="{00000000-0005-0000-0000-0000D91C0000}"/>
    <cellStyle name="入力 2 2 3 3 3 2 3 2" xfId="9364" xr:uid="{00000000-0005-0000-0000-0000DA1C0000}"/>
    <cellStyle name="入力 2 2 3 3 3 2 4" xfId="7634" xr:uid="{00000000-0005-0000-0000-0000DB1C0000}"/>
    <cellStyle name="入力 2 2 3 3 3 3" xfId="6625" xr:uid="{00000000-0005-0000-0000-0000DC1C0000}"/>
    <cellStyle name="入力 2 2 3 3 4" xfId="1462" xr:uid="{00000000-0005-0000-0000-0000DD1C0000}"/>
    <cellStyle name="入力 2 2 3 3 4 2" xfId="4426" xr:uid="{00000000-0005-0000-0000-0000DE1C0000}"/>
    <cellStyle name="入力 2 2 3 3 4 2 2" xfId="9951" xr:uid="{00000000-0005-0000-0000-0000DF1C0000}"/>
    <cellStyle name="入力 2 2 3 3 4 3" xfId="3817" xr:uid="{00000000-0005-0000-0000-0000E01C0000}"/>
    <cellStyle name="入力 2 2 3 3 4 3 2" xfId="9365" xr:uid="{00000000-0005-0000-0000-0000E11C0000}"/>
    <cellStyle name="入力 2 2 3 3 4 4" xfId="7171" xr:uid="{00000000-0005-0000-0000-0000E21C0000}"/>
    <cellStyle name="入力 2 2 3 3 5" xfId="6160" xr:uid="{00000000-0005-0000-0000-0000E31C0000}"/>
    <cellStyle name="入力 2 2 3 4" xfId="440" xr:uid="{00000000-0005-0000-0000-0000E41C0000}"/>
    <cellStyle name="入力 2 2 3 4 2" xfId="949" xr:uid="{00000000-0005-0000-0000-0000E51C0000}"/>
    <cellStyle name="入力 2 2 3 4 2 2" xfId="2055" xr:uid="{00000000-0005-0000-0000-0000E61C0000}"/>
    <cellStyle name="入力 2 2 3 4 2 2 2" xfId="4964" xr:uid="{00000000-0005-0000-0000-0000E71C0000}"/>
    <cellStyle name="入力 2 2 3 4 2 2 2 2" xfId="10434" xr:uid="{00000000-0005-0000-0000-0000E81C0000}"/>
    <cellStyle name="入力 2 2 3 4 2 2 3" xfId="3818" xr:uid="{00000000-0005-0000-0000-0000E91C0000}"/>
    <cellStyle name="入力 2 2 3 4 2 2 3 2" xfId="9366" xr:uid="{00000000-0005-0000-0000-0000EA1C0000}"/>
    <cellStyle name="入力 2 2 3 4 2 2 4" xfId="7709" xr:uid="{00000000-0005-0000-0000-0000EB1C0000}"/>
    <cellStyle name="入力 2 2 3 4 2 3" xfId="6700" xr:uid="{00000000-0005-0000-0000-0000EC1C0000}"/>
    <cellStyle name="入力 2 2 3 4 3" xfId="1548" xr:uid="{00000000-0005-0000-0000-0000ED1C0000}"/>
    <cellStyle name="入力 2 2 3 4 3 2" xfId="4512" xr:uid="{00000000-0005-0000-0000-0000EE1C0000}"/>
    <cellStyle name="入力 2 2 3 4 3 2 2" xfId="10026" xr:uid="{00000000-0005-0000-0000-0000EF1C0000}"/>
    <cellStyle name="入力 2 2 3 4 3 3" xfId="3819" xr:uid="{00000000-0005-0000-0000-0000F01C0000}"/>
    <cellStyle name="入力 2 2 3 4 3 3 2" xfId="9367" xr:uid="{00000000-0005-0000-0000-0000F11C0000}"/>
    <cellStyle name="入力 2 2 3 4 3 4" xfId="7246" xr:uid="{00000000-0005-0000-0000-0000F21C0000}"/>
    <cellStyle name="入力 2 2 3 4 4" xfId="6235" xr:uid="{00000000-0005-0000-0000-0000F31C0000}"/>
    <cellStyle name="入力 2 2 3 5" xfId="727" xr:uid="{00000000-0005-0000-0000-0000F41C0000}"/>
    <cellStyle name="入力 2 2 3 5 2" xfId="1833" xr:uid="{00000000-0005-0000-0000-0000F51C0000}"/>
    <cellStyle name="入力 2 2 3 5 2 2" xfId="4742" xr:uid="{00000000-0005-0000-0000-0000F61C0000}"/>
    <cellStyle name="入力 2 2 3 5 2 2 2" xfId="10234" xr:uid="{00000000-0005-0000-0000-0000F71C0000}"/>
    <cellStyle name="入力 2 2 3 5 2 3" xfId="3820" xr:uid="{00000000-0005-0000-0000-0000F81C0000}"/>
    <cellStyle name="入力 2 2 3 5 2 3 2" xfId="9368" xr:uid="{00000000-0005-0000-0000-0000F91C0000}"/>
    <cellStyle name="入力 2 2 3 5 2 4" xfId="7509" xr:uid="{00000000-0005-0000-0000-0000FA1C0000}"/>
    <cellStyle name="入力 2 2 3 5 3" xfId="6500" xr:uid="{00000000-0005-0000-0000-0000FB1C0000}"/>
    <cellStyle name="入力 2 2 3 6" xfId="1326" xr:uid="{00000000-0005-0000-0000-0000FC1C0000}"/>
    <cellStyle name="入力 2 2 3 6 2" xfId="4290" xr:uid="{00000000-0005-0000-0000-0000FD1C0000}"/>
    <cellStyle name="入力 2 2 3 6 2 2" xfId="9826" xr:uid="{00000000-0005-0000-0000-0000FE1C0000}"/>
    <cellStyle name="入力 2 2 3 6 3" xfId="3821" xr:uid="{00000000-0005-0000-0000-0000FF1C0000}"/>
    <cellStyle name="入力 2 2 3 6 3 2" xfId="9369" xr:uid="{00000000-0005-0000-0000-0000001D0000}"/>
    <cellStyle name="入力 2 2 3 6 4" xfId="7046" xr:uid="{00000000-0005-0000-0000-0000011D0000}"/>
    <cellStyle name="入力 2 2 3 7" xfId="6035" xr:uid="{00000000-0005-0000-0000-0000021D0000}"/>
    <cellStyle name="入力 2 2 4" xfId="243" xr:uid="{00000000-0005-0000-0000-0000031D0000}"/>
    <cellStyle name="入力 2 2 4 2" xfId="465" xr:uid="{00000000-0005-0000-0000-0000041D0000}"/>
    <cellStyle name="入力 2 2 4 2 2" xfId="974" xr:uid="{00000000-0005-0000-0000-0000051D0000}"/>
    <cellStyle name="入力 2 2 4 2 2 2" xfId="2080" xr:uid="{00000000-0005-0000-0000-0000061D0000}"/>
    <cellStyle name="入力 2 2 4 2 2 2 2" xfId="4989" xr:uid="{00000000-0005-0000-0000-0000071D0000}"/>
    <cellStyle name="入力 2 2 4 2 2 2 2 2" xfId="10459" xr:uid="{00000000-0005-0000-0000-0000081D0000}"/>
    <cellStyle name="入力 2 2 4 2 2 2 3" xfId="3822" xr:uid="{00000000-0005-0000-0000-0000091D0000}"/>
    <cellStyle name="入力 2 2 4 2 2 2 3 2" xfId="9370" xr:uid="{00000000-0005-0000-0000-00000A1D0000}"/>
    <cellStyle name="入力 2 2 4 2 2 2 4" xfId="7734" xr:uid="{00000000-0005-0000-0000-00000B1D0000}"/>
    <cellStyle name="入力 2 2 4 2 2 3" xfId="6725" xr:uid="{00000000-0005-0000-0000-00000C1D0000}"/>
    <cellStyle name="入力 2 2 4 2 3" xfId="1573" xr:uid="{00000000-0005-0000-0000-00000D1D0000}"/>
    <cellStyle name="入力 2 2 4 2 3 2" xfId="4537" xr:uid="{00000000-0005-0000-0000-00000E1D0000}"/>
    <cellStyle name="入力 2 2 4 2 3 2 2" xfId="10051" xr:uid="{00000000-0005-0000-0000-00000F1D0000}"/>
    <cellStyle name="入力 2 2 4 2 3 3" xfId="3823" xr:uid="{00000000-0005-0000-0000-0000101D0000}"/>
    <cellStyle name="入力 2 2 4 2 3 3 2" xfId="9371" xr:uid="{00000000-0005-0000-0000-0000111D0000}"/>
    <cellStyle name="入力 2 2 4 2 3 4" xfId="7271" xr:uid="{00000000-0005-0000-0000-0000121D0000}"/>
    <cellStyle name="入力 2 2 4 2 4" xfId="6260" xr:uid="{00000000-0005-0000-0000-0000131D0000}"/>
    <cellStyle name="入力 2 2 4 3" xfId="752" xr:uid="{00000000-0005-0000-0000-0000141D0000}"/>
    <cellStyle name="入力 2 2 4 3 2" xfId="1858" xr:uid="{00000000-0005-0000-0000-0000151D0000}"/>
    <cellStyle name="入力 2 2 4 3 2 2" xfId="4767" xr:uid="{00000000-0005-0000-0000-0000161D0000}"/>
    <cellStyle name="入力 2 2 4 3 2 2 2" xfId="10259" xr:uid="{00000000-0005-0000-0000-0000171D0000}"/>
    <cellStyle name="入力 2 2 4 3 2 3" xfId="3824" xr:uid="{00000000-0005-0000-0000-0000181D0000}"/>
    <cellStyle name="入力 2 2 4 3 2 3 2" xfId="9372" xr:uid="{00000000-0005-0000-0000-0000191D0000}"/>
    <cellStyle name="入力 2 2 4 3 2 4" xfId="7534" xr:uid="{00000000-0005-0000-0000-00001A1D0000}"/>
    <cellStyle name="入力 2 2 4 3 3" xfId="6525" xr:uid="{00000000-0005-0000-0000-00001B1D0000}"/>
    <cellStyle name="入力 2 2 4 4" xfId="1351" xr:uid="{00000000-0005-0000-0000-00001C1D0000}"/>
    <cellStyle name="入力 2 2 4 4 2" xfId="4315" xr:uid="{00000000-0005-0000-0000-00001D1D0000}"/>
    <cellStyle name="入力 2 2 4 4 2 2" xfId="9851" xr:uid="{00000000-0005-0000-0000-00001E1D0000}"/>
    <cellStyle name="入力 2 2 4 4 3" xfId="3825" xr:uid="{00000000-0005-0000-0000-00001F1D0000}"/>
    <cellStyle name="入力 2 2 4 4 3 2" xfId="9373" xr:uid="{00000000-0005-0000-0000-0000201D0000}"/>
    <cellStyle name="入力 2 2 4 4 4" xfId="7071" xr:uid="{00000000-0005-0000-0000-0000211D0000}"/>
    <cellStyle name="入力 2 2 4 5" xfId="6060" xr:uid="{00000000-0005-0000-0000-0000221D0000}"/>
    <cellStyle name="入力 2 2 5" xfId="307" xr:uid="{00000000-0005-0000-0000-0000231D0000}"/>
    <cellStyle name="入力 2 2 5 2" xfId="529" xr:uid="{00000000-0005-0000-0000-0000241D0000}"/>
    <cellStyle name="入力 2 2 5 2 2" xfId="1038" xr:uid="{00000000-0005-0000-0000-0000251D0000}"/>
    <cellStyle name="入力 2 2 5 2 2 2" xfId="2144" xr:uid="{00000000-0005-0000-0000-0000261D0000}"/>
    <cellStyle name="入力 2 2 5 2 2 2 2" xfId="5053" xr:uid="{00000000-0005-0000-0000-0000271D0000}"/>
    <cellStyle name="入力 2 2 5 2 2 2 2 2" xfId="10518" xr:uid="{00000000-0005-0000-0000-0000281D0000}"/>
    <cellStyle name="入力 2 2 5 2 2 2 3" xfId="3826" xr:uid="{00000000-0005-0000-0000-0000291D0000}"/>
    <cellStyle name="入力 2 2 5 2 2 2 3 2" xfId="9374" xr:uid="{00000000-0005-0000-0000-00002A1D0000}"/>
    <cellStyle name="入力 2 2 5 2 2 2 4" xfId="7793" xr:uid="{00000000-0005-0000-0000-00002B1D0000}"/>
    <cellStyle name="入力 2 2 5 2 2 3" xfId="6784" xr:uid="{00000000-0005-0000-0000-00002C1D0000}"/>
    <cellStyle name="入力 2 2 5 2 3" xfId="1637" xr:uid="{00000000-0005-0000-0000-00002D1D0000}"/>
    <cellStyle name="入力 2 2 5 2 3 2" xfId="4601" xr:uid="{00000000-0005-0000-0000-00002E1D0000}"/>
    <cellStyle name="入力 2 2 5 2 3 2 2" xfId="10110" xr:uid="{00000000-0005-0000-0000-00002F1D0000}"/>
    <cellStyle name="入力 2 2 5 2 3 3" xfId="3827" xr:uid="{00000000-0005-0000-0000-0000301D0000}"/>
    <cellStyle name="入力 2 2 5 2 3 3 2" xfId="9375" xr:uid="{00000000-0005-0000-0000-0000311D0000}"/>
    <cellStyle name="入力 2 2 5 2 3 4" xfId="7330" xr:uid="{00000000-0005-0000-0000-0000321D0000}"/>
    <cellStyle name="入力 2 2 5 2 4" xfId="6319" xr:uid="{00000000-0005-0000-0000-0000331D0000}"/>
    <cellStyle name="入力 2 2 5 3" xfId="816" xr:uid="{00000000-0005-0000-0000-0000341D0000}"/>
    <cellStyle name="入力 2 2 5 3 2" xfId="1922" xr:uid="{00000000-0005-0000-0000-0000351D0000}"/>
    <cellStyle name="入力 2 2 5 3 2 2" xfId="4831" xr:uid="{00000000-0005-0000-0000-0000361D0000}"/>
    <cellStyle name="入力 2 2 5 3 2 2 2" xfId="10318" xr:uid="{00000000-0005-0000-0000-0000371D0000}"/>
    <cellStyle name="入力 2 2 5 3 2 3" xfId="3828" xr:uid="{00000000-0005-0000-0000-0000381D0000}"/>
    <cellStyle name="入力 2 2 5 3 2 3 2" xfId="9376" xr:uid="{00000000-0005-0000-0000-0000391D0000}"/>
    <cellStyle name="入力 2 2 5 3 2 4" xfId="7593" xr:uid="{00000000-0005-0000-0000-00003A1D0000}"/>
    <cellStyle name="入力 2 2 5 3 3" xfId="6584" xr:uid="{00000000-0005-0000-0000-00003B1D0000}"/>
    <cellStyle name="入力 2 2 5 4" xfId="1415" xr:uid="{00000000-0005-0000-0000-00003C1D0000}"/>
    <cellStyle name="入力 2 2 5 4 2" xfId="4379" xr:uid="{00000000-0005-0000-0000-00003D1D0000}"/>
    <cellStyle name="入力 2 2 5 4 2 2" xfId="9910" xr:uid="{00000000-0005-0000-0000-00003E1D0000}"/>
    <cellStyle name="入力 2 2 5 4 3" xfId="3829" xr:uid="{00000000-0005-0000-0000-00003F1D0000}"/>
    <cellStyle name="入力 2 2 5 4 3 2" xfId="9377" xr:uid="{00000000-0005-0000-0000-0000401D0000}"/>
    <cellStyle name="入力 2 2 5 4 4" xfId="7130" xr:uid="{00000000-0005-0000-0000-0000411D0000}"/>
    <cellStyle name="入力 2 2 5 5" xfId="6119" xr:uid="{00000000-0005-0000-0000-0000421D0000}"/>
    <cellStyle name="入力 2 2 6" xfId="390" xr:uid="{00000000-0005-0000-0000-0000431D0000}"/>
    <cellStyle name="入力 2 2 6 2" xfId="899" xr:uid="{00000000-0005-0000-0000-0000441D0000}"/>
    <cellStyle name="入力 2 2 6 2 2" xfId="2005" xr:uid="{00000000-0005-0000-0000-0000451D0000}"/>
    <cellStyle name="入力 2 2 6 2 2 2" xfId="4914" xr:uid="{00000000-0005-0000-0000-0000461D0000}"/>
    <cellStyle name="入力 2 2 6 2 2 2 2" xfId="10390" xr:uid="{00000000-0005-0000-0000-0000471D0000}"/>
    <cellStyle name="入力 2 2 6 2 2 3" xfId="3830" xr:uid="{00000000-0005-0000-0000-0000481D0000}"/>
    <cellStyle name="入力 2 2 6 2 2 3 2" xfId="9378" xr:uid="{00000000-0005-0000-0000-0000491D0000}"/>
    <cellStyle name="入力 2 2 6 2 2 4" xfId="7665" xr:uid="{00000000-0005-0000-0000-00004A1D0000}"/>
    <cellStyle name="入力 2 2 6 2 3" xfId="6656" xr:uid="{00000000-0005-0000-0000-00004B1D0000}"/>
    <cellStyle name="入力 2 2 6 3" xfId="1498" xr:uid="{00000000-0005-0000-0000-00004C1D0000}"/>
    <cellStyle name="入力 2 2 6 3 2" xfId="4462" xr:uid="{00000000-0005-0000-0000-00004D1D0000}"/>
    <cellStyle name="入力 2 2 6 3 2 2" xfId="9982" xr:uid="{00000000-0005-0000-0000-00004E1D0000}"/>
    <cellStyle name="入力 2 2 6 3 3" xfId="3831" xr:uid="{00000000-0005-0000-0000-00004F1D0000}"/>
    <cellStyle name="入力 2 2 6 3 3 2" xfId="9379" xr:uid="{00000000-0005-0000-0000-0000501D0000}"/>
    <cellStyle name="入力 2 2 6 3 4" xfId="7202" xr:uid="{00000000-0005-0000-0000-0000511D0000}"/>
    <cellStyle name="入力 2 2 6 4" xfId="6191" xr:uid="{00000000-0005-0000-0000-0000521D0000}"/>
    <cellStyle name="入力 2 2 7" xfId="675" xr:uid="{00000000-0005-0000-0000-0000531D0000}"/>
    <cellStyle name="入力 2 2 7 2" xfId="1781" xr:uid="{00000000-0005-0000-0000-0000541D0000}"/>
    <cellStyle name="入力 2 2 7 2 2" xfId="4690" xr:uid="{00000000-0005-0000-0000-0000551D0000}"/>
    <cellStyle name="入力 2 2 7 2 2 2" xfId="10188" xr:uid="{00000000-0005-0000-0000-0000561D0000}"/>
    <cellStyle name="入力 2 2 7 2 3" xfId="3832" xr:uid="{00000000-0005-0000-0000-0000571D0000}"/>
    <cellStyle name="入力 2 2 7 2 3 2" xfId="9380" xr:uid="{00000000-0005-0000-0000-0000581D0000}"/>
    <cellStyle name="入力 2 2 7 2 4" xfId="7463" xr:uid="{00000000-0005-0000-0000-0000591D0000}"/>
    <cellStyle name="入力 2 2 7 3" xfId="6454" xr:uid="{00000000-0005-0000-0000-00005A1D0000}"/>
    <cellStyle name="入力 2 2 8" xfId="1274" xr:uid="{00000000-0005-0000-0000-00005B1D0000}"/>
    <cellStyle name="入力 2 2 8 2" xfId="4238" xr:uid="{00000000-0005-0000-0000-00005C1D0000}"/>
    <cellStyle name="入力 2 2 8 2 2" xfId="9780" xr:uid="{00000000-0005-0000-0000-00005D1D0000}"/>
    <cellStyle name="入力 2 2 8 3" xfId="3833" xr:uid="{00000000-0005-0000-0000-00005E1D0000}"/>
    <cellStyle name="入力 2 2 8 3 2" xfId="9381" xr:uid="{00000000-0005-0000-0000-00005F1D0000}"/>
    <cellStyle name="入力 2 2 8 4" xfId="7000" xr:uid="{00000000-0005-0000-0000-0000601D0000}"/>
    <cellStyle name="入力 2 2 9" xfId="5989" xr:uid="{00000000-0005-0000-0000-0000611D0000}"/>
    <cellStyle name="入力 2 3" xfId="151" xr:uid="{00000000-0005-0000-0000-0000621D0000}"/>
    <cellStyle name="入力 2 3 2" xfId="186" xr:uid="{00000000-0005-0000-0000-0000631D0000}"/>
    <cellStyle name="入力 2 3 2 2" xfId="257" xr:uid="{00000000-0005-0000-0000-0000641D0000}"/>
    <cellStyle name="入力 2 3 2 2 2" xfId="479" xr:uid="{00000000-0005-0000-0000-0000651D0000}"/>
    <cellStyle name="入力 2 3 2 2 2 2" xfId="988" xr:uid="{00000000-0005-0000-0000-0000661D0000}"/>
    <cellStyle name="入力 2 3 2 2 2 2 2" xfId="2094" xr:uid="{00000000-0005-0000-0000-0000671D0000}"/>
    <cellStyle name="入力 2 3 2 2 2 2 2 2" xfId="5003" xr:uid="{00000000-0005-0000-0000-0000681D0000}"/>
    <cellStyle name="入力 2 3 2 2 2 2 2 2 2" xfId="10473" xr:uid="{00000000-0005-0000-0000-0000691D0000}"/>
    <cellStyle name="入力 2 3 2 2 2 2 2 3" xfId="3834" xr:uid="{00000000-0005-0000-0000-00006A1D0000}"/>
    <cellStyle name="入力 2 3 2 2 2 2 2 3 2" xfId="9382" xr:uid="{00000000-0005-0000-0000-00006B1D0000}"/>
    <cellStyle name="入力 2 3 2 2 2 2 2 4" xfId="7748" xr:uid="{00000000-0005-0000-0000-00006C1D0000}"/>
    <cellStyle name="入力 2 3 2 2 2 2 3" xfId="6739" xr:uid="{00000000-0005-0000-0000-00006D1D0000}"/>
    <cellStyle name="入力 2 3 2 2 2 3" xfId="1587" xr:uid="{00000000-0005-0000-0000-00006E1D0000}"/>
    <cellStyle name="入力 2 3 2 2 2 3 2" xfId="4551" xr:uid="{00000000-0005-0000-0000-00006F1D0000}"/>
    <cellStyle name="入力 2 3 2 2 2 3 2 2" xfId="10065" xr:uid="{00000000-0005-0000-0000-0000701D0000}"/>
    <cellStyle name="入力 2 3 2 2 2 3 3" xfId="3835" xr:uid="{00000000-0005-0000-0000-0000711D0000}"/>
    <cellStyle name="入力 2 3 2 2 2 3 3 2" xfId="9383" xr:uid="{00000000-0005-0000-0000-0000721D0000}"/>
    <cellStyle name="入力 2 3 2 2 2 3 4" xfId="7285" xr:uid="{00000000-0005-0000-0000-0000731D0000}"/>
    <cellStyle name="入力 2 3 2 2 2 4" xfId="6274" xr:uid="{00000000-0005-0000-0000-0000741D0000}"/>
    <cellStyle name="入力 2 3 2 2 3" xfId="766" xr:uid="{00000000-0005-0000-0000-0000751D0000}"/>
    <cellStyle name="入力 2 3 2 2 3 2" xfId="1872" xr:uid="{00000000-0005-0000-0000-0000761D0000}"/>
    <cellStyle name="入力 2 3 2 2 3 2 2" xfId="4781" xr:uid="{00000000-0005-0000-0000-0000771D0000}"/>
    <cellStyle name="入力 2 3 2 2 3 2 2 2" xfId="10273" xr:uid="{00000000-0005-0000-0000-0000781D0000}"/>
    <cellStyle name="入力 2 3 2 2 3 2 3" xfId="3836" xr:uid="{00000000-0005-0000-0000-0000791D0000}"/>
    <cellStyle name="入力 2 3 2 2 3 2 3 2" xfId="9384" xr:uid="{00000000-0005-0000-0000-00007A1D0000}"/>
    <cellStyle name="入力 2 3 2 2 3 2 4" xfId="7548" xr:uid="{00000000-0005-0000-0000-00007B1D0000}"/>
    <cellStyle name="入力 2 3 2 2 3 3" xfId="6539" xr:uid="{00000000-0005-0000-0000-00007C1D0000}"/>
    <cellStyle name="入力 2 3 2 2 4" xfId="1365" xr:uid="{00000000-0005-0000-0000-00007D1D0000}"/>
    <cellStyle name="入力 2 3 2 2 4 2" xfId="4329" xr:uid="{00000000-0005-0000-0000-00007E1D0000}"/>
    <cellStyle name="入力 2 3 2 2 4 2 2" xfId="9865" xr:uid="{00000000-0005-0000-0000-00007F1D0000}"/>
    <cellStyle name="入力 2 3 2 2 4 3" xfId="3837" xr:uid="{00000000-0005-0000-0000-0000801D0000}"/>
    <cellStyle name="入力 2 3 2 2 4 3 2" xfId="9385" xr:uid="{00000000-0005-0000-0000-0000811D0000}"/>
    <cellStyle name="入力 2 3 2 2 4 4" xfId="7085" xr:uid="{00000000-0005-0000-0000-0000821D0000}"/>
    <cellStyle name="入力 2 3 2 2 5" xfId="6074" xr:uid="{00000000-0005-0000-0000-0000831D0000}"/>
    <cellStyle name="入力 2 3 2 3" xfId="322" xr:uid="{00000000-0005-0000-0000-0000841D0000}"/>
    <cellStyle name="入力 2 3 2 3 2" xfId="544" xr:uid="{00000000-0005-0000-0000-0000851D0000}"/>
    <cellStyle name="入力 2 3 2 3 2 2" xfId="1053" xr:uid="{00000000-0005-0000-0000-0000861D0000}"/>
    <cellStyle name="入力 2 3 2 3 2 2 2" xfId="2159" xr:uid="{00000000-0005-0000-0000-0000871D0000}"/>
    <cellStyle name="入力 2 3 2 3 2 2 2 2" xfId="5068" xr:uid="{00000000-0005-0000-0000-0000881D0000}"/>
    <cellStyle name="入力 2 3 2 3 2 2 2 2 2" xfId="10532" xr:uid="{00000000-0005-0000-0000-0000891D0000}"/>
    <cellStyle name="入力 2 3 2 3 2 2 2 3" xfId="3838" xr:uid="{00000000-0005-0000-0000-00008A1D0000}"/>
    <cellStyle name="入力 2 3 2 3 2 2 2 3 2" xfId="9386" xr:uid="{00000000-0005-0000-0000-00008B1D0000}"/>
    <cellStyle name="入力 2 3 2 3 2 2 2 4" xfId="7807" xr:uid="{00000000-0005-0000-0000-00008C1D0000}"/>
    <cellStyle name="入力 2 3 2 3 2 2 3" xfId="6798" xr:uid="{00000000-0005-0000-0000-00008D1D0000}"/>
    <cellStyle name="入力 2 3 2 3 2 3" xfId="1652" xr:uid="{00000000-0005-0000-0000-00008E1D0000}"/>
    <cellStyle name="入力 2 3 2 3 2 3 2" xfId="4616" xr:uid="{00000000-0005-0000-0000-00008F1D0000}"/>
    <cellStyle name="入力 2 3 2 3 2 3 2 2" xfId="10124" xr:uid="{00000000-0005-0000-0000-0000901D0000}"/>
    <cellStyle name="入力 2 3 2 3 2 3 3" xfId="3839" xr:uid="{00000000-0005-0000-0000-0000911D0000}"/>
    <cellStyle name="入力 2 3 2 3 2 3 3 2" xfId="9387" xr:uid="{00000000-0005-0000-0000-0000921D0000}"/>
    <cellStyle name="入力 2 3 2 3 2 3 4" xfId="7344" xr:uid="{00000000-0005-0000-0000-0000931D0000}"/>
    <cellStyle name="入力 2 3 2 3 2 4" xfId="6333" xr:uid="{00000000-0005-0000-0000-0000941D0000}"/>
    <cellStyle name="入力 2 3 2 3 3" xfId="831" xr:uid="{00000000-0005-0000-0000-0000951D0000}"/>
    <cellStyle name="入力 2 3 2 3 3 2" xfId="1937" xr:uid="{00000000-0005-0000-0000-0000961D0000}"/>
    <cellStyle name="入力 2 3 2 3 3 2 2" xfId="4846" xr:uid="{00000000-0005-0000-0000-0000971D0000}"/>
    <cellStyle name="入力 2 3 2 3 3 2 2 2" xfId="10332" xr:uid="{00000000-0005-0000-0000-0000981D0000}"/>
    <cellStyle name="入力 2 3 2 3 3 2 3" xfId="3840" xr:uid="{00000000-0005-0000-0000-0000991D0000}"/>
    <cellStyle name="入力 2 3 2 3 3 2 3 2" xfId="9388" xr:uid="{00000000-0005-0000-0000-00009A1D0000}"/>
    <cellStyle name="入力 2 3 2 3 3 2 4" xfId="7607" xr:uid="{00000000-0005-0000-0000-00009B1D0000}"/>
    <cellStyle name="入力 2 3 2 3 3 3" xfId="6598" xr:uid="{00000000-0005-0000-0000-00009C1D0000}"/>
    <cellStyle name="入力 2 3 2 3 4" xfId="1430" xr:uid="{00000000-0005-0000-0000-00009D1D0000}"/>
    <cellStyle name="入力 2 3 2 3 4 2" xfId="4394" xr:uid="{00000000-0005-0000-0000-00009E1D0000}"/>
    <cellStyle name="入力 2 3 2 3 4 2 2" xfId="9924" xr:uid="{00000000-0005-0000-0000-00009F1D0000}"/>
    <cellStyle name="入力 2 3 2 3 4 3" xfId="3841" xr:uid="{00000000-0005-0000-0000-0000A01D0000}"/>
    <cellStyle name="入力 2 3 2 3 4 3 2" xfId="9389" xr:uid="{00000000-0005-0000-0000-0000A11D0000}"/>
    <cellStyle name="入力 2 3 2 3 4 4" xfId="7144" xr:uid="{00000000-0005-0000-0000-0000A21D0000}"/>
    <cellStyle name="入力 2 3 2 3 5" xfId="6133" xr:uid="{00000000-0005-0000-0000-0000A31D0000}"/>
    <cellStyle name="入力 2 3 2 4" xfId="408" xr:uid="{00000000-0005-0000-0000-0000A41D0000}"/>
    <cellStyle name="入力 2 3 2 4 2" xfId="917" xr:uid="{00000000-0005-0000-0000-0000A51D0000}"/>
    <cellStyle name="入力 2 3 2 4 2 2" xfId="2023" xr:uid="{00000000-0005-0000-0000-0000A61D0000}"/>
    <cellStyle name="入力 2 3 2 4 2 2 2" xfId="4932" xr:uid="{00000000-0005-0000-0000-0000A71D0000}"/>
    <cellStyle name="入力 2 3 2 4 2 2 2 2" xfId="10407" xr:uid="{00000000-0005-0000-0000-0000A81D0000}"/>
    <cellStyle name="入力 2 3 2 4 2 2 3" xfId="3842" xr:uid="{00000000-0005-0000-0000-0000A91D0000}"/>
    <cellStyle name="入力 2 3 2 4 2 2 3 2" xfId="9390" xr:uid="{00000000-0005-0000-0000-0000AA1D0000}"/>
    <cellStyle name="入力 2 3 2 4 2 2 4" xfId="7682" xr:uid="{00000000-0005-0000-0000-0000AB1D0000}"/>
    <cellStyle name="入力 2 3 2 4 2 3" xfId="6673" xr:uid="{00000000-0005-0000-0000-0000AC1D0000}"/>
    <cellStyle name="入力 2 3 2 4 3" xfId="1516" xr:uid="{00000000-0005-0000-0000-0000AD1D0000}"/>
    <cellStyle name="入力 2 3 2 4 3 2" xfId="4480" xr:uid="{00000000-0005-0000-0000-0000AE1D0000}"/>
    <cellStyle name="入力 2 3 2 4 3 2 2" xfId="9999" xr:uid="{00000000-0005-0000-0000-0000AF1D0000}"/>
    <cellStyle name="入力 2 3 2 4 3 3" xfId="3843" xr:uid="{00000000-0005-0000-0000-0000B01D0000}"/>
    <cellStyle name="入力 2 3 2 4 3 3 2" xfId="9391" xr:uid="{00000000-0005-0000-0000-0000B11D0000}"/>
    <cellStyle name="入力 2 3 2 4 3 4" xfId="7219" xr:uid="{00000000-0005-0000-0000-0000B21D0000}"/>
    <cellStyle name="入力 2 3 2 4 4" xfId="6208" xr:uid="{00000000-0005-0000-0000-0000B31D0000}"/>
    <cellStyle name="入力 2 3 2 5" xfId="695" xr:uid="{00000000-0005-0000-0000-0000B41D0000}"/>
    <cellStyle name="入力 2 3 2 5 2" xfId="1801" xr:uid="{00000000-0005-0000-0000-0000B51D0000}"/>
    <cellStyle name="入力 2 3 2 5 2 2" xfId="4710" xr:uid="{00000000-0005-0000-0000-0000B61D0000}"/>
    <cellStyle name="入力 2 3 2 5 2 2 2" xfId="10207" xr:uid="{00000000-0005-0000-0000-0000B71D0000}"/>
    <cellStyle name="入力 2 3 2 5 2 3" xfId="3844" xr:uid="{00000000-0005-0000-0000-0000B81D0000}"/>
    <cellStyle name="入力 2 3 2 5 2 3 2" xfId="9392" xr:uid="{00000000-0005-0000-0000-0000B91D0000}"/>
    <cellStyle name="入力 2 3 2 5 2 4" xfId="7482" xr:uid="{00000000-0005-0000-0000-0000BA1D0000}"/>
    <cellStyle name="入力 2 3 2 5 3" xfId="6473" xr:uid="{00000000-0005-0000-0000-0000BB1D0000}"/>
    <cellStyle name="入力 2 3 2 6" xfId="1294" xr:uid="{00000000-0005-0000-0000-0000BC1D0000}"/>
    <cellStyle name="入力 2 3 2 6 2" xfId="4258" xr:uid="{00000000-0005-0000-0000-0000BD1D0000}"/>
    <cellStyle name="入力 2 3 2 6 2 2" xfId="9799" xr:uid="{00000000-0005-0000-0000-0000BE1D0000}"/>
    <cellStyle name="入力 2 3 2 6 3" xfId="3845" xr:uid="{00000000-0005-0000-0000-0000BF1D0000}"/>
    <cellStyle name="入力 2 3 2 6 3 2" xfId="9393" xr:uid="{00000000-0005-0000-0000-0000C01D0000}"/>
    <cellStyle name="入力 2 3 2 6 4" xfId="7019" xr:uid="{00000000-0005-0000-0000-0000C11D0000}"/>
    <cellStyle name="入力 2 3 2 7" xfId="6008" xr:uid="{00000000-0005-0000-0000-0000C21D0000}"/>
    <cellStyle name="入力 2 3 3" xfId="204" xr:uid="{00000000-0005-0000-0000-0000C31D0000}"/>
    <cellStyle name="入力 2 3 3 2" xfId="275" xr:uid="{00000000-0005-0000-0000-0000C41D0000}"/>
    <cellStyle name="入力 2 3 3 2 2" xfId="497" xr:uid="{00000000-0005-0000-0000-0000C51D0000}"/>
    <cellStyle name="入力 2 3 3 2 2 2" xfId="1006" xr:uid="{00000000-0005-0000-0000-0000C61D0000}"/>
    <cellStyle name="入力 2 3 3 2 2 2 2" xfId="2112" xr:uid="{00000000-0005-0000-0000-0000C71D0000}"/>
    <cellStyle name="入力 2 3 3 2 2 2 2 2" xfId="5021" xr:uid="{00000000-0005-0000-0000-0000C81D0000}"/>
    <cellStyle name="入力 2 3 3 2 2 2 2 2 2" xfId="10489" xr:uid="{00000000-0005-0000-0000-0000C91D0000}"/>
    <cellStyle name="入力 2 3 3 2 2 2 2 3" xfId="3846" xr:uid="{00000000-0005-0000-0000-0000CA1D0000}"/>
    <cellStyle name="入力 2 3 3 2 2 2 2 3 2" xfId="9394" xr:uid="{00000000-0005-0000-0000-0000CB1D0000}"/>
    <cellStyle name="入力 2 3 3 2 2 2 2 4" xfId="7764" xr:uid="{00000000-0005-0000-0000-0000CC1D0000}"/>
    <cellStyle name="入力 2 3 3 2 2 2 3" xfId="6755" xr:uid="{00000000-0005-0000-0000-0000CD1D0000}"/>
    <cellStyle name="入力 2 3 3 2 2 3" xfId="1605" xr:uid="{00000000-0005-0000-0000-0000CE1D0000}"/>
    <cellStyle name="入力 2 3 3 2 2 3 2" xfId="4569" xr:uid="{00000000-0005-0000-0000-0000CF1D0000}"/>
    <cellStyle name="入力 2 3 3 2 2 3 2 2" xfId="10081" xr:uid="{00000000-0005-0000-0000-0000D01D0000}"/>
    <cellStyle name="入力 2 3 3 2 2 3 3" xfId="3847" xr:uid="{00000000-0005-0000-0000-0000D11D0000}"/>
    <cellStyle name="入力 2 3 3 2 2 3 3 2" xfId="9395" xr:uid="{00000000-0005-0000-0000-0000D21D0000}"/>
    <cellStyle name="入力 2 3 3 2 2 3 4" xfId="7301" xr:uid="{00000000-0005-0000-0000-0000D31D0000}"/>
    <cellStyle name="入力 2 3 3 2 2 4" xfId="6290" xr:uid="{00000000-0005-0000-0000-0000D41D0000}"/>
    <cellStyle name="入力 2 3 3 2 3" xfId="784" xr:uid="{00000000-0005-0000-0000-0000D51D0000}"/>
    <cellStyle name="入力 2 3 3 2 3 2" xfId="1890" xr:uid="{00000000-0005-0000-0000-0000D61D0000}"/>
    <cellStyle name="入力 2 3 3 2 3 2 2" xfId="4799" xr:uid="{00000000-0005-0000-0000-0000D71D0000}"/>
    <cellStyle name="入力 2 3 3 2 3 2 2 2" xfId="10289" xr:uid="{00000000-0005-0000-0000-0000D81D0000}"/>
    <cellStyle name="入力 2 3 3 2 3 2 3" xfId="3848" xr:uid="{00000000-0005-0000-0000-0000D91D0000}"/>
    <cellStyle name="入力 2 3 3 2 3 2 3 2" xfId="9396" xr:uid="{00000000-0005-0000-0000-0000DA1D0000}"/>
    <cellStyle name="入力 2 3 3 2 3 2 4" xfId="7564" xr:uid="{00000000-0005-0000-0000-0000DB1D0000}"/>
    <cellStyle name="入力 2 3 3 2 3 3" xfId="6555" xr:uid="{00000000-0005-0000-0000-0000DC1D0000}"/>
    <cellStyle name="入力 2 3 3 2 4" xfId="1383" xr:uid="{00000000-0005-0000-0000-0000DD1D0000}"/>
    <cellStyle name="入力 2 3 3 2 4 2" xfId="4347" xr:uid="{00000000-0005-0000-0000-0000DE1D0000}"/>
    <cellStyle name="入力 2 3 3 2 4 2 2" xfId="9881" xr:uid="{00000000-0005-0000-0000-0000DF1D0000}"/>
    <cellStyle name="入力 2 3 3 2 4 3" xfId="3849" xr:uid="{00000000-0005-0000-0000-0000E01D0000}"/>
    <cellStyle name="入力 2 3 3 2 4 3 2" xfId="9397" xr:uid="{00000000-0005-0000-0000-0000E11D0000}"/>
    <cellStyle name="入力 2 3 3 2 4 4" xfId="7101" xr:uid="{00000000-0005-0000-0000-0000E21D0000}"/>
    <cellStyle name="入力 2 3 3 2 5" xfId="6090" xr:uid="{00000000-0005-0000-0000-0000E31D0000}"/>
    <cellStyle name="入力 2 3 3 3" xfId="340" xr:uid="{00000000-0005-0000-0000-0000E41D0000}"/>
    <cellStyle name="入力 2 3 3 3 2" xfId="562" xr:uid="{00000000-0005-0000-0000-0000E51D0000}"/>
    <cellStyle name="入力 2 3 3 3 2 2" xfId="1071" xr:uid="{00000000-0005-0000-0000-0000E61D0000}"/>
    <cellStyle name="入力 2 3 3 3 2 2 2" xfId="2177" xr:uid="{00000000-0005-0000-0000-0000E71D0000}"/>
    <cellStyle name="入力 2 3 3 3 2 2 2 2" xfId="5086" xr:uid="{00000000-0005-0000-0000-0000E81D0000}"/>
    <cellStyle name="入力 2 3 3 3 2 2 2 2 2" xfId="10548" xr:uid="{00000000-0005-0000-0000-0000E91D0000}"/>
    <cellStyle name="入力 2 3 3 3 2 2 2 3" xfId="3850" xr:uid="{00000000-0005-0000-0000-0000EA1D0000}"/>
    <cellStyle name="入力 2 3 3 3 2 2 2 3 2" xfId="9398" xr:uid="{00000000-0005-0000-0000-0000EB1D0000}"/>
    <cellStyle name="入力 2 3 3 3 2 2 2 4" xfId="7823" xr:uid="{00000000-0005-0000-0000-0000EC1D0000}"/>
    <cellStyle name="入力 2 3 3 3 2 2 3" xfId="6814" xr:uid="{00000000-0005-0000-0000-0000ED1D0000}"/>
    <cellStyle name="入力 2 3 3 3 2 3" xfId="1670" xr:uid="{00000000-0005-0000-0000-0000EE1D0000}"/>
    <cellStyle name="入力 2 3 3 3 2 3 2" xfId="4634" xr:uid="{00000000-0005-0000-0000-0000EF1D0000}"/>
    <cellStyle name="入力 2 3 3 3 2 3 2 2" xfId="10140" xr:uid="{00000000-0005-0000-0000-0000F01D0000}"/>
    <cellStyle name="入力 2 3 3 3 2 3 3" xfId="3851" xr:uid="{00000000-0005-0000-0000-0000F11D0000}"/>
    <cellStyle name="入力 2 3 3 3 2 3 3 2" xfId="9399" xr:uid="{00000000-0005-0000-0000-0000F21D0000}"/>
    <cellStyle name="入力 2 3 3 3 2 3 4" xfId="7360" xr:uid="{00000000-0005-0000-0000-0000F31D0000}"/>
    <cellStyle name="入力 2 3 3 3 2 4" xfId="6349" xr:uid="{00000000-0005-0000-0000-0000F41D0000}"/>
    <cellStyle name="入力 2 3 3 3 3" xfId="849" xr:uid="{00000000-0005-0000-0000-0000F51D0000}"/>
    <cellStyle name="入力 2 3 3 3 3 2" xfId="1955" xr:uid="{00000000-0005-0000-0000-0000F61D0000}"/>
    <cellStyle name="入力 2 3 3 3 3 2 2" xfId="4864" xr:uid="{00000000-0005-0000-0000-0000F71D0000}"/>
    <cellStyle name="入力 2 3 3 3 3 2 2 2" xfId="10348" xr:uid="{00000000-0005-0000-0000-0000F81D0000}"/>
    <cellStyle name="入力 2 3 3 3 3 2 3" xfId="3852" xr:uid="{00000000-0005-0000-0000-0000F91D0000}"/>
    <cellStyle name="入力 2 3 3 3 3 2 3 2" xfId="9400" xr:uid="{00000000-0005-0000-0000-0000FA1D0000}"/>
    <cellStyle name="入力 2 3 3 3 3 2 4" xfId="7623" xr:uid="{00000000-0005-0000-0000-0000FB1D0000}"/>
    <cellStyle name="入力 2 3 3 3 3 3" xfId="6614" xr:uid="{00000000-0005-0000-0000-0000FC1D0000}"/>
    <cellStyle name="入力 2 3 3 3 4" xfId="1448" xr:uid="{00000000-0005-0000-0000-0000FD1D0000}"/>
    <cellStyle name="入力 2 3 3 3 4 2" xfId="4412" xr:uid="{00000000-0005-0000-0000-0000FE1D0000}"/>
    <cellStyle name="入力 2 3 3 3 4 2 2" xfId="9940" xr:uid="{00000000-0005-0000-0000-0000FF1D0000}"/>
    <cellStyle name="入力 2 3 3 3 4 3" xfId="3853" xr:uid="{00000000-0005-0000-0000-0000001E0000}"/>
    <cellStyle name="入力 2 3 3 3 4 3 2" xfId="9401" xr:uid="{00000000-0005-0000-0000-0000011E0000}"/>
    <cellStyle name="入力 2 3 3 3 4 4" xfId="7160" xr:uid="{00000000-0005-0000-0000-0000021E0000}"/>
    <cellStyle name="入力 2 3 3 3 5" xfId="6149" xr:uid="{00000000-0005-0000-0000-0000031E0000}"/>
    <cellStyle name="入力 2 3 3 4" xfId="426" xr:uid="{00000000-0005-0000-0000-0000041E0000}"/>
    <cellStyle name="入力 2 3 3 4 2" xfId="935" xr:uid="{00000000-0005-0000-0000-0000051E0000}"/>
    <cellStyle name="入力 2 3 3 4 2 2" xfId="2041" xr:uid="{00000000-0005-0000-0000-0000061E0000}"/>
    <cellStyle name="入力 2 3 3 4 2 2 2" xfId="4950" xr:uid="{00000000-0005-0000-0000-0000071E0000}"/>
    <cellStyle name="入力 2 3 3 4 2 2 2 2" xfId="10423" xr:uid="{00000000-0005-0000-0000-0000081E0000}"/>
    <cellStyle name="入力 2 3 3 4 2 2 3" xfId="3854" xr:uid="{00000000-0005-0000-0000-0000091E0000}"/>
    <cellStyle name="入力 2 3 3 4 2 2 3 2" xfId="9402" xr:uid="{00000000-0005-0000-0000-00000A1E0000}"/>
    <cellStyle name="入力 2 3 3 4 2 2 4" xfId="7698" xr:uid="{00000000-0005-0000-0000-00000B1E0000}"/>
    <cellStyle name="入力 2 3 3 4 2 3" xfId="6689" xr:uid="{00000000-0005-0000-0000-00000C1E0000}"/>
    <cellStyle name="入力 2 3 3 4 3" xfId="1534" xr:uid="{00000000-0005-0000-0000-00000D1E0000}"/>
    <cellStyle name="入力 2 3 3 4 3 2" xfId="4498" xr:uid="{00000000-0005-0000-0000-00000E1E0000}"/>
    <cellStyle name="入力 2 3 3 4 3 2 2" xfId="10015" xr:uid="{00000000-0005-0000-0000-00000F1E0000}"/>
    <cellStyle name="入力 2 3 3 4 3 3" xfId="3855" xr:uid="{00000000-0005-0000-0000-0000101E0000}"/>
    <cellStyle name="入力 2 3 3 4 3 3 2" xfId="9403" xr:uid="{00000000-0005-0000-0000-0000111E0000}"/>
    <cellStyle name="入力 2 3 3 4 3 4" xfId="7235" xr:uid="{00000000-0005-0000-0000-0000121E0000}"/>
    <cellStyle name="入力 2 3 3 4 4" xfId="6224" xr:uid="{00000000-0005-0000-0000-0000131E0000}"/>
    <cellStyle name="入力 2 3 3 5" xfId="713" xr:uid="{00000000-0005-0000-0000-0000141E0000}"/>
    <cellStyle name="入力 2 3 3 5 2" xfId="1819" xr:uid="{00000000-0005-0000-0000-0000151E0000}"/>
    <cellStyle name="入力 2 3 3 5 2 2" xfId="4728" xr:uid="{00000000-0005-0000-0000-0000161E0000}"/>
    <cellStyle name="入力 2 3 3 5 2 2 2" xfId="10223" xr:uid="{00000000-0005-0000-0000-0000171E0000}"/>
    <cellStyle name="入力 2 3 3 5 2 3" xfId="3856" xr:uid="{00000000-0005-0000-0000-0000181E0000}"/>
    <cellStyle name="入力 2 3 3 5 2 3 2" xfId="9404" xr:uid="{00000000-0005-0000-0000-0000191E0000}"/>
    <cellStyle name="入力 2 3 3 5 2 4" xfId="7498" xr:uid="{00000000-0005-0000-0000-00001A1E0000}"/>
    <cellStyle name="入力 2 3 3 5 3" xfId="6489" xr:uid="{00000000-0005-0000-0000-00001B1E0000}"/>
    <cellStyle name="入力 2 3 3 6" xfId="1312" xr:uid="{00000000-0005-0000-0000-00001C1E0000}"/>
    <cellStyle name="入力 2 3 3 6 2" xfId="4276" xr:uid="{00000000-0005-0000-0000-00001D1E0000}"/>
    <cellStyle name="入力 2 3 3 6 2 2" xfId="9815" xr:uid="{00000000-0005-0000-0000-00001E1E0000}"/>
    <cellStyle name="入力 2 3 3 6 3" xfId="3857" xr:uid="{00000000-0005-0000-0000-00001F1E0000}"/>
    <cellStyle name="入力 2 3 3 6 3 2" xfId="9405" xr:uid="{00000000-0005-0000-0000-0000201E0000}"/>
    <cellStyle name="入力 2 3 3 6 4" xfId="7035" xr:uid="{00000000-0005-0000-0000-0000211E0000}"/>
    <cellStyle name="入力 2 3 3 7" xfId="6024" xr:uid="{00000000-0005-0000-0000-0000221E0000}"/>
    <cellStyle name="入力 2 3 4" xfId="232" xr:uid="{00000000-0005-0000-0000-0000231E0000}"/>
    <cellStyle name="入力 2 3 4 2" xfId="454" xr:uid="{00000000-0005-0000-0000-0000241E0000}"/>
    <cellStyle name="入力 2 3 4 2 2" xfId="963" xr:uid="{00000000-0005-0000-0000-0000251E0000}"/>
    <cellStyle name="入力 2 3 4 2 2 2" xfId="2069" xr:uid="{00000000-0005-0000-0000-0000261E0000}"/>
    <cellStyle name="入力 2 3 4 2 2 2 2" xfId="4978" xr:uid="{00000000-0005-0000-0000-0000271E0000}"/>
    <cellStyle name="入力 2 3 4 2 2 2 2 2" xfId="10448" xr:uid="{00000000-0005-0000-0000-0000281E0000}"/>
    <cellStyle name="入力 2 3 4 2 2 2 3" xfId="3858" xr:uid="{00000000-0005-0000-0000-0000291E0000}"/>
    <cellStyle name="入力 2 3 4 2 2 2 3 2" xfId="9406" xr:uid="{00000000-0005-0000-0000-00002A1E0000}"/>
    <cellStyle name="入力 2 3 4 2 2 2 4" xfId="7723" xr:uid="{00000000-0005-0000-0000-00002B1E0000}"/>
    <cellStyle name="入力 2 3 4 2 2 3" xfId="6714" xr:uid="{00000000-0005-0000-0000-00002C1E0000}"/>
    <cellStyle name="入力 2 3 4 2 3" xfId="1562" xr:uid="{00000000-0005-0000-0000-00002D1E0000}"/>
    <cellStyle name="入力 2 3 4 2 3 2" xfId="4526" xr:uid="{00000000-0005-0000-0000-00002E1E0000}"/>
    <cellStyle name="入力 2 3 4 2 3 2 2" xfId="10040" xr:uid="{00000000-0005-0000-0000-00002F1E0000}"/>
    <cellStyle name="入力 2 3 4 2 3 3" xfId="3859" xr:uid="{00000000-0005-0000-0000-0000301E0000}"/>
    <cellStyle name="入力 2 3 4 2 3 3 2" xfId="9407" xr:uid="{00000000-0005-0000-0000-0000311E0000}"/>
    <cellStyle name="入力 2 3 4 2 3 4" xfId="7260" xr:uid="{00000000-0005-0000-0000-0000321E0000}"/>
    <cellStyle name="入力 2 3 4 2 4" xfId="6249" xr:uid="{00000000-0005-0000-0000-0000331E0000}"/>
    <cellStyle name="入力 2 3 4 3" xfId="741" xr:uid="{00000000-0005-0000-0000-0000341E0000}"/>
    <cellStyle name="入力 2 3 4 3 2" xfId="1847" xr:uid="{00000000-0005-0000-0000-0000351E0000}"/>
    <cellStyle name="入力 2 3 4 3 2 2" xfId="4756" xr:uid="{00000000-0005-0000-0000-0000361E0000}"/>
    <cellStyle name="入力 2 3 4 3 2 2 2" xfId="10248" xr:uid="{00000000-0005-0000-0000-0000371E0000}"/>
    <cellStyle name="入力 2 3 4 3 2 3" xfId="3860" xr:uid="{00000000-0005-0000-0000-0000381E0000}"/>
    <cellStyle name="入力 2 3 4 3 2 3 2" xfId="9408" xr:uid="{00000000-0005-0000-0000-0000391E0000}"/>
    <cellStyle name="入力 2 3 4 3 2 4" xfId="7523" xr:uid="{00000000-0005-0000-0000-00003A1E0000}"/>
    <cellStyle name="入力 2 3 4 3 3" xfId="6514" xr:uid="{00000000-0005-0000-0000-00003B1E0000}"/>
    <cellStyle name="入力 2 3 4 4" xfId="1340" xr:uid="{00000000-0005-0000-0000-00003C1E0000}"/>
    <cellStyle name="入力 2 3 4 4 2" xfId="4304" xr:uid="{00000000-0005-0000-0000-00003D1E0000}"/>
    <cellStyle name="入力 2 3 4 4 2 2" xfId="9840" xr:uid="{00000000-0005-0000-0000-00003E1E0000}"/>
    <cellStyle name="入力 2 3 4 4 3" xfId="3861" xr:uid="{00000000-0005-0000-0000-00003F1E0000}"/>
    <cellStyle name="入力 2 3 4 4 3 2" xfId="9409" xr:uid="{00000000-0005-0000-0000-0000401E0000}"/>
    <cellStyle name="入力 2 3 4 4 4" xfId="7060" xr:uid="{00000000-0005-0000-0000-0000411E0000}"/>
    <cellStyle name="入力 2 3 4 5" xfId="6049" xr:uid="{00000000-0005-0000-0000-0000421E0000}"/>
    <cellStyle name="入力 2 3 5" xfId="293" xr:uid="{00000000-0005-0000-0000-0000431E0000}"/>
    <cellStyle name="入力 2 3 5 2" xfId="515" xr:uid="{00000000-0005-0000-0000-0000441E0000}"/>
    <cellStyle name="入力 2 3 5 2 2" xfId="1024" xr:uid="{00000000-0005-0000-0000-0000451E0000}"/>
    <cellStyle name="入力 2 3 5 2 2 2" xfId="2130" xr:uid="{00000000-0005-0000-0000-0000461E0000}"/>
    <cellStyle name="入力 2 3 5 2 2 2 2" xfId="5039" xr:uid="{00000000-0005-0000-0000-0000471E0000}"/>
    <cellStyle name="入力 2 3 5 2 2 2 2 2" xfId="10507" xr:uid="{00000000-0005-0000-0000-0000481E0000}"/>
    <cellStyle name="入力 2 3 5 2 2 2 3" xfId="3862" xr:uid="{00000000-0005-0000-0000-0000491E0000}"/>
    <cellStyle name="入力 2 3 5 2 2 2 3 2" xfId="9410" xr:uid="{00000000-0005-0000-0000-00004A1E0000}"/>
    <cellStyle name="入力 2 3 5 2 2 2 4" xfId="7782" xr:uid="{00000000-0005-0000-0000-00004B1E0000}"/>
    <cellStyle name="入力 2 3 5 2 2 3" xfId="6773" xr:uid="{00000000-0005-0000-0000-00004C1E0000}"/>
    <cellStyle name="入力 2 3 5 2 3" xfId="1623" xr:uid="{00000000-0005-0000-0000-00004D1E0000}"/>
    <cellStyle name="入力 2 3 5 2 3 2" xfId="4587" xr:uid="{00000000-0005-0000-0000-00004E1E0000}"/>
    <cellStyle name="入力 2 3 5 2 3 2 2" xfId="10099" xr:uid="{00000000-0005-0000-0000-00004F1E0000}"/>
    <cellStyle name="入力 2 3 5 2 3 3" xfId="3863" xr:uid="{00000000-0005-0000-0000-0000501E0000}"/>
    <cellStyle name="入力 2 3 5 2 3 3 2" xfId="9411" xr:uid="{00000000-0005-0000-0000-0000511E0000}"/>
    <cellStyle name="入力 2 3 5 2 3 4" xfId="7319" xr:uid="{00000000-0005-0000-0000-0000521E0000}"/>
    <cellStyle name="入力 2 3 5 2 4" xfId="6308" xr:uid="{00000000-0005-0000-0000-0000531E0000}"/>
    <cellStyle name="入力 2 3 5 3" xfId="802" xr:uid="{00000000-0005-0000-0000-0000541E0000}"/>
    <cellStyle name="入力 2 3 5 3 2" xfId="1908" xr:uid="{00000000-0005-0000-0000-0000551E0000}"/>
    <cellStyle name="入力 2 3 5 3 2 2" xfId="4817" xr:uid="{00000000-0005-0000-0000-0000561E0000}"/>
    <cellStyle name="入力 2 3 5 3 2 2 2" xfId="10307" xr:uid="{00000000-0005-0000-0000-0000571E0000}"/>
    <cellStyle name="入力 2 3 5 3 2 3" xfId="3864" xr:uid="{00000000-0005-0000-0000-0000581E0000}"/>
    <cellStyle name="入力 2 3 5 3 2 3 2" xfId="9412" xr:uid="{00000000-0005-0000-0000-0000591E0000}"/>
    <cellStyle name="入力 2 3 5 3 2 4" xfId="7582" xr:uid="{00000000-0005-0000-0000-00005A1E0000}"/>
    <cellStyle name="入力 2 3 5 3 3" xfId="6573" xr:uid="{00000000-0005-0000-0000-00005B1E0000}"/>
    <cellStyle name="入力 2 3 5 4" xfId="1401" xr:uid="{00000000-0005-0000-0000-00005C1E0000}"/>
    <cellStyle name="入力 2 3 5 4 2" xfId="4365" xr:uid="{00000000-0005-0000-0000-00005D1E0000}"/>
    <cellStyle name="入力 2 3 5 4 2 2" xfId="9899" xr:uid="{00000000-0005-0000-0000-00005E1E0000}"/>
    <cellStyle name="入力 2 3 5 4 3" xfId="3865" xr:uid="{00000000-0005-0000-0000-00005F1E0000}"/>
    <cellStyle name="入力 2 3 5 4 3 2" xfId="9413" xr:uid="{00000000-0005-0000-0000-0000601E0000}"/>
    <cellStyle name="入力 2 3 5 4 4" xfId="7119" xr:uid="{00000000-0005-0000-0000-0000611E0000}"/>
    <cellStyle name="入力 2 3 5 5" xfId="6108" xr:uid="{00000000-0005-0000-0000-0000621E0000}"/>
    <cellStyle name="入力 2 3 6" xfId="376" xr:uid="{00000000-0005-0000-0000-0000631E0000}"/>
    <cellStyle name="入力 2 3 6 2" xfId="885" xr:uid="{00000000-0005-0000-0000-0000641E0000}"/>
    <cellStyle name="入力 2 3 6 2 2" xfId="1991" xr:uid="{00000000-0005-0000-0000-0000651E0000}"/>
    <cellStyle name="入力 2 3 6 2 2 2" xfId="4900" xr:uid="{00000000-0005-0000-0000-0000661E0000}"/>
    <cellStyle name="入力 2 3 6 2 2 2 2" xfId="10379" xr:uid="{00000000-0005-0000-0000-0000671E0000}"/>
    <cellStyle name="入力 2 3 6 2 2 3" xfId="3866" xr:uid="{00000000-0005-0000-0000-0000681E0000}"/>
    <cellStyle name="入力 2 3 6 2 2 3 2" xfId="9414" xr:uid="{00000000-0005-0000-0000-0000691E0000}"/>
    <cellStyle name="入力 2 3 6 2 2 4" xfId="7654" xr:uid="{00000000-0005-0000-0000-00006A1E0000}"/>
    <cellStyle name="入力 2 3 6 2 3" xfId="6645" xr:uid="{00000000-0005-0000-0000-00006B1E0000}"/>
    <cellStyle name="入力 2 3 6 3" xfId="1484" xr:uid="{00000000-0005-0000-0000-00006C1E0000}"/>
    <cellStyle name="入力 2 3 6 3 2" xfId="4448" xr:uid="{00000000-0005-0000-0000-00006D1E0000}"/>
    <cellStyle name="入力 2 3 6 3 2 2" xfId="9971" xr:uid="{00000000-0005-0000-0000-00006E1E0000}"/>
    <cellStyle name="入力 2 3 6 3 3" xfId="3867" xr:uid="{00000000-0005-0000-0000-00006F1E0000}"/>
    <cellStyle name="入力 2 3 6 3 3 2" xfId="9415" xr:uid="{00000000-0005-0000-0000-0000701E0000}"/>
    <cellStyle name="入力 2 3 6 3 4" xfId="7191" xr:uid="{00000000-0005-0000-0000-0000711E0000}"/>
    <cellStyle name="入力 2 3 6 4" xfId="6180" xr:uid="{00000000-0005-0000-0000-0000721E0000}"/>
    <cellStyle name="入力 2 3 7" xfId="661" xr:uid="{00000000-0005-0000-0000-0000731E0000}"/>
    <cellStyle name="入力 2 3 7 2" xfId="1767" xr:uid="{00000000-0005-0000-0000-0000741E0000}"/>
    <cellStyle name="入力 2 3 7 2 2" xfId="4676" xr:uid="{00000000-0005-0000-0000-0000751E0000}"/>
    <cellStyle name="入力 2 3 7 2 2 2" xfId="10177" xr:uid="{00000000-0005-0000-0000-0000761E0000}"/>
    <cellStyle name="入力 2 3 7 2 3" xfId="3868" xr:uid="{00000000-0005-0000-0000-0000771E0000}"/>
    <cellStyle name="入力 2 3 7 2 3 2" xfId="9416" xr:uid="{00000000-0005-0000-0000-0000781E0000}"/>
    <cellStyle name="入力 2 3 7 2 4" xfId="7452" xr:uid="{00000000-0005-0000-0000-0000791E0000}"/>
    <cellStyle name="入力 2 3 7 3" xfId="6443" xr:uid="{00000000-0005-0000-0000-00007A1E0000}"/>
    <cellStyle name="入力 2 3 8" xfId="1260" xr:uid="{00000000-0005-0000-0000-00007B1E0000}"/>
    <cellStyle name="入力 2 3 8 2" xfId="4224" xr:uid="{00000000-0005-0000-0000-00007C1E0000}"/>
    <cellStyle name="入力 2 3 8 2 2" xfId="9769" xr:uid="{00000000-0005-0000-0000-00007D1E0000}"/>
    <cellStyle name="入力 2 3 8 3" xfId="3869" xr:uid="{00000000-0005-0000-0000-00007E1E0000}"/>
    <cellStyle name="入力 2 3 8 3 2" xfId="9417" xr:uid="{00000000-0005-0000-0000-00007F1E0000}"/>
    <cellStyle name="入力 2 3 8 4" xfId="6989" xr:uid="{00000000-0005-0000-0000-0000801E0000}"/>
    <cellStyle name="入力 2 3 9" xfId="5977" xr:uid="{00000000-0005-0000-0000-0000811E0000}"/>
    <cellStyle name="入力 2 4" xfId="162" xr:uid="{00000000-0005-0000-0000-0000821E0000}"/>
    <cellStyle name="入力 2 4 2" xfId="193" xr:uid="{00000000-0005-0000-0000-0000831E0000}"/>
    <cellStyle name="入力 2 4 2 2" xfId="264" xr:uid="{00000000-0005-0000-0000-0000841E0000}"/>
    <cellStyle name="入力 2 4 2 2 2" xfId="486" xr:uid="{00000000-0005-0000-0000-0000851E0000}"/>
    <cellStyle name="入力 2 4 2 2 2 2" xfId="995" xr:uid="{00000000-0005-0000-0000-0000861E0000}"/>
    <cellStyle name="入力 2 4 2 2 2 2 2" xfId="2101" xr:uid="{00000000-0005-0000-0000-0000871E0000}"/>
    <cellStyle name="入力 2 4 2 2 2 2 2 2" xfId="5010" xr:uid="{00000000-0005-0000-0000-0000881E0000}"/>
    <cellStyle name="入力 2 4 2 2 2 2 2 2 2" xfId="10479" xr:uid="{00000000-0005-0000-0000-0000891E0000}"/>
    <cellStyle name="入力 2 4 2 2 2 2 2 3" xfId="3870" xr:uid="{00000000-0005-0000-0000-00008A1E0000}"/>
    <cellStyle name="入力 2 4 2 2 2 2 2 3 2" xfId="9418" xr:uid="{00000000-0005-0000-0000-00008B1E0000}"/>
    <cellStyle name="入力 2 4 2 2 2 2 2 4" xfId="7754" xr:uid="{00000000-0005-0000-0000-00008C1E0000}"/>
    <cellStyle name="入力 2 4 2 2 2 2 3" xfId="6745" xr:uid="{00000000-0005-0000-0000-00008D1E0000}"/>
    <cellStyle name="入力 2 4 2 2 2 3" xfId="1594" xr:uid="{00000000-0005-0000-0000-00008E1E0000}"/>
    <cellStyle name="入力 2 4 2 2 2 3 2" xfId="4558" xr:uid="{00000000-0005-0000-0000-00008F1E0000}"/>
    <cellStyle name="入力 2 4 2 2 2 3 2 2" xfId="10071" xr:uid="{00000000-0005-0000-0000-0000901E0000}"/>
    <cellStyle name="入力 2 4 2 2 2 3 3" xfId="3871" xr:uid="{00000000-0005-0000-0000-0000911E0000}"/>
    <cellStyle name="入力 2 4 2 2 2 3 3 2" xfId="9419" xr:uid="{00000000-0005-0000-0000-0000921E0000}"/>
    <cellStyle name="入力 2 4 2 2 2 3 4" xfId="7291" xr:uid="{00000000-0005-0000-0000-0000931E0000}"/>
    <cellStyle name="入力 2 4 2 2 2 4" xfId="6280" xr:uid="{00000000-0005-0000-0000-0000941E0000}"/>
    <cellStyle name="入力 2 4 2 2 3" xfId="773" xr:uid="{00000000-0005-0000-0000-0000951E0000}"/>
    <cellStyle name="入力 2 4 2 2 3 2" xfId="1879" xr:uid="{00000000-0005-0000-0000-0000961E0000}"/>
    <cellStyle name="入力 2 4 2 2 3 2 2" xfId="4788" xr:uid="{00000000-0005-0000-0000-0000971E0000}"/>
    <cellStyle name="入力 2 4 2 2 3 2 2 2" xfId="10279" xr:uid="{00000000-0005-0000-0000-0000981E0000}"/>
    <cellStyle name="入力 2 4 2 2 3 2 3" xfId="3872" xr:uid="{00000000-0005-0000-0000-0000991E0000}"/>
    <cellStyle name="入力 2 4 2 2 3 2 3 2" xfId="9420" xr:uid="{00000000-0005-0000-0000-00009A1E0000}"/>
    <cellStyle name="入力 2 4 2 2 3 2 4" xfId="7554" xr:uid="{00000000-0005-0000-0000-00009B1E0000}"/>
    <cellStyle name="入力 2 4 2 2 3 3" xfId="6545" xr:uid="{00000000-0005-0000-0000-00009C1E0000}"/>
    <cellStyle name="入力 2 4 2 2 4" xfId="1372" xr:uid="{00000000-0005-0000-0000-00009D1E0000}"/>
    <cellStyle name="入力 2 4 2 2 4 2" xfId="4336" xr:uid="{00000000-0005-0000-0000-00009E1E0000}"/>
    <cellStyle name="入力 2 4 2 2 4 2 2" xfId="9871" xr:uid="{00000000-0005-0000-0000-00009F1E0000}"/>
    <cellStyle name="入力 2 4 2 2 4 3" xfId="3873" xr:uid="{00000000-0005-0000-0000-0000A01E0000}"/>
    <cellStyle name="入力 2 4 2 2 4 3 2" xfId="9421" xr:uid="{00000000-0005-0000-0000-0000A11E0000}"/>
    <cellStyle name="入力 2 4 2 2 4 4" xfId="7091" xr:uid="{00000000-0005-0000-0000-0000A21E0000}"/>
    <cellStyle name="入力 2 4 2 2 5" xfId="6080" xr:uid="{00000000-0005-0000-0000-0000A31E0000}"/>
    <cellStyle name="入力 2 4 2 3" xfId="329" xr:uid="{00000000-0005-0000-0000-0000A41E0000}"/>
    <cellStyle name="入力 2 4 2 3 2" xfId="551" xr:uid="{00000000-0005-0000-0000-0000A51E0000}"/>
    <cellStyle name="入力 2 4 2 3 2 2" xfId="1060" xr:uid="{00000000-0005-0000-0000-0000A61E0000}"/>
    <cellStyle name="入力 2 4 2 3 2 2 2" xfId="2166" xr:uid="{00000000-0005-0000-0000-0000A71E0000}"/>
    <cellStyle name="入力 2 4 2 3 2 2 2 2" xfId="5075" xr:uid="{00000000-0005-0000-0000-0000A81E0000}"/>
    <cellStyle name="入力 2 4 2 3 2 2 2 2 2" xfId="10538" xr:uid="{00000000-0005-0000-0000-0000A91E0000}"/>
    <cellStyle name="入力 2 4 2 3 2 2 2 3" xfId="3874" xr:uid="{00000000-0005-0000-0000-0000AA1E0000}"/>
    <cellStyle name="入力 2 4 2 3 2 2 2 3 2" xfId="9422" xr:uid="{00000000-0005-0000-0000-0000AB1E0000}"/>
    <cellStyle name="入力 2 4 2 3 2 2 2 4" xfId="7813" xr:uid="{00000000-0005-0000-0000-0000AC1E0000}"/>
    <cellStyle name="入力 2 4 2 3 2 2 3" xfId="6804" xr:uid="{00000000-0005-0000-0000-0000AD1E0000}"/>
    <cellStyle name="入力 2 4 2 3 2 3" xfId="1659" xr:uid="{00000000-0005-0000-0000-0000AE1E0000}"/>
    <cellStyle name="入力 2 4 2 3 2 3 2" xfId="4623" xr:uid="{00000000-0005-0000-0000-0000AF1E0000}"/>
    <cellStyle name="入力 2 4 2 3 2 3 2 2" xfId="10130" xr:uid="{00000000-0005-0000-0000-0000B01E0000}"/>
    <cellStyle name="入力 2 4 2 3 2 3 3" xfId="3875" xr:uid="{00000000-0005-0000-0000-0000B11E0000}"/>
    <cellStyle name="入力 2 4 2 3 2 3 3 2" xfId="9423" xr:uid="{00000000-0005-0000-0000-0000B21E0000}"/>
    <cellStyle name="入力 2 4 2 3 2 3 4" xfId="7350" xr:uid="{00000000-0005-0000-0000-0000B31E0000}"/>
    <cellStyle name="入力 2 4 2 3 2 4" xfId="6339" xr:uid="{00000000-0005-0000-0000-0000B41E0000}"/>
    <cellStyle name="入力 2 4 2 3 3" xfId="838" xr:uid="{00000000-0005-0000-0000-0000B51E0000}"/>
    <cellStyle name="入力 2 4 2 3 3 2" xfId="1944" xr:uid="{00000000-0005-0000-0000-0000B61E0000}"/>
    <cellStyle name="入力 2 4 2 3 3 2 2" xfId="4853" xr:uid="{00000000-0005-0000-0000-0000B71E0000}"/>
    <cellStyle name="入力 2 4 2 3 3 2 2 2" xfId="10338" xr:uid="{00000000-0005-0000-0000-0000B81E0000}"/>
    <cellStyle name="入力 2 4 2 3 3 2 3" xfId="3876" xr:uid="{00000000-0005-0000-0000-0000B91E0000}"/>
    <cellStyle name="入力 2 4 2 3 3 2 3 2" xfId="9424" xr:uid="{00000000-0005-0000-0000-0000BA1E0000}"/>
    <cellStyle name="入力 2 4 2 3 3 2 4" xfId="7613" xr:uid="{00000000-0005-0000-0000-0000BB1E0000}"/>
    <cellStyle name="入力 2 4 2 3 3 3" xfId="6604" xr:uid="{00000000-0005-0000-0000-0000BC1E0000}"/>
    <cellStyle name="入力 2 4 2 3 4" xfId="1437" xr:uid="{00000000-0005-0000-0000-0000BD1E0000}"/>
    <cellStyle name="入力 2 4 2 3 4 2" xfId="4401" xr:uid="{00000000-0005-0000-0000-0000BE1E0000}"/>
    <cellStyle name="入力 2 4 2 3 4 2 2" xfId="9930" xr:uid="{00000000-0005-0000-0000-0000BF1E0000}"/>
    <cellStyle name="入力 2 4 2 3 4 3" xfId="3877" xr:uid="{00000000-0005-0000-0000-0000C01E0000}"/>
    <cellStyle name="入力 2 4 2 3 4 3 2" xfId="9425" xr:uid="{00000000-0005-0000-0000-0000C11E0000}"/>
    <cellStyle name="入力 2 4 2 3 4 4" xfId="7150" xr:uid="{00000000-0005-0000-0000-0000C21E0000}"/>
    <cellStyle name="入力 2 4 2 3 5" xfId="6139" xr:uid="{00000000-0005-0000-0000-0000C31E0000}"/>
    <cellStyle name="入力 2 4 2 4" xfId="415" xr:uid="{00000000-0005-0000-0000-0000C41E0000}"/>
    <cellStyle name="入力 2 4 2 4 2" xfId="924" xr:uid="{00000000-0005-0000-0000-0000C51E0000}"/>
    <cellStyle name="入力 2 4 2 4 2 2" xfId="2030" xr:uid="{00000000-0005-0000-0000-0000C61E0000}"/>
    <cellStyle name="入力 2 4 2 4 2 2 2" xfId="4939" xr:uid="{00000000-0005-0000-0000-0000C71E0000}"/>
    <cellStyle name="入力 2 4 2 4 2 2 2 2" xfId="10413" xr:uid="{00000000-0005-0000-0000-0000C81E0000}"/>
    <cellStyle name="入力 2 4 2 4 2 2 3" xfId="3878" xr:uid="{00000000-0005-0000-0000-0000C91E0000}"/>
    <cellStyle name="入力 2 4 2 4 2 2 3 2" xfId="9426" xr:uid="{00000000-0005-0000-0000-0000CA1E0000}"/>
    <cellStyle name="入力 2 4 2 4 2 2 4" xfId="7688" xr:uid="{00000000-0005-0000-0000-0000CB1E0000}"/>
    <cellStyle name="入力 2 4 2 4 2 3" xfId="6679" xr:uid="{00000000-0005-0000-0000-0000CC1E0000}"/>
    <cellStyle name="入力 2 4 2 4 3" xfId="1523" xr:uid="{00000000-0005-0000-0000-0000CD1E0000}"/>
    <cellStyle name="入力 2 4 2 4 3 2" xfId="4487" xr:uid="{00000000-0005-0000-0000-0000CE1E0000}"/>
    <cellStyle name="入力 2 4 2 4 3 2 2" xfId="10005" xr:uid="{00000000-0005-0000-0000-0000CF1E0000}"/>
    <cellStyle name="入力 2 4 2 4 3 3" xfId="3879" xr:uid="{00000000-0005-0000-0000-0000D01E0000}"/>
    <cellStyle name="入力 2 4 2 4 3 3 2" xfId="9427" xr:uid="{00000000-0005-0000-0000-0000D11E0000}"/>
    <cellStyle name="入力 2 4 2 4 3 4" xfId="7225" xr:uid="{00000000-0005-0000-0000-0000D21E0000}"/>
    <cellStyle name="入力 2 4 2 4 4" xfId="6214" xr:uid="{00000000-0005-0000-0000-0000D31E0000}"/>
    <cellStyle name="入力 2 4 2 5" xfId="702" xr:uid="{00000000-0005-0000-0000-0000D41E0000}"/>
    <cellStyle name="入力 2 4 2 5 2" xfId="1808" xr:uid="{00000000-0005-0000-0000-0000D51E0000}"/>
    <cellStyle name="入力 2 4 2 5 2 2" xfId="4717" xr:uid="{00000000-0005-0000-0000-0000D61E0000}"/>
    <cellStyle name="入力 2 4 2 5 2 2 2" xfId="10213" xr:uid="{00000000-0005-0000-0000-0000D71E0000}"/>
    <cellStyle name="入力 2 4 2 5 2 3" xfId="3880" xr:uid="{00000000-0005-0000-0000-0000D81E0000}"/>
    <cellStyle name="入力 2 4 2 5 2 3 2" xfId="9428" xr:uid="{00000000-0005-0000-0000-0000D91E0000}"/>
    <cellStyle name="入力 2 4 2 5 2 4" xfId="7488" xr:uid="{00000000-0005-0000-0000-0000DA1E0000}"/>
    <cellStyle name="入力 2 4 2 5 3" xfId="6479" xr:uid="{00000000-0005-0000-0000-0000DB1E0000}"/>
    <cellStyle name="入力 2 4 2 6" xfId="1301" xr:uid="{00000000-0005-0000-0000-0000DC1E0000}"/>
    <cellStyle name="入力 2 4 2 6 2" xfId="4265" xr:uid="{00000000-0005-0000-0000-0000DD1E0000}"/>
    <cellStyle name="入力 2 4 2 6 2 2" xfId="9805" xr:uid="{00000000-0005-0000-0000-0000DE1E0000}"/>
    <cellStyle name="入力 2 4 2 6 3" xfId="3881" xr:uid="{00000000-0005-0000-0000-0000DF1E0000}"/>
    <cellStyle name="入力 2 4 2 6 3 2" xfId="9429" xr:uid="{00000000-0005-0000-0000-0000E01E0000}"/>
    <cellStyle name="入力 2 4 2 6 4" xfId="7025" xr:uid="{00000000-0005-0000-0000-0000E11E0000}"/>
    <cellStyle name="入力 2 4 2 7" xfId="6014" xr:uid="{00000000-0005-0000-0000-0000E21E0000}"/>
    <cellStyle name="入力 2 4 3" xfId="214" xr:uid="{00000000-0005-0000-0000-0000E31E0000}"/>
    <cellStyle name="入力 2 4 3 2" xfId="283" xr:uid="{00000000-0005-0000-0000-0000E41E0000}"/>
    <cellStyle name="入力 2 4 3 2 2" xfId="505" xr:uid="{00000000-0005-0000-0000-0000E51E0000}"/>
    <cellStyle name="入力 2 4 3 2 2 2" xfId="1014" xr:uid="{00000000-0005-0000-0000-0000E61E0000}"/>
    <cellStyle name="入力 2 4 3 2 2 2 2" xfId="2120" xr:uid="{00000000-0005-0000-0000-0000E71E0000}"/>
    <cellStyle name="入力 2 4 3 2 2 2 2 2" xfId="5029" xr:uid="{00000000-0005-0000-0000-0000E81E0000}"/>
    <cellStyle name="入力 2 4 3 2 2 2 2 2 2" xfId="10497" xr:uid="{00000000-0005-0000-0000-0000E91E0000}"/>
    <cellStyle name="入力 2 4 3 2 2 2 2 3" xfId="3882" xr:uid="{00000000-0005-0000-0000-0000EA1E0000}"/>
    <cellStyle name="入力 2 4 3 2 2 2 2 3 2" xfId="9430" xr:uid="{00000000-0005-0000-0000-0000EB1E0000}"/>
    <cellStyle name="入力 2 4 3 2 2 2 2 4" xfId="7772" xr:uid="{00000000-0005-0000-0000-0000EC1E0000}"/>
    <cellStyle name="入力 2 4 3 2 2 2 3" xfId="6763" xr:uid="{00000000-0005-0000-0000-0000ED1E0000}"/>
    <cellStyle name="入力 2 4 3 2 2 3" xfId="1613" xr:uid="{00000000-0005-0000-0000-0000EE1E0000}"/>
    <cellStyle name="入力 2 4 3 2 2 3 2" xfId="4577" xr:uid="{00000000-0005-0000-0000-0000EF1E0000}"/>
    <cellStyle name="入力 2 4 3 2 2 3 2 2" xfId="10089" xr:uid="{00000000-0005-0000-0000-0000F01E0000}"/>
    <cellStyle name="入力 2 4 3 2 2 3 3" xfId="3883" xr:uid="{00000000-0005-0000-0000-0000F11E0000}"/>
    <cellStyle name="入力 2 4 3 2 2 3 3 2" xfId="9431" xr:uid="{00000000-0005-0000-0000-0000F21E0000}"/>
    <cellStyle name="入力 2 4 3 2 2 3 4" xfId="7309" xr:uid="{00000000-0005-0000-0000-0000F31E0000}"/>
    <cellStyle name="入力 2 4 3 2 2 4" xfId="6298" xr:uid="{00000000-0005-0000-0000-0000F41E0000}"/>
    <cellStyle name="入力 2 4 3 2 3" xfId="792" xr:uid="{00000000-0005-0000-0000-0000F51E0000}"/>
    <cellStyle name="入力 2 4 3 2 3 2" xfId="1898" xr:uid="{00000000-0005-0000-0000-0000F61E0000}"/>
    <cellStyle name="入力 2 4 3 2 3 2 2" xfId="4807" xr:uid="{00000000-0005-0000-0000-0000F71E0000}"/>
    <cellStyle name="入力 2 4 3 2 3 2 2 2" xfId="10297" xr:uid="{00000000-0005-0000-0000-0000F81E0000}"/>
    <cellStyle name="入力 2 4 3 2 3 2 3" xfId="3884" xr:uid="{00000000-0005-0000-0000-0000F91E0000}"/>
    <cellStyle name="入力 2 4 3 2 3 2 3 2" xfId="9432" xr:uid="{00000000-0005-0000-0000-0000FA1E0000}"/>
    <cellStyle name="入力 2 4 3 2 3 2 4" xfId="7572" xr:uid="{00000000-0005-0000-0000-0000FB1E0000}"/>
    <cellStyle name="入力 2 4 3 2 3 3" xfId="6563" xr:uid="{00000000-0005-0000-0000-0000FC1E0000}"/>
    <cellStyle name="入力 2 4 3 2 4" xfId="1391" xr:uid="{00000000-0005-0000-0000-0000FD1E0000}"/>
    <cellStyle name="入力 2 4 3 2 4 2" xfId="4355" xr:uid="{00000000-0005-0000-0000-0000FE1E0000}"/>
    <cellStyle name="入力 2 4 3 2 4 2 2" xfId="9889" xr:uid="{00000000-0005-0000-0000-0000FF1E0000}"/>
    <cellStyle name="入力 2 4 3 2 4 3" xfId="3885" xr:uid="{00000000-0005-0000-0000-0000001F0000}"/>
    <cellStyle name="入力 2 4 3 2 4 3 2" xfId="9433" xr:uid="{00000000-0005-0000-0000-0000011F0000}"/>
    <cellStyle name="入力 2 4 3 2 4 4" xfId="7109" xr:uid="{00000000-0005-0000-0000-0000021F0000}"/>
    <cellStyle name="入力 2 4 3 2 5" xfId="6098" xr:uid="{00000000-0005-0000-0000-0000031F0000}"/>
    <cellStyle name="入力 2 4 3 3" xfId="350" xr:uid="{00000000-0005-0000-0000-0000041F0000}"/>
    <cellStyle name="入力 2 4 3 3 2" xfId="572" xr:uid="{00000000-0005-0000-0000-0000051F0000}"/>
    <cellStyle name="入力 2 4 3 3 2 2" xfId="1081" xr:uid="{00000000-0005-0000-0000-0000061F0000}"/>
    <cellStyle name="入力 2 4 3 3 2 2 2" xfId="2187" xr:uid="{00000000-0005-0000-0000-0000071F0000}"/>
    <cellStyle name="入力 2 4 3 3 2 2 2 2" xfId="5096" xr:uid="{00000000-0005-0000-0000-0000081F0000}"/>
    <cellStyle name="入力 2 4 3 3 2 2 2 2 2" xfId="10556" xr:uid="{00000000-0005-0000-0000-0000091F0000}"/>
    <cellStyle name="入力 2 4 3 3 2 2 2 3" xfId="3886" xr:uid="{00000000-0005-0000-0000-00000A1F0000}"/>
    <cellStyle name="入力 2 4 3 3 2 2 2 3 2" xfId="9434" xr:uid="{00000000-0005-0000-0000-00000B1F0000}"/>
    <cellStyle name="入力 2 4 3 3 2 2 2 4" xfId="7831" xr:uid="{00000000-0005-0000-0000-00000C1F0000}"/>
    <cellStyle name="入力 2 4 3 3 2 2 3" xfId="6822" xr:uid="{00000000-0005-0000-0000-00000D1F0000}"/>
    <cellStyle name="入力 2 4 3 3 2 3" xfId="1680" xr:uid="{00000000-0005-0000-0000-00000E1F0000}"/>
    <cellStyle name="入力 2 4 3 3 2 3 2" xfId="4644" xr:uid="{00000000-0005-0000-0000-00000F1F0000}"/>
    <cellStyle name="入力 2 4 3 3 2 3 2 2" xfId="10148" xr:uid="{00000000-0005-0000-0000-0000101F0000}"/>
    <cellStyle name="入力 2 4 3 3 2 3 3" xfId="3887" xr:uid="{00000000-0005-0000-0000-0000111F0000}"/>
    <cellStyle name="入力 2 4 3 3 2 3 3 2" xfId="9435" xr:uid="{00000000-0005-0000-0000-0000121F0000}"/>
    <cellStyle name="入力 2 4 3 3 2 3 4" xfId="7368" xr:uid="{00000000-0005-0000-0000-0000131F0000}"/>
    <cellStyle name="入力 2 4 3 3 2 4" xfId="6357" xr:uid="{00000000-0005-0000-0000-0000141F0000}"/>
    <cellStyle name="入力 2 4 3 3 3" xfId="859" xr:uid="{00000000-0005-0000-0000-0000151F0000}"/>
    <cellStyle name="入力 2 4 3 3 3 2" xfId="1965" xr:uid="{00000000-0005-0000-0000-0000161F0000}"/>
    <cellStyle name="入力 2 4 3 3 3 2 2" xfId="4874" xr:uid="{00000000-0005-0000-0000-0000171F0000}"/>
    <cellStyle name="入力 2 4 3 3 3 2 2 2" xfId="10356" xr:uid="{00000000-0005-0000-0000-0000181F0000}"/>
    <cellStyle name="入力 2 4 3 3 3 2 3" xfId="3888" xr:uid="{00000000-0005-0000-0000-0000191F0000}"/>
    <cellStyle name="入力 2 4 3 3 3 2 3 2" xfId="9436" xr:uid="{00000000-0005-0000-0000-00001A1F0000}"/>
    <cellStyle name="入力 2 4 3 3 3 2 4" xfId="7631" xr:uid="{00000000-0005-0000-0000-00001B1F0000}"/>
    <cellStyle name="入力 2 4 3 3 3 3" xfId="6622" xr:uid="{00000000-0005-0000-0000-00001C1F0000}"/>
    <cellStyle name="入力 2 4 3 3 4" xfId="1458" xr:uid="{00000000-0005-0000-0000-00001D1F0000}"/>
    <cellStyle name="入力 2 4 3 3 4 2" xfId="4422" xr:uid="{00000000-0005-0000-0000-00001E1F0000}"/>
    <cellStyle name="入力 2 4 3 3 4 2 2" xfId="9948" xr:uid="{00000000-0005-0000-0000-00001F1F0000}"/>
    <cellStyle name="入力 2 4 3 3 4 3" xfId="3889" xr:uid="{00000000-0005-0000-0000-0000201F0000}"/>
    <cellStyle name="入力 2 4 3 3 4 3 2" xfId="9437" xr:uid="{00000000-0005-0000-0000-0000211F0000}"/>
    <cellStyle name="入力 2 4 3 3 4 4" xfId="7168" xr:uid="{00000000-0005-0000-0000-0000221F0000}"/>
    <cellStyle name="入力 2 4 3 3 5" xfId="6157" xr:uid="{00000000-0005-0000-0000-0000231F0000}"/>
    <cellStyle name="入力 2 4 3 4" xfId="436" xr:uid="{00000000-0005-0000-0000-0000241F0000}"/>
    <cellStyle name="入力 2 4 3 4 2" xfId="945" xr:uid="{00000000-0005-0000-0000-0000251F0000}"/>
    <cellStyle name="入力 2 4 3 4 2 2" xfId="2051" xr:uid="{00000000-0005-0000-0000-0000261F0000}"/>
    <cellStyle name="入力 2 4 3 4 2 2 2" xfId="4960" xr:uid="{00000000-0005-0000-0000-0000271F0000}"/>
    <cellStyle name="入力 2 4 3 4 2 2 2 2" xfId="10431" xr:uid="{00000000-0005-0000-0000-0000281F0000}"/>
    <cellStyle name="入力 2 4 3 4 2 2 3" xfId="3890" xr:uid="{00000000-0005-0000-0000-0000291F0000}"/>
    <cellStyle name="入力 2 4 3 4 2 2 3 2" xfId="9438" xr:uid="{00000000-0005-0000-0000-00002A1F0000}"/>
    <cellStyle name="入力 2 4 3 4 2 2 4" xfId="7706" xr:uid="{00000000-0005-0000-0000-00002B1F0000}"/>
    <cellStyle name="入力 2 4 3 4 2 3" xfId="6697" xr:uid="{00000000-0005-0000-0000-00002C1F0000}"/>
    <cellStyle name="入力 2 4 3 4 3" xfId="1544" xr:uid="{00000000-0005-0000-0000-00002D1F0000}"/>
    <cellStyle name="入力 2 4 3 4 3 2" xfId="4508" xr:uid="{00000000-0005-0000-0000-00002E1F0000}"/>
    <cellStyle name="入力 2 4 3 4 3 2 2" xfId="10023" xr:uid="{00000000-0005-0000-0000-00002F1F0000}"/>
    <cellStyle name="入力 2 4 3 4 3 3" xfId="3891" xr:uid="{00000000-0005-0000-0000-0000301F0000}"/>
    <cellStyle name="入力 2 4 3 4 3 3 2" xfId="9439" xr:uid="{00000000-0005-0000-0000-0000311F0000}"/>
    <cellStyle name="入力 2 4 3 4 3 4" xfId="7243" xr:uid="{00000000-0005-0000-0000-0000321F0000}"/>
    <cellStyle name="入力 2 4 3 4 4" xfId="6232" xr:uid="{00000000-0005-0000-0000-0000331F0000}"/>
    <cellStyle name="入力 2 4 3 5" xfId="723" xr:uid="{00000000-0005-0000-0000-0000341F0000}"/>
    <cellStyle name="入力 2 4 3 5 2" xfId="1829" xr:uid="{00000000-0005-0000-0000-0000351F0000}"/>
    <cellStyle name="入力 2 4 3 5 2 2" xfId="4738" xr:uid="{00000000-0005-0000-0000-0000361F0000}"/>
    <cellStyle name="入力 2 4 3 5 2 2 2" xfId="10231" xr:uid="{00000000-0005-0000-0000-0000371F0000}"/>
    <cellStyle name="入力 2 4 3 5 2 3" xfId="3892" xr:uid="{00000000-0005-0000-0000-0000381F0000}"/>
    <cellStyle name="入力 2 4 3 5 2 3 2" xfId="9440" xr:uid="{00000000-0005-0000-0000-0000391F0000}"/>
    <cellStyle name="入力 2 4 3 5 2 4" xfId="7506" xr:uid="{00000000-0005-0000-0000-00003A1F0000}"/>
    <cellStyle name="入力 2 4 3 5 3" xfId="6497" xr:uid="{00000000-0005-0000-0000-00003B1F0000}"/>
    <cellStyle name="入力 2 4 3 6" xfId="1322" xr:uid="{00000000-0005-0000-0000-00003C1F0000}"/>
    <cellStyle name="入力 2 4 3 6 2" xfId="4286" xr:uid="{00000000-0005-0000-0000-00003D1F0000}"/>
    <cellStyle name="入力 2 4 3 6 2 2" xfId="9823" xr:uid="{00000000-0005-0000-0000-00003E1F0000}"/>
    <cellStyle name="入力 2 4 3 6 3" xfId="3893" xr:uid="{00000000-0005-0000-0000-00003F1F0000}"/>
    <cellStyle name="入力 2 4 3 6 3 2" xfId="9441" xr:uid="{00000000-0005-0000-0000-0000401F0000}"/>
    <cellStyle name="入力 2 4 3 6 4" xfId="7043" xr:uid="{00000000-0005-0000-0000-0000411F0000}"/>
    <cellStyle name="入力 2 4 3 7" xfId="6032" xr:uid="{00000000-0005-0000-0000-0000421F0000}"/>
    <cellStyle name="入力 2 4 4" xfId="240" xr:uid="{00000000-0005-0000-0000-0000431F0000}"/>
    <cellStyle name="入力 2 4 4 2" xfId="462" xr:uid="{00000000-0005-0000-0000-0000441F0000}"/>
    <cellStyle name="入力 2 4 4 2 2" xfId="971" xr:uid="{00000000-0005-0000-0000-0000451F0000}"/>
    <cellStyle name="入力 2 4 4 2 2 2" xfId="2077" xr:uid="{00000000-0005-0000-0000-0000461F0000}"/>
    <cellStyle name="入力 2 4 4 2 2 2 2" xfId="4986" xr:uid="{00000000-0005-0000-0000-0000471F0000}"/>
    <cellStyle name="入力 2 4 4 2 2 2 2 2" xfId="10456" xr:uid="{00000000-0005-0000-0000-0000481F0000}"/>
    <cellStyle name="入力 2 4 4 2 2 2 3" xfId="3894" xr:uid="{00000000-0005-0000-0000-0000491F0000}"/>
    <cellStyle name="入力 2 4 4 2 2 2 3 2" xfId="9442" xr:uid="{00000000-0005-0000-0000-00004A1F0000}"/>
    <cellStyle name="入力 2 4 4 2 2 2 4" xfId="7731" xr:uid="{00000000-0005-0000-0000-00004B1F0000}"/>
    <cellStyle name="入力 2 4 4 2 2 3" xfId="6722" xr:uid="{00000000-0005-0000-0000-00004C1F0000}"/>
    <cellStyle name="入力 2 4 4 2 3" xfId="1570" xr:uid="{00000000-0005-0000-0000-00004D1F0000}"/>
    <cellStyle name="入力 2 4 4 2 3 2" xfId="4534" xr:uid="{00000000-0005-0000-0000-00004E1F0000}"/>
    <cellStyle name="入力 2 4 4 2 3 2 2" xfId="10048" xr:uid="{00000000-0005-0000-0000-00004F1F0000}"/>
    <cellStyle name="入力 2 4 4 2 3 3" xfId="3895" xr:uid="{00000000-0005-0000-0000-0000501F0000}"/>
    <cellStyle name="入力 2 4 4 2 3 3 2" xfId="9443" xr:uid="{00000000-0005-0000-0000-0000511F0000}"/>
    <cellStyle name="入力 2 4 4 2 3 4" xfId="7268" xr:uid="{00000000-0005-0000-0000-0000521F0000}"/>
    <cellStyle name="入力 2 4 4 2 4" xfId="6257" xr:uid="{00000000-0005-0000-0000-0000531F0000}"/>
    <cellStyle name="入力 2 4 4 3" xfId="749" xr:uid="{00000000-0005-0000-0000-0000541F0000}"/>
    <cellStyle name="入力 2 4 4 3 2" xfId="1855" xr:uid="{00000000-0005-0000-0000-0000551F0000}"/>
    <cellStyle name="入力 2 4 4 3 2 2" xfId="4764" xr:uid="{00000000-0005-0000-0000-0000561F0000}"/>
    <cellStyle name="入力 2 4 4 3 2 2 2" xfId="10256" xr:uid="{00000000-0005-0000-0000-0000571F0000}"/>
    <cellStyle name="入力 2 4 4 3 2 3" xfId="3896" xr:uid="{00000000-0005-0000-0000-0000581F0000}"/>
    <cellStyle name="入力 2 4 4 3 2 3 2" xfId="9444" xr:uid="{00000000-0005-0000-0000-0000591F0000}"/>
    <cellStyle name="入力 2 4 4 3 2 4" xfId="7531" xr:uid="{00000000-0005-0000-0000-00005A1F0000}"/>
    <cellStyle name="入力 2 4 4 3 3" xfId="6522" xr:uid="{00000000-0005-0000-0000-00005B1F0000}"/>
    <cellStyle name="入力 2 4 4 4" xfId="1348" xr:uid="{00000000-0005-0000-0000-00005C1F0000}"/>
    <cellStyle name="入力 2 4 4 4 2" xfId="4312" xr:uid="{00000000-0005-0000-0000-00005D1F0000}"/>
    <cellStyle name="入力 2 4 4 4 2 2" xfId="9848" xr:uid="{00000000-0005-0000-0000-00005E1F0000}"/>
    <cellStyle name="入力 2 4 4 4 3" xfId="3897" xr:uid="{00000000-0005-0000-0000-00005F1F0000}"/>
    <cellStyle name="入力 2 4 4 4 3 2" xfId="9445" xr:uid="{00000000-0005-0000-0000-0000601F0000}"/>
    <cellStyle name="入力 2 4 4 4 4" xfId="7068" xr:uid="{00000000-0005-0000-0000-0000611F0000}"/>
    <cellStyle name="入力 2 4 4 5" xfId="6057" xr:uid="{00000000-0005-0000-0000-0000621F0000}"/>
    <cellStyle name="入力 2 4 5" xfId="303" xr:uid="{00000000-0005-0000-0000-0000631F0000}"/>
    <cellStyle name="入力 2 4 5 2" xfId="525" xr:uid="{00000000-0005-0000-0000-0000641F0000}"/>
    <cellStyle name="入力 2 4 5 2 2" xfId="1034" xr:uid="{00000000-0005-0000-0000-0000651F0000}"/>
    <cellStyle name="入力 2 4 5 2 2 2" xfId="2140" xr:uid="{00000000-0005-0000-0000-0000661F0000}"/>
    <cellStyle name="入力 2 4 5 2 2 2 2" xfId="5049" xr:uid="{00000000-0005-0000-0000-0000671F0000}"/>
    <cellStyle name="入力 2 4 5 2 2 2 2 2" xfId="10515" xr:uid="{00000000-0005-0000-0000-0000681F0000}"/>
    <cellStyle name="入力 2 4 5 2 2 2 3" xfId="3898" xr:uid="{00000000-0005-0000-0000-0000691F0000}"/>
    <cellStyle name="入力 2 4 5 2 2 2 3 2" xfId="9446" xr:uid="{00000000-0005-0000-0000-00006A1F0000}"/>
    <cellStyle name="入力 2 4 5 2 2 2 4" xfId="7790" xr:uid="{00000000-0005-0000-0000-00006B1F0000}"/>
    <cellStyle name="入力 2 4 5 2 2 3" xfId="6781" xr:uid="{00000000-0005-0000-0000-00006C1F0000}"/>
    <cellStyle name="入力 2 4 5 2 3" xfId="1633" xr:uid="{00000000-0005-0000-0000-00006D1F0000}"/>
    <cellStyle name="入力 2 4 5 2 3 2" xfId="4597" xr:uid="{00000000-0005-0000-0000-00006E1F0000}"/>
    <cellStyle name="入力 2 4 5 2 3 2 2" xfId="10107" xr:uid="{00000000-0005-0000-0000-00006F1F0000}"/>
    <cellStyle name="入力 2 4 5 2 3 3" xfId="3899" xr:uid="{00000000-0005-0000-0000-0000701F0000}"/>
    <cellStyle name="入力 2 4 5 2 3 3 2" xfId="9447" xr:uid="{00000000-0005-0000-0000-0000711F0000}"/>
    <cellStyle name="入力 2 4 5 2 3 4" xfId="7327" xr:uid="{00000000-0005-0000-0000-0000721F0000}"/>
    <cellStyle name="入力 2 4 5 2 4" xfId="6316" xr:uid="{00000000-0005-0000-0000-0000731F0000}"/>
    <cellStyle name="入力 2 4 5 3" xfId="812" xr:uid="{00000000-0005-0000-0000-0000741F0000}"/>
    <cellStyle name="入力 2 4 5 3 2" xfId="1918" xr:uid="{00000000-0005-0000-0000-0000751F0000}"/>
    <cellStyle name="入力 2 4 5 3 2 2" xfId="4827" xr:uid="{00000000-0005-0000-0000-0000761F0000}"/>
    <cellStyle name="入力 2 4 5 3 2 2 2" xfId="10315" xr:uid="{00000000-0005-0000-0000-0000771F0000}"/>
    <cellStyle name="入力 2 4 5 3 2 3" xfId="3900" xr:uid="{00000000-0005-0000-0000-0000781F0000}"/>
    <cellStyle name="入力 2 4 5 3 2 3 2" xfId="9448" xr:uid="{00000000-0005-0000-0000-0000791F0000}"/>
    <cellStyle name="入力 2 4 5 3 2 4" xfId="7590" xr:uid="{00000000-0005-0000-0000-00007A1F0000}"/>
    <cellStyle name="入力 2 4 5 3 3" xfId="6581" xr:uid="{00000000-0005-0000-0000-00007B1F0000}"/>
    <cellStyle name="入力 2 4 5 4" xfId="1411" xr:uid="{00000000-0005-0000-0000-00007C1F0000}"/>
    <cellStyle name="入力 2 4 5 4 2" xfId="4375" xr:uid="{00000000-0005-0000-0000-00007D1F0000}"/>
    <cellStyle name="入力 2 4 5 4 2 2" xfId="9907" xr:uid="{00000000-0005-0000-0000-00007E1F0000}"/>
    <cellStyle name="入力 2 4 5 4 3" xfId="3901" xr:uid="{00000000-0005-0000-0000-00007F1F0000}"/>
    <cellStyle name="入力 2 4 5 4 3 2" xfId="9449" xr:uid="{00000000-0005-0000-0000-0000801F0000}"/>
    <cellStyle name="入力 2 4 5 4 4" xfId="7127" xr:uid="{00000000-0005-0000-0000-0000811F0000}"/>
    <cellStyle name="入力 2 4 5 5" xfId="6116" xr:uid="{00000000-0005-0000-0000-0000821F0000}"/>
    <cellStyle name="入力 2 4 6" xfId="386" xr:uid="{00000000-0005-0000-0000-0000831F0000}"/>
    <cellStyle name="入力 2 4 6 2" xfId="895" xr:uid="{00000000-0005-0000-0000-0000841F0000}"/>
    <cellStyle name="入力 2 4 6 2 2" xfId="2001" xr:uid="{00000000-0005-0000-0000-0000851F0000}"/>
    <cellStyle name="入力 2 4 6 2 2 2" xfId="4910" xr:uid="{00000000-0005-0000-0000-0000861F0000}"/>
    <cellStyle name="入力 2 4 6 2 2 2 2" xfId="10387" xr:uid="{00000000-0005-0000-0000-0000871F0000}"/>
    <cellStyle name="入力 2 4 6 2 2 3" xfId="3902" xr:uid="{00000000-0005-0000-0000-0000881F0000}"/>
    <cellStyle name="入力 2 4 6 2 2 3 2" xfId="9450" xr:uid="{00000000-0005-0000-0000-0000891F0000}"/>
    <cellStyle name="入力 2 4 6 2 2 4" xfId="7662" xr:uid="{00000000-0005-0000-0000-00008A1F0000}"/>
    <cellStyle name="入力 2 4 6 2 3" xfId="6653" xr:uid="{00000000-0005-0000-0000-00008B1F0000}"/>
    <cellStyle name="入力 2 4 6 3" xfId="1494" xr:uid="{00000000-0005-0000-0000-00008C1F0000}"/>
    <cellStyle name="入力 2 4 6 3 2" xfId="4458" xr:uid="{00000000-0005-0000-0000-00008D1F0000}"/>
    <cellStyle name="入力 2 4 6 3 2 2" xfId="9979" xr:uid="{00000000-0005-0000-0000-00008E1F0000}"/>
    <cellStyle name="入力 2 4 6 3 3" xfId="3903" xr:uid="{00000000-0005-0000-0000-00008F1F0000}"/>
    <cellStyle name="入力 2 4 6 3 3 2" xfId="9451" xr:uid="{00000000-0005-0000-0000-0000901F0000}"/>
    <cellStyle name="入力 2 4 6 3 4" xfId="7199" xr:uid="{00000000-0005-0000-0000-0000911F0000}"/>
    <cellStyle name="入力 2 4 6 4" xfId="6188" xr:uid="{00000000-0005-0000-0000-0000921F0000}"/>
    <cellStyle name="入力 2 4 7" xfId="671" xr:uid="{00000000-0005-0000-0000-0000931F0000}"/>
    <cellStyle name="入力 2 4 7 2" xfId="1777" xr:uid="{00000000-0005-0000-0000-0000941F0000}"/>
    <cellStyle name="入力 2 4 7 2 2" xfId="4686" xr:uid="{00000000-0005-0000-0000-0000951F0000}"/>
    <cellStyle name="入力 2 4 7 2 2 2" xfId="10185" xr:uid="{00000000-0005-0000-0000-0000961F0000}"/>
    <cellStyle name="入力 2 4 7 2 3" xfId="3904" xr:uid="{00000000-0005-0000-0000-0000971F0000}"/>
    <cellStyle name="入力 2 4 7 2 3 2" xfId="9452" xr:uid="{00000000-0005-0000-0000-0000981F0000}"/>
    <cellStyle name="入力 2 4 7 2 4" xfId="7460" xr:uid="{00000000-0005-0000-0000-0000991F0000}"/>
    <cellStyle name="入力 2 4 7 3" xfId="6451" xr:uid="{00000000-0005-0000-0000-00009A1F0000}"/>
    <cellStyle name="入力 2 4 8" xfId="1270" xr:uid="{00000000-0005-0000-0000-00009B1F0000}"/>
    <cellStyle name="入力 2 4 8 2" xfId="4234" xr:uid="{00000000-0005-0000-0000-00009C1F0000}"/>
    <cellStyle name="入力 2 4 8 2 2" xfId="9777" xr:uid="{00000000-0005-0000-0000-00009D1F0000}"/>
    <cellStyle name="入力 2 4 8 3" xfId="3905" xr:uid="{00000000-0005-0000-0000-00009E1F0000}"/>
    <cellStyle name="入力 2 4 8 3 2" xfId="9453" xr:uid="{00000000-0005-0000-0000-00009F1F0000}"/>
    <cellStyle name="入力 2 4 8 4" xfId="6997" xr:uid="{00000000-0005-0000-0000-0000A01F0000}"/>
    <cellStyle name="入力 2 4 9" xfId="5986" xr:uid="{00000000-0005-0000-0000-0000A11F0000}"/>
    <cellStyle name="入力 2 5" xfId="154" xr:uid="{00000000-0005-0000-0000-0000A21F0000}"/>
    <cellStyle name="入力 2 5 2" xfId="207" xr:uid="{00000000-0005-0000-0000-0000A31F0000}"/>
    <cellStyle name="入力 2 5 2 2" xfId="277" xr:uid="{00000000-0005-0000-0000-0000A41F0000}"/>
    <cellStyle name="入力 2 5 2 2 2" xfId="499" xr:uid="{00000000-0005-0000-0000-0000A51F0000}"/>
    <cellStyle name="入力 2 5 2 2 2 2" xfId="1008" xr:uid="{00000000-0005-0000-0000-0000A61F0000}"/>
    <cellStyle name="入力 2 5 2 2 2 2 2" xfId="2114" xr:uid="{00000000-0005-0000-0000-0000A71F0000}"/>
    <cellStyle name="入力 2 5 2 2 2 2 2 2" xfId="5023" xr:uid="{00000000-0005-0000-0000-0000A81F0000}"/>
    <cellStyle name="入力 2 5 2 2 2 2 2 2 2" xfId="10491" xr:uid="{00000000-0005-0000-0000-0000A91F0000}"/>
    <cellStyle name="入力 2 5 2 2 2 2 2 3" xfId="3906" xr:uid="{00000000-0005-0000-0000-0000AA1F0000}"/>
    <cellStyle name="入力 2 5 2 2 2 2 2 3 2" xfId="9454" xr:uid="{00000000-0005-0000-0000-0000AB1F0000}"/>
    <cellStyle name="入力 2 5 2 2 2 2 2 4" xfId="7766" xr:uid="{00000000-0005-0000-0000-0000AC1F0000}"/>
    <cellStyle name="入力 2 5 2 2 2 2 3" xfId="6757" xr:uid="{00000000-0005-0000-0000-0000AD1F0000}"/>
    <cellStyle name="入力 2 5 2 2 2 3" xfId="1607" xr:uid="{00000000-0005-0000-0000-0000AE1F0000}"/>
    <cellStyle name="入力 2 5 2 2 2 3 2" xfId="4571" xr:uid="{00000000-0005-0000-0000-0000AF1F0000}"/>
    <cellStyle name="入力 2 5 2 2 2 3 2 2" xfId="10083" xr:uid="{00000000-0005-0000-0000-0000B01F0000}"/>
    <cellStyle name="入力 2 5 2 2 2 3 3" xfId="3907" xr:uid="{00000000-0005-0000-0000-0000B11F0000}"/>
    <cellStyle name="入力 2 5 2 2 2 3 3 2" xfId="9455" xr:uid="{00000000-0005-0000-0000-0000B21F0000}"/>
    <cellStyle name="入力 2 5 2 2 2 3 4" xfId="7303" xr:uid="{00000000-0005-0000-0000-0000B31F0000}"/>
    <cellStyle name="入力 2 5 2 2 2 4" xfId="6292" xr:uid="{00000000-0005-0000-0000-0000B41F0000}"/>
    <cellStyle name="入力 2 5 2 2 3" xfId="786" xr:uid="{00000000-0005-0000-0000-0000B51F0000}"/>
    <cellStyle name="入力 2 5 2 2 3 2" xfId="1892" xr:uid="{00000000-0005-0000-0000-0000B61F0000}"/>
    <cellStyle name="入力 2 5 2 2 3 2 2" xfId="4801" xr:uid="{00000000-0005-0000-0000-0000B71F0000}"/>
    <cellStyle name="入力 2 5 2 2 3 2 2 2" xfId="10291" xr:uid="{00000000-0005-0000-0000-0000B81F0000}"/>
    <cellStyle name="入力 2 5 2 2 3 2 3" xfId="3908" xr:uid="{00000000-0005-0000-0000-0000B91F0000}"/>
    <cellStyle name="入力 2 5 2 2 3 2 3 2" xfId="9456" xr:uid="{00000000-0005-0000-0000-0000BA1F0000}"/>
    <cellStyle name="入力 2 5 2 2 3 2 4" xfId="7566" xr:uid="{00000000-0005-0000-0000-0000BB1F0000}"/>
    <cellStyle name="入力 2 5 2 2 3 3" xfId="6557" xr:uid="{00000000-0005-0000-0000-0000BC1F0000}"/>
    <cellStyle name="入力 2 5 2 2 4" xfId="1385" xr:uid="{00000000-0005-0000-0000-0000BD1F0000}"/>
    <cellStyle name="入力 2 5 2 2 4 2" xfId="4349" xr:uid="{00000000-0005-0000-0000-0000BE1F0000}"/>
    <cellStyle name="入力 2 5 2 2 4 2 2" xfId="9883" xr:uid="{00000000-0005-0000-0000-0000BF1F0000}"/>
    <cellStyle name="入力 2 5 2 2 4 3" xfId="3909" xr:uid="{00000000-0005-0000-0000-0000C01F0000}"/>
    <cellStyle name="入力 2 5 2 2 4 3 2" xfId="9457" xr:uid="{00000000-0005-0000-0000-0000C11F0000}"/>
    <cellStyle name="入力 2 5 2 2 4 4" xfId="7103" xr:uid="{00000000-0005-0000-0000-0000C21F0000}"/>
    <cellStyle name="入力 2 5 2 2 5" xfId="6092" xr:uid="{00000000-0005-0000-0000-0000C31F0000}"/>
    <cellStyle name="入力 2 5 2 3" xfId="343" xr:uid="{00000000-0005-0000-0000-0000C41F0000}"/>
    <cellStyle name="入力 2 5 2 3 2" xfId="565" xr:uid="{00000000-0005-0000-0000-0000C51F0000}"/>
    <cellStyle name="入力 2 5 2 3 2 2" xfId="1074" xr:uid="{00000000-0005-0000-0000-0000C61F0000}"/>
    <cellStyle name="入力 2 5 2 3 2 2 2" xfId="2180" xr:uid="{00000000-0005-0000-0000-0000C71F0000}"/>
    <cellStyle name="入力 2 5 2 3 2 2 2 2" xfId="5089" xr:uid="{00000000-0005-0000-0000-0000C81F0000}"/>
    <cellStyle name="入力 2 5 2 3 2 2 2 2 2" xfId="10550" xr:uid="{00000000-0005-0000-0000-0000C91F0000}"/>
    <cellStyle name="入力 2 5 2 3 2 2 2 3" xfId="3910" xr:uid="{00000000-0005-0000-0000-0000CA1F0000}"/>
    <cellStyle name="入力 2 5 2 3 2 2 2 3 2" xfId="9458" xr:uid="{00000000-0005-0000-0000-0000CB1F0000}"/>
    <cellStyle name="入力 2 5 2 3 2 2 2 4" xfId="7825" xr:uid="{00000000-0005-0000-0000-0000CC1F0000}"/>
    <cellStyle name="入力 2 5 2 3 2 2 3" xfId="6816" xr:uid="{00000000-0005-0000-0000-0000CD1F0000}"/>
    <cellStyle name="入力 2 5 2 3 2 3" xfId="1673" xr:uid="{00000000-0005-0000-0000-0000CE1F0000}"/>
    <cellStyle name="入力 2 5 2 3 2 3 2" xfId="4637" xr:uid="{00000000-0005-0000-0000-0000CF1F0000}"/>
    <cellStyle name="入力 2 5 2 3 2 3 2 2" xfId="10142" xr:uid="{00000000-0005-0000-0000-0000D01F0000}"/>
    <cellStyle name="入力 2 5 2 3 2 3 3" xfId="3911" xr:uid="{00000000-0005-0000-0000-0000D11F0000}"/>
    <cellStyle name="入力 2 5 2 3 2 3 3 2" xfId="9459" xr:uid="{00000000-0005-0000-0000-0000D21F0000}"/>
    <cellStyle name="入力 2 5 2 3 2 3 4" xfId="7362" xr:uid="{00000000-0005-0000-0000-0000D31F0000}"/>
    <cellStyle name="入力 2 5 2 3 2 4" xfId="6351" xr:uid="{00000000-0005-0000-0000-0000D41F0000}"/>
    <cellStyle name="入力 2 5 2 3 3" xfId="852" xr:uid="{00000000-0005-0000-0000-0000D51F0000}"/>
    <cellStyle name="入力 2 5 2 3 3 2" xfId="1958" xr:uid="{00000000-0005-0000-0000-0000D61F0000}"/>
    <cellStyle name="入力 2 5 2 3 3 2 2" xfId="4867" xr:uid="{00000000-0005-0000-0000-0000D71F0000}"/>
    <cellStyle name="入力 2 5 2 3 3 2 2 2" xfId="10350" xr:uid="{00000000-0005-0000-0000-0000D81F0000}"/>
    <cellStyle name="入力 2 5 2 3 3 2 3" xfId="3912" xr:uid="{00000000-0005-0000-0000-0000D91F0000}"/>
    <cellStyle name="入力 2 5 2 3 3 2 3 2" xfId="9460" xr:uid="{00000000-0005-0000-0000-0000DA1F0000}"/>
    <cellStyle name="入力 2 5 2 3 3 2 4" xfId="7625" xr:uid="{00000000-0005-0000-0000-0000DB1F0000}"/>
    <cellStyle name="入力 2 5 2 3 3 3" xfId="6616" xr:uid="{00000000-0005-0000-0000-0000DC1F0000}"/>
    <cellStyle name="入力 2 5 2 3 4" xfId="1451" xr:uid="{00000000-0005-0000-0000-0000DD1F0000}"/>
    <cellStyle name="入力 2 5 2 3 4 2" xfId="4415" xr:uid="{00000000-0005-0000-0000-0000DE1F0000}"/>
    <cellStyle name="入力 2 5 2 3 4 2 2" xfId="9942" xr:uid="{00000000-0005-0000-0000-0000DF1F0000}"/>
    <cellStyle name="入力 2 5 2 3 4 3" xfId="3913" xr:uid="{00000000-0005-0000-0000-0000E01F0000}"/>
    <cellStyle name="入力 2 5 2 3 4 3 2" xfId="9461" xr:uid="{00000000-0005-0000-0000-0000E11F0000}"/>
    <cellStyle name="入力 2 5 2 3 4 4" xfId="7162" xr:uid="{00000000-0005-0000-0000-0000E21F0000}"/>
    <cellStyle name="入力 2 5 2 3 5" xfId="6151" xr:uid="{00000000-0005-0000-0000-0000E31F0000}"/>
    <cellStyle name="入力 2 5 2 4" xfId="429" xr:uid="{00000000-0005-0000-0000-0000E41F0000}"/>
    <cellStyle name="入力 2 5 2 4 2" xfId="938" xr:uid="{00000000-0005-0000-0000-0000E51F0000}"/>
    <cellStyle name="入力 2 5 2 4 2 2" xfId="2044" xr:uid="{00000000-0005-0000-0000-0000E61F0000}"/>
    <cellStyle name="入力 2 5 2 4 2 2 2" xfId="4953" xr:uid="{00000000-0005-0000-0000-0000E71F0000}"/>
    <cellStyle name="入力 2 5 2 4 2 2 2 2" xfId="10425" xr:uid="{00000000-0005-0000-0000-0000E81F0000}"/>
    <cellStyle name="入力 2 5 2 4 2 2 3" xfId="3914" xr:uid="{00000000-0005-0000-0000-0000E91F0000}"/>
    <cellStyle name="入力 2 5 2 4 2 2 3 2" xfId="9462" xr:uid="{00000000-0005-0000-0000-0000EA1F0000}"/>
    <cellStyle name="入力 2 5 2 4 2 2 4" xfId="7700" xr:uid="{00000000-0005-0000-0000-0000EB1F0000}"/>
    <cellStyle name="入力 2 5 2 4 2 3" xfId="6691" xr:uid="{00000000-0005-0000-0000-0000EC1F0000}"/>
    <cellStyle name="入力 2 5 2 4 3" xfId="1537" xr:uid="{00000000-0005-0000-0000-0000ED1F0000}"/>
    <cellStyle name="入力 2 5 2 4 3 2" xfId="4501" xr:uid="{00000000-0005-0000-0000-0000EE1F0000}"/>
    <cellStyle name="入力 2 5 2 4 3 2 2" xfId="10017" xr:uid="{00000000-0005-0000-0000-0000EF1F0000}"/>
    <cellStyle name="入力 2 5 2 4 3 3" xfId="3915" xr:uid="{00000000-0005-0000-0000-0000F01F0000}"/>
    <cellStyle name="入力 2 5 2 4 3 3 2" xfId="9463" xr:uid="{00000000-0005-0000-0000-0000F11F0000}"/>
    <cellStyle name="入力 2 5 2 4 3 4" xfId="7237" xr:uid="{00000000-0005-0000-0000-0000F21F0000}"/>
    <cellStyle name="入力 2 5 2 4 4" xfId="6226" xr:uid="{00000000-0005-0000-0000-0000F31F0000}"/>
    <cellStyle name="入力 2 5 2 5" xfId="716" xr:uid="{00000000-0005-0000-0000-0000F41F0000}"/>
    <cellStyle name="入力 2 5 2 5 2" xfId="1822" xr:uid="{00000000-0005-0000-0000-0000F51F0000}"/>
    <cellStyle name="入力 2 5 2 5 2 2" xfId="4731" xr:uid="{00000000-0005-0000-0000-0000F61F0000}"/>
    <cellStyle name="入力 2 5 2 5 2 2 2" xfId="10225" xr:uid="{00000000-0005-0000-0000-0000F71F0000}"/>
    <cellStyle name="入力 2 5 2 5 2 3" xfId="3916" xr:uid="{00000000-0005-0000-0000-0000F81F0000}"/>
    <cellStyle name="入力 2 5 2 5 2 3 2" xfId="9464" xr:uid="{00000000-0005-0000-0000-0000F91F0000}"/>
    <cellStyle name="入力 2 5 2 5 2 4" xfId="7500" xr:uid="{00000000-0005-0000-0000-0000FA1F0000}"/>
    <cellStyle name="入力 2 5 2 5 3" xfId="6491" xr:uid="{00000000-0005-0000-0000-0000FB1F0000}"/>
    <cellStyle name="入力 2 5 2 6" xfId="1315" xr:uid="{00000000-0005-0000-0000-0000FC1F0000}"/>
    <cellStyle name="入力 2 5 2 6 2" xfId="4279" xr:uid="{00000000-0005-0000-0000-0000FD1F0000}"/>
    <cellStyle name="入力 2 5 2 6 2 2" xfId="9817" xr:uid="{00000000-0005-0000-0000-0000FE1F0000}"/>
    <cellStyle name="入力 2 5 2 6 3" xfId="3917" xr:uid="{00000000-0005-0000-0000-0000FF1F0000}"/>
    <cellStyle name="入力 2 5 2 6 3 2" xfId="9465" xr:uid="{00000000-0005-0000-0000-000000200000}"/>
    <cellStyle name="入力 2 5 2 6 4" xfId="7037" xr:uid="{00000000-0005-0000-0000-000001200000}"/>
    <cellStyle name="入力 2 5 2 7" xfId="6026" xr:uid="{00000000-0005-0000-0000-000002200000}"/>
    <cellStyle name="入力 2 5 3" xfId="234" xr:uid="{00000000-0005-0000-0000-000003200000}"/>
    <cellStyle name="入力 2 5 3 2" xfId="456" xr:uid="{00000000-0005-0000-0000-000004200000}"/>
    <cellStyle name="入力 2 5 3 2 2" xfId="965" xr:uid="{00000000-0005-0000-0000-000005200000}"/>
    <cellStyle name="入力 2 5 3 2 2 2" xfId="2071" xr:uid="{00000000-0005-0000-0000-000006200000}"/>
    <cellStyle name="入力 2 5 3 2 2 2 2" xfId="4980" xr:uid="{00000000-0005-0000-0000-000007200000}"/>
    <cellStyle name="入力 2 5 3 2 2 2 2 2" xfId="10450" xr:uid="{00000000-0005-0000-0000-000008200000}"/>
    <cellStyle name="入力 2 5 3 2 2 2 3" xfId="3918" xr:uid="{00000000-0005-0000-0000-000009200000}"/>
    <cellStyle name="入力 2 5 3 2 2 2 3 2" xfId="9466" xr:uid="{00000000-0005-0000-0000-00000A200000}"/>
    <cellStyle name="入力 2 5 3 2 2 2 4" xfId="7725" xr:uid="{00000000-0005-0000-0000-00000B200000}"/>
    <cellStyle name="入力 2 5 3 2 2 3" xfId="6716" xr:uid="{00000000-0005-0000-0000-00000C200000}"/>
    <cellStyle name="入力 2 5 3 2 3" xfId="1564" xr:uid="{00000000-0005-0000-0000-00000D200000}"/>
    <cellStyle name="入力 2 5 3 2 3 2" xfId="4528" xr:uid="{00000000-0005-0000-0000-00000E200000}"/>
    <cellStyle name="入力 2 5 3 2 3 2 2" xfId="10042" xr:uid="{00000000-0005-0000-0000-00000F200000}"/>
    <cellStyle name="入力 2 5 3 2 3 3" xfId="3919" xr:uid="{00000000-0005-0000-0000-000010200000}"/>
    <cellStyle name="入力 2 5 3 2 3 3 2" xfId="9467" xr:uid="{00000000-0005-0000-0000-000011200000}"/>
    <cellStyle name="入力 2 5 3 2 3 4" xfId="7262" xr:uid="{00000000-0005-0000-0000-000012200000}"/>
    <cellStyle name="入力 2 5 3 2 4" xfId="6251" xr:uid="{00000000-0005-0000-0000-000013200000}"/>
    <cellStyle name="入力 2 5 3 3" xfId="743" xr:uid="{00000000-0005-0000-0000-000014200000}"/>
    <cellStyle name="入力 2 5 3 3 2" xfId="1849" xr:uid="{00000000-0005-0000-0000-000015200000}"/>
    <cellStyle name="入力 2 5 3 3 2 2" xfId="4758" xr:uid="{00000000-0005-0000-0000-000016200000}"/>
    <cellStyle name="入力 2 5 3 3 2 2 2" xfId="10250" xr:uid="{00000000-0005-0000-0000-000017200000}"/>
    <cellStyle name="入力 2 5 3 3 2 3" xfId="3920" xr:uid="{00000000-0005-0000-0000-000018200000}"/>
    <cellStyle name="入力 2 5 3 3 2 3 2" xfId="9468" xr:uid="{00000000-0005-0000-0000-000019200000}"/>
    <cellStyle name="入力 2 5 3 3 2 4" xfId="7525" xr:uid="{00000000-0005-0000-0000-00001A200000}"/>
    <cellStyle name="入力 2 5 3 3 3" xfId="6516" xr:uid="{00000000-0005-0000-0000-00001B200000}"/>
    <cellStyle name="入力 2 5 3 4" xfId="1342" xr:uid="{00000000-0005-0000-0000-00001C200000}"/>
    <cellStyle name="入力 2 5 3 4 2" xfId="4306" xr:uid="{00000000-0005-0000-0000-00001D200000}"/>
    <cellStyle name="入力 2 5 3 4 2 2" xfId="9842" xr:uid="{00000000-0005-0000-0000-00001E200000}"/>
    <cellStyle name="入力 2 5 3 4 3" xfId="3921" xr:uid="{00000000-0005-0000-0000-00001F200000}"/>
    <cellStyle name="入力 2 5 3 4 3 2" xfId="9469" xr:uid="{00000000-0005-0000-0000-000020200000}"/>
    <cellStyle name="入力 2 5 3 4 4" xfId="7062" xr:uid="{00000000-0005-0000-0000-000021200000}"/>
    <cellStyle name="入力 2 5 3 5" xfId="6051" xr:uid="{00000000-0005-0000-0000-000022200000}"/>
    <cellStyle name="入力 2 5 4" xfId="296" xr:uid="{00000000-0005-0000-0000-000023200000}"/>
    <cellStyle name="入力 2 5 4 2" xfId="518" xr:uid="{00000000-0005-0000-0000-000024200000}"/>
    <cellStyle name="入力 2 5 4 2 2" xfId="1027" xr:uid="{00000000-0005-0000-0000-000025200000}"/>
    <cellStyle name="入力 2 5 4 2 2 2" xfId="2133" xr:uid="{00000000-0005-0000-0000-000026200000}"/>
    <cellStyle name="入力 2 5 4 2 2 2 2" xfId="5042" xr:uid="{00000000-0005-0000-0000-000027200000}"/>
    <cellStyle name="入力 2 5 4 2 2 2 2 2" xfId="10509" xr:uid="{00000000-0005-0000-0000-000028200000}"/>
    <cellStyle name="入力 2 5 4 2 2 2 3" xfId="3922" xr:uid="{00000000-0005-0000-0000-000029200000}"/>
    <cellStyle name="入力 2 5 4 2 2 2 3 2" xfId="9470" xr:uid="{00000000-0005-0000-0000-00002A200000}"/>
    <cellStyle name="入力 2 5 4 2 2 2 4" xfId="7784" xr:uid="{00000000-0005-0000-0000-00002B200000}"/>
    <cellStyle name="入力 2 5 4 2 2 3" xfId="6775" xr:uid="{00000000-0005-0000-0000-00002C200000}"/>
    <cellStyle name="入力 2 5 4 2 3" xfId="1626" xr:uid="{00000000-0005-0000-0000-00002D200000}"/>
    <cellStyle name="入力 2 5 4 2 3 2" xfId="4590" xr:uid="{00000000-0005-0000-0000-00002E200000}"/>
    <cellStyle name="入力 2 5 4 2 3 2 2" xfId="10101" xr:uid="{00000000-0005-0000-0000-00002F200000}"/>
    <cellStyle name="入力 2 5 4 2 3 3" xfId="3923" xr:uid="{00000000-0005-0000-0000-000030200000}"/>
    <cellStyle name="入力 2 5 4 2 3 3 2" xfId="9471" xr:uid="{00000000-0005-0000-0000-000031200000}"/>
    <cellStyle name="入力 2 5 4 2 3 4" xfId="7321" xr:uid="{00000000-0005-0000-0000-000032200000}"/>
    <cellStyle name="入力 2 5 4 2 4" xfId="6310" xr:uid="{00000000-0005-0000-0000-000033200000}"/>
    <cellStyle name="入力 2 5 4 3" xfId="805" xr:uid="{00000000-0005-0000-0000-000034200000}"/>
    <cellStyle name="入力 2 5 4 3 2" xfId="1911" xr:uid="{00000000-0005-0000-0000-000035200000}"/>
    <cellStyle name="入力 2 5 4 3 2 2" xfId="4820" xr:uid="{00000000-0005-0000-0000-000036200000}"/>
    <cellStyle name="入力 2 5 4 3 2 2 2" xfId="10309" xr:uid="{00000000-0005-0000-0000-000037200000}"/>
    <cellStyle name="入力 2 5 4 3 2 3" xfId="3924" xr:uid="{00000000-0005-0000-0000-000038200000}"/>
    <cellStyle name="入力 2 5 4 3 2 3 2" xfId="9472" xr:uid="{00000000-0005-0000-0000-000039200000}"/>
    <cellStyle name="入力 2 5 4 3 2 4" xfId="7584" xr:uid="{00000000-0005-0000-0000-00003A200000}"/>
    <cellStyle name="入力 2 5 4 3 3" xfId="6575" xr:uid="{00000000-0005-0000-0000-00003B200000}"/>
    <cellStyle name="入力 2 5 4 4" xfId="1404" xr:uid="{00000000-0005-0000-0000-00003C200000}"/>
    <cellStyle name="入力 2 5 4 4 2" xfId="4368" xr:uid="{00000000-0005-0000-0000-00003D200000}"/>
    <cellStyle name="入力 2 5 4 4 2 2" xfId="9901" xr:uid="{00000000-0005-0000-0000-00003E200000}"/>
    <cellStyle name="入力 2 5 4 4 3" xfId="3925" xr:uid="{00000000-0005-0000-0000-00003F200000}"/>
    <cellStyle name="入力 2 5 4 4 3 2" xfId="9473" xr:uid="{00000000-0005-0000-0000-000040200000}"/>
    <cellStyle name="入力 2 5 4 4 4" xfId="7121" xr:uid="{00000000-0005-0000-0000-000041200000}"/>
    <cellStyle name="入力 2 5 4 5" xfId="6110" xr:uid="{00000000-0005-0000-0000-000042200000}"/>
    <cellStyle name="入力 2 5 5" xfId="379" xr:uid="{00000000-0005-0000-0000-000043200000}"/>
    <cellStyle name="入力 2 5 5 2" xfId="888" xr:uid="{00000000-0005-0000-0000-000044200000}"/>
    <cellStyle name="入力 2 5 5 2 2" xfId="1994" xr:uid="{00000000-0005-0000-0000-000045200000}"/>
    <cellStyle name="入力 2 5 5 2 2 2" xfId="4903" xr:uid="{00000000-0005-0000-0000-000046200000}"/>
    <cellStyle name="入力 2 5 5 2 2 2 2" xfId="10381" xr:uid="{00000000-0005-0000-0000-000047200000}"/>
    <cellStyle name="入力 2 5 5 2 2 3" xfId="3926" xr:uid="{00000000-0005-0000-0000-000048200000}"/>
    <cellStyle name="入力 2 5 5 2 2 3 2" xfId="9474" xr:uid="{00000000-0005-0000-0000-000049200000}"/>
    <cellStyle name="入力 2 5 5 2 2 4" xfId="7656" xr:uid="{00000000-0005-0000-0000-00004A200000}"/>
    <cellStyle name="入力 2 5 5 2 3" xfId="6647" xr:uid="{00000000-0005-0000-0000-00004B200000}"/>
    <cellStyle name="入力 2 5 5 3" xfId="1487" xr:uid="{00000000-0005-0000-0000-00004C200000}"/>
    <cellStyle name="入力 2 5 5 3 2" xfId="4451" xr:uid="{00000000-0005-0000-0000-00004D200000}"/>
    <cellStyle name="入力 2 5 5 3 2 2" xfId="9973" xr:uid="{00000000-0005-0000-0000-00004E200000}"/>
    <cellStyle name="入力 2 5 5 3 3" xfId="3927" xr:uid="{00000000-0005-0000-0000-00004F200000}"/>
    <cellStyle name="入力 2 5 5 3 3 2" xfId="9475" xr:uid="{00000000-0005-0000-0000-000050200000}"/>
    <cellStyle name="入力 2 5 5 3 4" xfId="7193" xr:uid="{00000000-0005-0000-0000-000051200000}"/>
    <cellStyle name="入力 2 5 5 4" xfId="6182" xr:uid="{00000000-0005-0000-0000-000052200000}"/>
    <cellStyle name="入力 2 5 6" xfId="664" xr:uid="{00000000-0005-0000-0000-000053200000}"/>
    <cellStyle name="入力 2 5 6 2" xfId="1770" xr:uid="{00000000-0005-0000-0000-000054200000}"/>
    <cellStyle name="入力 2 5 6 2 2" xfId="4679" xr:uid="{00000000-0005-0000-0000-000055200000}"/>
    <cellStyle name="入力 2 5 6 2 2 2" xfId="10179" xr:uid="{00000000-0005-0000-0000-000056200000}"/>
    <cellStyle name="入力 2 5 6 2 3" xfId="3928" xr:uid="{00000000-0005-0000-0000-000057200000}"/>
    <cellStyle name="入力 2 5 6 2 3 2" xfId="9476" xr:uid="{00000000-0005-0000-0000-000058200000}"/>
    <cellStyle name="入力 2 5 6 2 4" xfId="7454" xr:uid="{00000000-0005-0000-0000-000059200000}"/>
    <cellStyle name="入力 2 5 6 3" xfId="6445" xr:uid="{00000000-0005-0000-0000-00005A200000}"/>
    <cellStyle name="入力 2 5 7" xfId="1263" xr:uid="{00000000-0005-0000-0000-00005B200000}"/>
    <cellStyle name="入力 2 5 7 2" xfId="4227" xr:uid="{00000000-0005-0000-0000-00005C200000}"/>
    <cellStyle name="入力 2 5 7 2 2" xfId="9771" xr:uid="{00000000-0005-0000-0000-00005D200000}"/>
    <cellStyle name="入力 2 5 7 3" xfId="3929" xr:uid="{00000000-0005-0000-0000-00005E200000}"/>
    <cellStyle name="入力 2 5 7 3 2" xfId="9477" xr:uid="{00000000-0005-0000-0000-00005F200000}"/>
    <cellStyle name="入力 2 5 7 4" xfId="6991" xr:uid="{00000000-0005-0000-0000-000060200000}"/>
    <cellStyle name="入力 2 5 8" xfId="5979" xr:uid="{00000000-0005-0000-0000-000061200000}"/>
    <cellStyle name="入力 2 6" xfId="114" xr:uid="{00000000-0005-0000-0000-000062200000}"/>
    <cellStyle name="入力 2 6 2" xfId="198" xr:uid="{00000000-0005-0000-0000-000063200000}"/>
    <cellStyle name="入力 2 6 2 2" xfId="269" xr:uid="{00000000-0005-0000-0000-000064200000}"/>
    <cellStyle name="入力 2 6 2 2 2" xfId="491" xr:uid="{00000000-0005-0000-0000-000065200000}"/>
    <cellStyle name="入力 2 6 2 2 2 2" xfId="1000" xr:uid="{00000000-0005-0000-0000-000066200000}"/>
    <cellStyle name="入力 2 6 2 2 2 2 2" xfId="2106" xr:uid="{00000000-0005-0000-0000-000067200000}"/>
    <cellStyle name="入力 2 6 2 2 2 2 2 2" xfId="5015" xr:uid="{00000000-0005-0000-0000-000068200000}"/>
    <cellStyle name="入力 2 6 2 2 2 2 2 2 2" xfId="10483" xr:uid="{00000000-0005-0000-0000-000069200000}"/>
    <cellStyle name="入力 2 6 2 2 2 2 2 3" xfId="3930" xr:uid="{00000000-0005-0000-0000-00006A200000}"/>
    <cellStyle name="入力 2 6 2 2 2 2 2 3 2" xfId="9478" xr:uid="{00000000-0005-0000-0000-00006B200000}"/>
    <cellStyle name="入力 2 6 2 2 2 2 2 4" xfId="7758" xr:uid="{00000000-0005-0000-0000-00006C200000}"/>
    <cellStyle name="入力 2 6 2 2 2 2 3" xfId="6749" xr:uid="{00000000-0005-0000-0000-00006D200000}"/>
    <cellStyle name="入力 2 6 2 2 2 3" xfId="1599" xr:uid="{00000000-0005-0000-0000-00006E200000}"/>
    <cellStyle name="入力 2 6 2 2 2 3 2" xfId="4563" xr:uid="{00000000-0005-0000-0000-00006F200000}"/>
    <cellStyle name="入力 2 6 2 2 2 3 2 2" xfId="10075" xr:uid="{00000000-0005-0000-0000-000070200000}"/>
    <cellStyle name="入力 2 6 2 2 2 3 3" xfId="3931" xr:uid="{00000000-0005-0000-0000-000071200000}"/>
    <cellStyle name="入力 2 6 2 2 2 3 3 2" xfId="9479" xr:uid="{00000000-0005-0000-0000-000072200000}"/>
    <cellStyle name="入力 2 6 2 2 2 3 4" xfId="7295" xr:uid="{00000000-0005-0000-0000-000073200000}"/>
    <cellStyle name="入力 2 6 2 2 2 4" xfId="6284" xr:uid="{00000000-0005-0000-0000-000074200000}"/>
    <cellStyle name="入力 2 6 2 2 3" xfId="778" xr:uid="{00000000-0005-0000-0000-000075200000}"/>
    <cellStyle name="入力 2 6 2 2 3 2" xfId="1884" xr:uid="{00000000-0005-0000-0000-000076200000}"/>
    <cellStyle name="入力 2 6 2 2 3 2 2" xfId="4793" xr:uid="{00000000-0005-0000-0000-000077200000}"/>
    <cellStyle name="入力 2 6 2 2 3 2 2 2" xfId="10283" xr:uid="{00000000-0005-0000-0000-000078200000}"/>
    <cellStyle name="入力 2 6 2 2 3 2 3" xfId="3932" xr:uid="{00000000-0005-0000-0000-000079200000}"/>
    <cellStyle name="入力 2 6 2 2 3 2 3 2" xfId="9480" xr:uid="{00000000-0005-0000-0000-00007A200000}"/>
    <cellStyle name="入力 2 6 2 2 3 2 4" xfId="7558" xr:uid="{00000000-0005-0000-0000-00007B200000}"/>
    <cellStyle name="入力 2 6 2 2 3 3" xfId="6549" xr:uid="{00000000-0005-0000-0000-00007C200000}"/>
    <cellStyle name="入力 2 6 2 2 4" xfId="1377" xr:uid="{00000000-0005-0000-0000-00007D200000}"/>
    <cellStyle name="入力 2 6 2 2 4 2" xfId="4341" xr:uid="{00000000-0005-0000-0000-00007E200000}"/>
    <cellStyle name="入力 2 6 2 2 4 2 2" xfId="9875" xr:uid="{00000000-0005-0000-0000-00007F200000}"/>
    <cellStyle name="入力 2 6 2 2 4 3" xfId="3933" xr:uid="{00000000-0005-0000-0000-000080200000}"/>
    <cellStyle name="入力 2 6 2 2 4 3 2" xfId="9481" xr:uid="{00000000-0005-0000-0000-000081200000}"/>
    <cellStyle name="入力 2 6 2 2 4 4" xfId="7095" xr:uid="{00000000-0005-0000-0000-000082200000}"/>
    <cellStyle name="入力 2 6 2 2 5" xfId="6084" xr:uid="{00000000-0005-0000-0000-000083200000}"/>
    <cellStyle name="入力 2 6 2 3" xfId="334" xr:uid="{00000000-0005-0000-0000-000084200000}"/>
    <cellStyle name="入力 2 6 2 3 2" xfId="556" xr:uid="{00000000-0005-0000-0000-000085200000}"/>
    <cellStyle name="入力 2 6 2 3 2 2" xfId="1065" xr:uid="{00000000-0005-0000-0000-000086200000}"/>
    <cellStyle name="入力 2 6 2 3 2 2 2" xfId="2171" xr:uid="{00000000-0005-0000-0000-000087200000}"/>
    <cellStyle name="入力 2 6 2 3 2 2 2 2" xfId="5080" xr:uid="{00000000-0005-0000-0000-000088200000}"/>
    <cellStyle name="入力 2 6 2 3 2 2 2 2 2" xfId="10542" xr:uid="{00000000-0005-0000-0000-000089200000}"/>
    <cellStyle name="入力 2 6 2 3 2 2 2 3" xfId="3934" xr:uid="{00000000-0005-0000-0000-00008A200000}"/>
    <cellStyle name="入力 2 6 2 3 2 2 2 3 2" xfId="9482" xr:uid="{00000000-0005-0000-0000-00008B200000}"/>
    <cellStyle name="入力 2 6 2 3 2 2 2 4" xfId="7817" xr:uid="{00000000-0005-0000-0000-00008C200000}"/>
    <cellStyle name="入力 2 6 2 3 2 2 3" xfId="6808" xr:uid="{00000000-0005-0000-0000-00008D200000}"/>
    <cellStyle name="入力 2 6 2 3 2 3" xfId="1664" xr:uid="{00000000-0005-0000-0000-00008E200000}"/>
    <cellStyle name="入力 2 6 2 3 2 3 2" xfId="4628" xr:uid="{00000000-0005-0000-0000-00008F200000}"/>
    <cellStyle name="入力 2 6 2 3 2 3 2 2" xfId="10134" xr:uid="{00000000-0005-0000-0000-000090200000}"/>
    <cellStyle name="入力 2 6 2 3 2 3 3" xfId="3935" xr:uid="{00000000-0005-0000-0000-000091200000}"/>
    <cellStyle name="入力 2 6 2 3 2 3 3 2" xfId="9483" xr:uid="{00000000-0005-0000-0000-000092200000}"/>
    <cellStyle name="入力 2 6 2 3 2 3 4" xfId="7354" xr:uid="{00000000-0005-0000-0000-000093200000}"/>
    <cellStyle name="入力 2 6 2 3 2 4" xfId="6343" xr:uid="{00000000-0005-0000-0000-000094200000}"/>
    <cellStyle name="入力 2 6 2 3 3" xfId="843" xr:uid="{00000000-0005-0000-0000-000095200000}"/>
    <cellStyle name="入力 2 6 2 3 3 2" xfId="1949" xr:uid="{00000000-0005-0000-0000-000096200000}"/>
    <cellStyle name="入力 2 6 2 3 3 2 2" xfId="4858" xr:uid="{00000000-0005-0000-0000-000097200000}"/>
    <cellStyle name="入力 2 6 2 3 3 2 2 2" xfId="10342" xr:uid="{00000000-0005-0000-0000-000098200000}"/>
    <cellStyle name="入力 2 6 2 3 3 2 3" xfId="3936" xr:uid="{00000000-0005-0000-0000-000099200000}"/>
    <cellStyle name="入力 2 6 2 3 3 2 3 2" xfId="9484" xr:uid="{00000000-0005-0000-0000-00009A200000}"/>
    <cellStyle name="入力 2 6 2 3 3 2 4" xfId="7617" xr:uid="{00000000-0005-0000-0000-00009B200000}"/>
    <cellStyle name="入力 2 6 2 3 3 3" xfId="6608" xr:uid="{00000000-0005-0000-0000-00009C200000}"/>
    <cellStyle name="入力 2 6 2 3 4" xfId="1442" xr:uid="{00000000-0005-0000-0000-00009D200000}"/>
    <cellStyle name="入力 2 6 2 3 4 2" xfId="4406" xr:uid="{00000000-0005-0000-0000-00009E200000}"/>
    <cellStyle name="入力 2 6 2 3 4 2 2" xfId="9934" xr:uid="{00000000-0005-0000-0000-00009F200000}"/>
    <cellStyle name="入力 2 6 2 3 4 3" xfId="3937" xr:uid="{00000000-0005-0000-0000-0000A0200000}"/>
    <cellStyle name="入力 2 6 2 3 4 3 2" xfId="9485" xr:uid="{00000000-0005-0000-0000-0000A1200000}"/>
    <cellStyle name="入力 2 6 2 3 4 4" xfId="7154" xr:uid="{00000000-0005-0000-0000-0000A2200000}"/>
    <cellStyle name="入力 2 6 2 3 5" xfId="6143" xr:uid="{00000000-0005-0000-0000-0000A3200000}"/>
    <cellStyle name="入力 2 6 2 4" xfId="420" xr:uid="{00000000-0005-0000-0000-0000A4200000}"/>
    <cellStyle name="入力 2 6 2 4 2" xfId="929" xr:uid="{00000000-0005-0000-0000-0000A5200000}"/>
    <cellStyle name="入力 2 6 2 4 2 2" xfId="2035" xr:uid="{00000000-0005-0000-0000-0000A6200000}"/>
    <cellStyle name="入力 2 6 2 4 2 2 2" xfId="4944" xr:uid="{00000000-0005-0000-0000-0000A7200000}"/>
    <cellStyle name="入力 2 6 2 4 2 2 2 2" xfId="10417" xr:uid="{00000000-0005-0000-0000-0000A8200000}"/>
    <cellStyle name="入力 2 6 2 4 2 2 3" xfId="3938" xr:uid="{00000000-0005-0000-0000-0000A9200000}"/>
    <cellStyle name="入力 2 6 2 4 2 2 3 2" xfId="9486" xr:uid="{00000000-0005-0000-0000-0000AA200000}"/>
    <cellStyle name="入力 2 6 2 4 2 2 4" xfId="7692" xr:uid="{00000000-0005-0000-0000-0000AB200000}"/>
    <cellStyle name="入力 2 6 2 4 2 3" xfId="6683" xr:uid="{00000000-0005-0000-0000-0000AC200000}"/>
    <cellStyle name="入力 2 6 2 4 3" xfId="1528" xr:uid="{00000000-0005-0000-0000-0000AD200000}"/>
    <cellStyle name="入力 2 6 2 4 3 2" xfId="4492" xr:uid="{00000000-0005-0000-0000-0000AE200000}"/>
    <cellStyle name="入力 2 6 2 4 3 2 2" xfId="10009" xr:uid="{00000000-0005-0000-0000-0000AF200000}"/>
    <cellStyle name="入力 2 6 2 4 3 3" xfId="3939" xr:uid="{00000000-0005-0000-0000-0000B0200000}"/>
    <cellStyle name="入力 2 6 2 4 3 3 2" xfId="9487" xr:uid="{00000000-0005-0000-0000-0000B1200000}"/>
    <cellStyle name="入力 2 6 2 4 3 4" xfId="7229" xr:uid="{00000000-0005-0000-0000-0000B2200000}"/>
    <cellStyle name="入力 2 6 2 4 4" xfId="6218" xr:uid="{00000000-0005-0000-0000-0000B3200000}"/>
    <cellStyle name="入力 2 6 2 5" xfId="707" xr:uid="{00000000-0005-0000-0000-0000B4200000}"/>
    <cellStyle name="入力 2 6 2 5 2" xfId="1813" xr:uid="{00000000-0005-0000-0000-0000B5200000}"/>
    <cellStyle name="入力 2 6 2 5 2 2" xfId="4722" xr:uid="{00000000-0005-0000-0000-0000B6200000}"/>
    <cellStyle name="入力 2 6 2 5 2 2 2" xfId="10217" xr:uid="{00000000-0005-0000-0000-0000B7200000}"/>
    <cellStyle name="入力 2 6 2 5 2 3" xfId="3940" xr:uid="{00000000-0005-0000-0000-0000B8200000}"/>
    <cellStyle name="入力 2 6 2 5 2 3 2" xfId="9488" xr:uid="{00000000-0005-0000-0000-0000B9200000}"/>
    <cellStyle name="入力 2 6 2 5 2 4" xfId="7492" xr:uid="{00000000-0005-0000-0000-0000BA200000}"/>
    <cellStyle name="入力 2 6 2 5 3" xfId="6483" xr:uid="{00000000-0005-0000-0000-0000BB200000}"/>
    <cellStyle name="入力 2 6 2 6" xfId="1306" xr:uid="{00000000-0005-0000-0000-0000BC200000}"/>
    <cellStyle name="入力 2 6 2 6 2" xfId="4270" xr:uid="{00000000-0005-0000-0000-0000BD200000}"/>
    <cellStyle name="入力 2 6 2 6 2 2" xfId="9809" xr:uid="{00000000-0005-0000-0000-0000BE200000}"/>
    <cellStyle name="入力 2 6 2 6 3" xfId="3941" xr:uid="{00000000-0005-0000-0000-0000BF200000}"/>
    <cellStyle name="入力 2 6 2 6 3 2" xfId="9489" xr:uid="{00000000-0005-0000-0000-0000C0200000}"/>
    <cellStyle name="入力 2 6 2 6 4" xfId="7029" xr:uid="{00000000-0005-0000-0000-0000C1200000}"/>
    <cellStyle name="入力 2 6 2 7" xfId="6018" xr:uid="{00000000-0005-0000-0000-0000C2200000}"/>
    <cellStyle name="入力 2 6 3" xfId="225" xr:uid="{00000000-0005-0000-0000-0000C3200000}"/>
    <cellStyle name="入力 2 6 3 2" xfId="447" xr:uid="{00000000-0005-0000-0000-0000C4200000}"/>
    <cellStyle name="入力 2 6 3 2 2" xfId="956" xr:uid="{00000000-0005-0000-0000-0000C5200000}"/>
    <cellStyle name="入力 2 6 3 2 2 2" xfId="2062" xr:uid="{00000000-0005-0000-0000-0000C6200000}"/>
    <cellStyle name="入力 2 6 3 2 2 2 2" xfId="4971" xr:uid="{00000000-0005-0000-0000-0000C7200000}"/>
    <cellStyle name="入力 2 6 3 2 2 2 2 2" xfId="10441" xr:uid="{00000000-0005-0000-0000-0000C8200000}"/>
    <cellStyle name="入力 2 6 3 2 2 2 3" xfId="3942" xr:uid="{00000000-0005-0000-0000-0000C9200000}"/>
    <cellStyle name="入力 2 6 3 2 2 2 3 2" xfId="9490" xr:uid="{00000000-0005-0000-0000-0000CA200000}"/>
    <cellStyle name="入力 2 6 3 2 2 2 4" xfId="7716" xr:uid="{00000000-0005-0000-0000-0000CB200000}"/>
    <cellStyle name="入力 2 6 3 2 2 3" xfId="6707" xr:uid="{00000000-0005-0000-0000-0000CC200000}"/>
    <cellStyle name="入力 2 6 3 2 3" xfId="1555" xr:uid="{00000000-0005-0000-0000-0000CD200000}"/>
    <cellStyle name="入力 2 6 3 2 3 2" xfId="4519" xr:uid="{00000000-0005-0000-0000-0000CE200000}"/>
    <cellStyle name="入力 2 6 3 2 3 2 2" xfId="10033" xr:uid="{00000000-0005-0000-0000-0000CF200000}"/>
    <cellStyle name="入力 2 6 3 2 3 3" xfId="3943" xr:uid="{00000000-0005-0000-0000-0000D0200000}"/>
    <cellStyle name="入力 2 6 3 2 3 3 2" xfId="9491" xr:uid="{00000000-0005-0000-0000-0000D1200000}"/>
    <cellStyle name="入力 2 6 3 2 3 4" xfId="7253" xr:uid="{00000000-0005-0000-0000-0000D2200000}"/>
    <cellStyle name="入力 2 6 3 2 4" xfId="6242" xr:uid="{00000000-0005-0000-0000-0000D3200000}"/>
    <cellStyle name="入力 2 6 3 3" xfId="734" xr:uid="{00000000-0005-0000-0000-0000D4200000}"/>
    <cellStyle name="入力 2 6 3 3 2" xfId="1840" xr:uid="{00000000-0005-0000-0000-0000D5200000}"/>
    <cellStyle name="入力 2 6 3 3 2 2" xfId="4749" xr:uid="{00000000-0005-0000-0000-0000D6200000}"/>
    <cellStyle name="入力 2 6 3 3 2 2 2" xfId="10241" xr:uid="{00000000-0005-0000-0000-0000D7200000}"/>
    <cellStyle name="入力 2 6 3 3 2 3" xfId="3944" xr:uid="{00000000-0005-0000-0000-0000D8200000}"/>
    <cellStyle name="入力 2 6 3 3 2 3 2" xfId="9492" xr:uid="{00000000-0005-0000-0000-0000D9200000}"/>
    <cellStyle name="入力 2 6 3 3 2 4" xfId="7516" xr:uid="{00000000-0005-0000-0000-0000DA200000}"/>
    <cellStyle name="入力 2 6 3 3 3" xfId="6507" xr:uid="{00000000-0005-0000-0000-0000DB200000}"/>
    <cellStyle name="入力 2 6 3 4" xfId="1333" xr:uid="{00000000-0005-0000-0000-0000DC200000}"/>
    <cellStyle name="入力 2 6 3 4 2" xfId="4297" xr:uid="{00000000-0005-0000-0000-0000DD200000}"/>
    <cellStyle name="入力 2 6 3 4 2 2" xfId="9833" xr:uid="{00000000-0005-0000-0000-0000DE200000}"/>
    <cellStyle name="入力 2 6 3 4 3" xfId="3945" xr:uid="{00000000-0005-0000-0000-0000DF200000}"/>
    <cellStyle name="入力 2 6 3 4 3 2" xfId="9493" xr:uid="{00000000-0005-0000-0000-0000E0200000}"/>
    <cellStyle name="入力 2 6 3 4 4" xfId="7053" xr:uid="{00000000-0005-0000-0000-0000E1200000}"/>
    <cellStyle name="入力 2 6 3 5" xfId="6042" xr:uid="{00000000-0005-0000-0000-0000E2200000}"/>
    <cellStyle name="入力 2 6 4" xfId="223" xr:uid="{00000000-0005-0000-0000-0000E3200000}"/>
    <cellStyle name="入力 2 6 4 2" xfId="445" xr:uid="{00000000-0005-0000-0000-0000E4200000}"/>
    <cellStyle name="入力 2 6 4 2 2" xfId="954" xr:uid="{00000000-0005-0000-0000-0000E5200000}"/>
    <cellStyle name="入力 2 6 4 2 2 2" xfId="2060" xr:uid="{00000000-0005-0000-0000-0000E6200000}"/>
    <cellStyle name="入力 2 6 4 2 2 2 2" xfId="4969" xr:uid="{00000000-0005-0000-0000-0000E7200000}"/>
    <cellStyle name="入力 2 6 4 2 2 2 2 2" xfId="10439" xr:uid="{00000000-0005-0000-0000-0000E8200000}"/>
    <cellStyle name="入力 2 6 4 2 2 2 3" xfId="3946" xr:uid="{00000000-0005-0000-0000-0000E9200000}"/>
    <cellStyle name="入力 2 6 4 2 2 2 3 2" xfId="9494" xr:uid="{00000000-0005-0000-0000-0000EA200000}"/>
    <cellStyle name="入力 2 6 4 2 2 2 4" xfId="7714" xr:uid="{00000000-0005-0000-0000-0000EB200000}"/>
    <cellStyle name="入力 2 6 4 2 2 3" xfId="6705" xr:uid="{00000000-0005-0000-0000-0000EC200000}"/>
    <cellStyle name="入力 2 6 4 2 3" xfId="1553" xr:uid="{00000000-0005-0000-0000-0000ED200000}"/>
    <cellStyle name="入力 2 6 4 2 3 2" xfId="4517" xr:uid="{00000000-0005-0000-0000-0000EE200000}"/>
    <cellStyle name="入力 2 6 4 2 3 2 2" xfId="10031" xr:uid="{00000000-0005-0000-0000-0000EF200000}"/>
    <cellStyle name="入力 2 6 4 2 3 3" xfId="3947" xr:uid="{00000000-0005-0000-0000-0000F0200000}"/>
    <cellStyle name="入力 2 6 4 2 3 3 2" xfId="9495" xr:uid="{00000000-0005-0000-0000-0000F1200000}"/>
    <cellStyle name="入力 2 6 4 2 3 4" xfId="7251" xr:uid="{00000000-0005-0000-0000-0000F2200000}"/>
    <cellStyle name="入力 2 6 4 2 4" xfId="6240" xr:uid="{00000000-0005-0000-0000-0000F3200000}"/>
    <cellStyle name="入力 2 6 4 3" xfId="732" xr:uid="{00000000-0005-0000-0000-0000F4200000}"/>
    <cellStyle name="入力 2 6 4 3 2" xfId="1838" xr:uid="{00000000-0005-0000-0000-0000F5200000}"/>
    <cellStyle name="入力 2 6 4 3 2 2" xfId="4747" xr:uid="{00000000-0005-0000-0000-0000F6200000}"/>
    <cellStyle name="入力 2 6 4 3 2 2 2" xfId="10239" xr:uid="{00000000-0005-0000-0000-0000F7200000}"/>
    <cellStyle name="入力 2 6 4 3 2 3" xfId="3948" xr:uid="{00000000-0005-0000-0000-0000F8200000}"/>
    <cellStyle name="入力 2 6 4 3 2 3 2" xfId="9496" xr:uid="{00000000-0005-0000-0000-0000F9200000}"/>
    <cellStyle name="入力 2 6 4 3 2 4" xfId="7514" xr:uid="{00000000-0005-0000-0000-0000FA200000}"/>
    <cellStyle name="入力 2 6 4 3 3" xfId="6505" xr:uid="{00000000-0005-0000-0000-0000FB200000}"/>
    <cellStyle name="入力 2 6 4 4" xfId="1331" xr:uid="{00000000-0005-0000-0000-0000FC200000}"/>
    <cellStyle name="入力 2 6 4 4 2" xfId="4295" xr:uid="{00000000-0005-0000-0000-0000FD200000}"/>
    <cellStyle name="入力 2 6 4 4 2 2" xfId="9831" xr:uid="{00000000-0005-0000-0000-0000FE200000}"/>
    <cellStyle name="入力 2 6 4 4 3" xfId="3949" xr:uid="{00000000-0005-0000-0000-0000FF200000}"/>
    <cellStyle name="入力 2 6 4 4 3 2" xfId="9497" xr:uid="{00000000-0005-0000-0000-000000210000}"/>
    <cellStyle name="入力 2 6 4 4 4" xfId="7051" xr:uid="{00000000-0005-0000-0000-000001210000}"/>
    <cellStyle name="入力 2 6 4 5" xfId="6040" xr:uid="{00000000-0005-0000-0000-000002210000}"/>
    <cellStyle name="入力 2 6 5" xfId="357" xr:uid="{00000000-0005-0000-0000-000003210000}"/>
    <cellStyle name="入力 2 6 5 2" xfId="866" xr:uid="{00000000-0005-0000-0000-000004210000}"/>
    <cellStyle name="入力 2 6 5 2 2" xfId="1972" xr:uid="{00000000-0005-0000-0000-000005210000}"/>
    <cellStyle name="入力 2 6 5 2 2 2" xfId="4881" xr:uid="{00000000-0005-0000-0000-000006210000}"/>
    <cellStyle name="入力 2 6 5 2 2 2 2" xfId="10362" xr:uid="{00000000-0005-0000-0000-000007210000}"/>
    <cellStyle name="入力 2 6 5 2 2 3" xfId="3950" xr:uid="{00000000-0005-0000-0000-000008210000}"/>
    <cellStyle name="入力 2 6 5 2 2 3 2" xfId="9498" xr:uid="{00000000-0005-0000-0000-000009210000}"/>
    <cellStyle name="入力 2 6 5 2 2 4" xfId="7637" xr:uid="{00000000-0005-0000-0000-00000A210000}"/>
    <cellStyle name="入力 2 6 5 2 3" xfId="6628" xr:uid="{00000000-0005-0000-0000-00000B210000}"/>
    <cellStyle name="入力 2 6 5 3" xfId="1465" xr:uid="{00000000-0005-0000-0000-00000C210000}"/>
    <cellStyle name="入力 2 6 5 3 2" xfId="4429" xr:uid="{00000000-0005-0000-0000-00000D210000}"/>
    <cellStyle name="入力 2 6 5 3 2 2" xfId="9954" xr:uid="{00000000-0005-0000-0000-00000E210000}"/>
    <cellStyle name="入力 2 6 5 3 3" xfId="3951" xr:uid="{00000000-0005-0000-0000-00000F210000}"/>
    <cellStyle name="入力 2 6 5 3 3 2" xfId="9499" xr:uid="{00000000-0005-0000-0000-000010210000}"/>
    <cellStyle name="入力 2 6 5 3 4" xfId="7174" xr:uid="{00000000-0005-0000-0000-000011210000}"/>
    <cellStyle name="入力 2 6 5 4" xfId="6163" xr:uid="{00000000-0005-0000-0000-000012210000}"/>
    <cellStyle name="入力 2 6 6" xfId="651" xr:uid="{00000000-0005-0000-0000-000013210000}"/>
    <cellStyle name="入力 2 6 6 2" xfId="1757" xr:uid="{00000000-0005-0000-0000-000014210000}"/>
    <cellStyle name="入力 2 6 6 2 2" xfId="4666" xr:uid="{00000000-0005-0000-0000-000015210000}"/>
    <cellStyle name="入力 2 6 6 2 2 2" xfId="10168" xr:uid="{00000000-0005-0000-0000-000016210000}"/>
    <cellStyle name="入力 2 6 6 2 3" xfId="3952" xr:uid="{00000000-0005-0000-0000-000017210000}"/>
    <cellStyle name="入力 2 6 6 2 3 2" xfId="9500" xr:uid="{00000000-0005-0000-0000-000018210000}"/>
    <cellStyle name="入力 2 6 6 2 4" xfId="7443" xr:uid="{00000000-0005-0000-0000-000019210000}"/>
    <cellStyle name="入力 2 6 6 3" xfId="6434" xr:uid="{00000000-0005-0000-0000-00001A210000}"/>
    <cellStyle name="入力 2 6 7" xfId="1223" xr:uid="{00000000-0005-0000-0000-00001B210000}"/>
    <cellStyle name="入力 2 6 7 2" xfId="4214" xr:uid="{00000000-0005-0000-0000-00001C210000}"/>
    <cellStyle name="入力 2 6 7 2 2" xfId="9760" xr:uid="{00000000-0005-0000-0000-00001D210000}"/>
    <cellStyle name="入力 2 6 7 3" xfId="3953" xr:uid="{00000000-0005-0000-0000-00001E210000}"/>
    <cellStyle name="入力 2 6 7 3 2" xfId="9501" xr:uid="{00000000-0005-0000-0000-00001F210000}"/>
    <cellStyle name="入力 2 6 7 4" xfId="6954" xr:uid="{00000000-0005-0000-0000-000020210000}"/>
    <cellStyle name="入力 2 6 8" xfId="5942" xr:uid="{00000000-0005-0000-0000-000021210000}"/>
    <cellStyle name="入力 2 7" xfId="175" xr:uid="{00000000-0005-0000-0000-000022210000}"/>
    <cellStyle name="入力 2 7 2" xfId="249" xr:uid="{00000000-0005-0000-0000-000023210000}"/>
    <cellStyle name="入力 2 7 2 2" xfId="471" xr:uid="{00000000-0005-0000-0000-000024210000}"/>
    <cellStyle name="入力 2 7 2 2 2" xfId="980" xr:uid="{00000000-0005-0000-0000-000025210000}"/>
    <cellStyle name="入力 2 7 2 2 2 2" xfId="2086" xr:uid="{00000000-0005-0000-0000-000026210000}"/>
    <cellStyle name="入力 2 7 2 2 2 2 2" xfId="4995" xr:uid="{00000000-0005-0000-0000-000027210000}"/>
    <cellStyle name="入力 2 7 2 2 2 2 2 2" xfId="10465" xr:uid="{00000000-0005-0000-0000-000028210000}"/>
    <cellStyle name="入力 2 7 2 2 2 2 3" xfId="3954" xr:uid="{00000000-0005-0000-0000-000029210000}"/>
    <cellStyle name="入力 2 7 2 2 2 2 3 2" xfId="9502" xr:uid="{00000000-0005-0000-0000-00002A210000}"/>
    <cellStyle name="入力 2 7 2 2 2 2 4" xfId="7740" xr:uid="{00000000-0005-0000-0000-00002B210000}"/>
    <cellStyle name="入力 2 7 2 2 2 3" xfId="6731" xr:uid="{00000000-0005-0000-0000-00002C210000}"/>
    <cellStyle name="入力 2 7 2 2 3" xfId="1579" xr:uid="{00000000-0005-0000-0000-00002D210000}"/>
    <cellStyle name="入力 2 7 2 2 3 2" xfId="4543" xr:uid="{00000000-0005-0000-0000-00002E210000}"/>
    <cellStyle name="入力 2 7 2 2 3 2 2" xfId="10057" xr:uid="{00000000-0005-0000-0000-00002F210000}"/>
    <cellStyle name="入力 2 7 2 2 3 3" xfId="3955" xr:uid="{00000000-0005-0000-0000-000030210000}"/>
    <cellStyle name="入力 2 7 2 2 3 3 2" xfId="9503" xr:uid="{00000000-0005-0000-0000-000031210000}"/>
    <cellStyle name="入力 2 7 2 2 3 4" xfId="7277" xr:uid="{00000000-0005-0000-0000-000032210000}"/>
    <cellStyle name="入力 2 7 2 2 4" xfId="6266" xr:uid="{00000000-0005-0000-0000-000033210000}"/>
    <cellStyle name="入力 2 7 2 3" xfId="758" xr:uid="{00000000-0005-0000-0000-000034210000}"/>
    <cellStyle name="入力 2 7 2 3 2" xfId="1864" xr:uid="{00000000-0005-0000-0000-000035210000}"/>
    <cellStyle name="入力 2 7 2 3 2 2" xfId="4773" xr:uid="{00000000-0005-0000-0000-000036210000}"/>
    <cellStyle name="入力 2 7 2 3 2 2 2" xfId="10265" xr:uid="{00000000-0005-0000-0000-000037210000}"/>
    <cellStyle name="入力 2 7 2 3 2 3" xfId="3956" xr:uid="{00000000-0005-0000-0000-000038210000}"/>
    <cellStyle name="入力 2 7 2 3 2 3 2" xfId="9504" xr:uid="{00000000-0005-0000-0000-000039210000}"/>
    <cellStyle name="入力 2 7 2 3 2 4" xfId="7540" xr:uid="{00000000-0005-0000-0000-00003A210000}"/>
    <cellStyle name="入力 2 7 2 3 3" xfId="6531" xr:uid="{00000000-0005-0000-0000-00003B210000}"/>
    <cellStyle name="入力 2 7 2 4" xfId="1357" xr:uid="{00000000-0005-0000-0000-00003C210000}"/>
    <cellStyle name="入力 2 7 2 4 2" xfId="4321" xr:uid="{00000000-0005-0000-0000-00003D210000}"/>
    <cellStyle name="入力 2 7 2 4 2 2" xfId="9857" xr:uid="{00000000-0005-0000-0000-00003E210000}"/>
    <cellStyle name="入力 2 7 2 4 3" xfId="3957" xr:uid="{00000000-0005-0000-0000-00003F210000}"/>
    <cellStyle name="入力 2 7 2 4 3 2" xfId="9505" xr:uid="{00000000-0005-0000-0000-000040210000}"/>
    <cellStyle name="入力 2 7 2 4 4" xfId="7077" xr:uid="{00000000-0005-0000-0000-000041210000}"/>
    <cellStyle name="入力 2 7 2 5" xfId="6066" xr:uid="{00000000-0005-0000-0000-000042210000}"/>
    <cellStyle name="入力 2 7 3" xfId="314" xr:uid="{00000000-0005-0000-0000-000043210000}"/>
    <cellStyle name="入力 2 7 3 2" xfId="536" xr:uid="{00000000-0005-0000-0000-000044210000}"/>
    <cellStyle name="入力 2 7 3 2 2" xfId="1045" xr:uid="{00000000-0005-0000-0000-000045210000}"/>
    <cellStyle name="入力 2 7 3 2 2 2" xfId="2151" xr:uid="{00000000-0005-0000-0000-000046210000}"/>
    <cellStyle name="入力 2 7 3 2 2 2 2" xfId="5060" xr:uid="{00000000-0005-0000-0000-000047210000}"/>
    <cellStyle name="入力 2 7 3 2 2 2 2 2" xfId="10524" xr:uid="{00000000-0005-0000-0000-000048210000}"/>
    <cellStyle name="入力 2 7 3 2 2 2 3" xfId="3958" xr:uid="{00000000-0005-0000-0000-000049210000}"/>
    <cellStyle name="入力 2 7 3 2 2 2 3 2" xfId="9506" xr:uid="{00000000-0005-0000-0000-00004A210000}"/>
    <cellStyle name="入力 2 7 3 2 2 2 4" xfId="7799" xr:uid="{00000000-0005-0000-0000-00004B210000}"/>
    <cellStyle name="入力 2 7 3 2 2 3" xfId="6790" xr:uid="{00000000-0005-0000-0000-00004C210000}"/>
    <cellStyle name="入力 2 7 3 2 3" xfId="1644" xr:uid="{00000000-0005-0000-0000-00004D210000}"/>
    <cellStyle name="入力 2 7 3 2 3 2" xfId="4608" xr:uid="{00000000-0005-0000-0000-00004E210000}"/>
    <cellStyle name="入力 2 7 3 2 3 2 2" xfId="10116" xr:uid="{00000000-0005-0000-0000-00004F210000}"/>
    <cellStyle name="入力 2 7 3 2 3 3" xfId="3959" xr:uid="{00000000-0005-0000-0000-000050210000}"/>
    <cellStyle name="入力 2 7 3 2 3 3 2" xfId="9507" xr:uid="{00000000-0005-0000-0000-000051210000}"/>
    <cellStyle name="入力 2 7 3 2 3 4" xfId="7336" xr:uid="{00000000-0005-0000-0000-000052210000}"/>
    <cellStyle name="入力 2 7 3 2 4" xfId="6325" xr:uid="{00000000-0005-0000-0000-000053210000}"/>
    <cellStyle name="入力 2 7 3 3" xfId="823" xr:uid="{00000000-0005-0000-0000-000054210000}"/>
    <cellStyle name="入力 2 7 3 3 2" xfId="1929" xr:uid="{00000000-0005-0000-0000-000055210000}"/>
    <cellStyle name="入力 2 7 3 3 2 2" xfId="4838" xr:uid="{00000000-0005-0000-0000-000056210000}"/>
    <cellStyle name="入力 2 7 3 3 2 2 2" xfId="10324" xr:uid="{00000000-0005-0000-0000-000057210000}"/>
    <cellStyle name="入力 2 7 3 3 2 3" xfId="3960" xr:uid="{00000000-0005-0000-0000-000058210000}"/>
    <cellStyle name="入力 2 7 3 3 2 3 2" xfId="9508" xr:uid="{00000000-0005-0000-0000-000059210000}"/>
    <cellStyle name="入力 2 7 3 3 2 4" xfId="7599" xr:uid="{00000000-0005-0000-0000-00005A210000}"/>
    <cellStyle name="入力 2 7 3 3 3" xfId="6590" xr:uid="{00000000-0005-0000-0000-00005B210000}"/>
    <cellStyle name="入力 2 7 3 4" xfId="1422" xr:uid="{00000000-0005-0000-0000-00005C210000}"/>
    <cellStyle name="入力 2 7 3 4 2" xfId="4386" xr:uid="{00000000-0005-0000-0000-00005D210000}"/>
    <cellStyle name="入力 2 7 3 4 2 2" xfId="9916" xr:uid="{00000000-0005-0000-0000-00005E210000}"/>
    <cellStyle name="入力 2 7 3 4 3" xfId="3961" xr:uid="{00000000-0005-0000-0000-00005F210000}"/>
    <cellStyle name="入力 2 7 3 4 3 2" xfId="9509" xr:uid="{00000000-0005-0000-0000-000060210000}"/>
    <cellStyle name="入力 2 7 3 4 4" xfId="7136" xr:uid="{00000000-0005-0000-0000-000061210000}"/>
    <cellStyle name="入力 2 7 3 5" xfId="6125" xr:uid="{00000000-0005-0000-0000-000062210000}"/>
    <cellStyle name="入力 2 7 4" xfId="398" xr:uid="{00000000-0005-0000-0000-000063210000}"/>
    <cellStyle name="入力 2 7 4 2" xfId="907" xr:uid="{00000000-0005-0000-0000-000064210000}"/>
    <cellStyle name="入力 2 7 4 2 2" xfId="2013" xr:uid="{00000000-0005-0000-0000-000065210000}"/>
    <cellStyle name="入力 2 7 4 2 2 2" xfId="4922" xr:uid="{00000000-0005-0000-0000-000066210000}"/>
    <cellStyle name="入力 2 7 4 2 2 2 2" xfId="10397" xr:uid="{00000000-0005-0000-0000-000067210000}"/>
    <cellStyle name="入力 2 7 4 2 2 3" xfId="3962" xr:uid="{00000000-0005-0000-0000-000068210000}"/>
    <cellStyle name="入力 2 7 4 2 2 3 2" xfId="9510" xr:uid="{00000000-0005-0000-0000-000069210000}"/>
    <cellStyle name="入力 2 7 4 2 2 4" xfId="7672" xr:uid="{00000000-0005-0000-0000-00006A210000}"/>
    <cellStyle name="入力 2 7 4 2 3" xfId="6663" xr:uid="{00000000-0005-0000-0000-00006B210000}"/>
    <cellStyle name="入力 2 7 4 3" xfId="1506" xr:uid="{00000000-0005-0000-0000-00006C210000}"/>
    <cellStyle name="入力 2 7 4 3 2" xfId="4470" xr:uid="{00000000-0005-0000-0000-00006D210000}"/>
    <cellStyle name="入力 2 7 4 3 2 2" xfId="9989" xr:uid="{00000000-0005-0000-0000-00006E210000}"/>
    <cellStyle name="入力 2 7 4 3 3" xfId="3963" xr:uid="{00000000-0005-0000-0000-00006F210000}"/>
    <cellStyle name="入力 2 7 4 3 3 2" xfId="9511" xr:uid="{00000000-0005-0000-0000-000070210000}"/>
    <cellStyle name="入力 2 7 4 3 4" xfId="7209" xr:uid="{00000000-0005-0000-0000-000071210000}"/>
    <cellStyle name="入力 2 7 4 4" xfId="6198" xr:uid="{00000000-0005-0000-0000-000072210000}"/>
    <cellStyle name="入力 2 7 5" xfId="684" xr:uid="{00000000-0005-0000-0000-000073210000}"/>
    <cellStyle name="入力 2 7 5 2" xfId="1790" xr:uid="{00000000-0005-0000-0000-000074210000}"/>
    <cellStyle name="入力 2 7 5 2 2" xfId="4699" xr:uid="{00000000-0005-0000-0000-000075210000}"/>
    <cellStyle name="入力 2 7 5 2 2 2" xfId="10196" xr:uid="{00000000-0005-0000-0000-000076210000}"/>
    <cellStyle name="入力 2 7 5 2 3" xfId="3964" xr:uid="{00000000-0005-0000-0000-000077210000}"/>
    <cellStyle name="入力 2 7 5 2 3 2" xfId="9512" xr:uid="{00000000-0005-0000-0000-000078210000}"/>
    <cellStyle name="入力 2 7 5 2 4" xfId="7471" xr:uid="{00000000-0005-0000-0000-000079210000}"/>
    <cellStyle name="入力 2 7 5 3" xfId="6462" xr:uid="{00000000-0005-0000-0000-00007A210000}"/>
    <cellStyle name="入力 2 7 6" xfId="1283" xr:uid="{00000000-0005-0000-0000-00007B210000}"/>
    <cellStyle name="入力 2 7 6 2" xfId="4247" xr:uid="{00000000-0005-0000-0000-00007C210000}"/>
    <cellStyle name="入力 2 7 6 2 2" xfId="9788" xr:uid="{00000000-0005-0000-0000-00007D210000}"/>
    <cellStyle name="入力 2 7 6 3" xfId="3965" xr:uid="{00000000-0005-0000-0000-00007E210000}"/>
    <cellStyle name="入力 2 7 6 3 2" xfId="9513" xr:uid="{00000000-0005-0000-0000-00007F210000}"/>
    <cellStyle name="入力 2 7 6 4" xfId="7008" xr:uid="{00000000-0005-0000-0000-000080210000}"/>
    <cellStyle name="入力 2 7 7" xfId="5997" xr:uid="{00000000-0005-0000-0000-000081210000}"/>
    <cellStyle name="入力 2 8" xfId="224" xr:uid="{00000000-0005-0000-0000-000082210000}"/>
    <cellStyle name="入力 2 8 2" xfId="446" xr:uid="{00000000-0005-0000-0000-000083210000}"/>
    <cellStyle name="入力 2 8 2 2" xfId="955" xr:uid="{00000000-0005-0000-0000-000084210000}"/>
    <cellStyle name="入力 2 8 2 2 2" xfId="2061" xr:uid="{00000000-0005-0000-0000-000085210000}"/>
    <cellStyle name="入力 2 8 2 2 2 2" xfId="4970" xr:uid="{00000000-0005-0000-0000-000086210000}"/>
    <cellStyle name="入力 2 8 2 2 2 2 2" xfId="10440" xr:uid="{00000000-0005-0000-0000-000087210000}"/>
    <cellStyle name="入力 2 8 2 2 2 3" xfId="3966" xr:uid="{00000000-0005-0000-0000-000088210000}"/>
    <cellStyle name="入力 2 8 2 2 2 3 2" xfId="9514" xr:uid="{00000000-0005-0000-0000-000089210000}"/>
    <cellStyle name="入力 2 8 2 2 2 4" xfId="7715" xr:uid="{00000000-0005-0000-0000-00008A210000}"/>
    <cellStyle name="入力 2 8 2 2 3" xfId="6706" xr:uid="{00000000-0005-0000-0000-00008B210000}"/>
    <cellStyle name="入力 2 8 2 3" xfId="1554" xr:uid="{00000000-0005-0000-0000-00008C210000}"/>
    <cellStyle name="入力 2 8 2 3 2" xfId="4518" xr:uid="{00000000-0005-0000-0000-00008D210000}"/>
    <cellStyle name="入力 2 8 2 3 2 2" xfId="10032" xr:uid="{00000000-0005-0000-0000-00008E210000}"/>
    <cellStyle name="入力 2 8 2 3 3" xfId="3967" xr:uid="{00000000-0005-0000-0000-00008F210000}"/>
    <cellStyle name="入力 2 8 2 3 3 2" xfId="9515" xr:uid="{00000000-0005-0000-0000-000090210000}"/>
    <cellStyle name="入力 2 8 2 3 4" xfId="7252" xr:uid="{00000000-0005-0000-0000-000091210000}"/>
    <cellStyle name="入力 2 8 2 4" xfId="6241" xr:uid="{00000000-0005-0000-0000-000092210000}"/>
    <cellStyle name="入力 2 8 3" xfId="733" xr:uid="{00000000-0005-0000-0000-000093210000}"/>
    <cellStyle name="入力 2 8 3 2" xfId="1839" xr:uid="{00000000-0005-0000-0000-000094210000}"/>
    <cellStyle name="入力 2 8 3 2 2" xfId="4748" xr:uid="{00000000-0005-0000-0000-000095210000}"/>
    <cellStyle name="入力 2 8 3 2 2 2" xfId="10240" xr:uid="{00000000-0005-0000-0000-000096210000}"/>
    <cellStyle name="入力 2 8 3 2 3" xfId="3968" xr:uid="{00000000-0005-0000-0000-000097210000}"/>
    <cellStyle name="入力 2 8 3 2 3 2" xfId="9516" xr:uid="{00000000-0005-0000-0000-000098210000}"/>
    <cellStyle name="入力 2 8 3 2 4" xfId="7515" xr:uid="{00000000-0005-0000-0000-000099210000}"/>
    <cellStyle name="入力 2 8 3 3" xfId="6506" xr:uid="{00000000-0005-0000-0000-00009A210000}"/>
    <cellStyle name="入力 2 8 4" xfId="1332" xr:uid="{00000000-0005-0000-0000-00009B210000}"/>
    <cellStyle name="入力 2 8 4 2" xfId="4296" xr:uid="{00000000-0005-0000-0000-00009C210000}"/>
    <cellStyle name="入力 2 8 4 2 2" xfId="9832" xr:uid="{00000000-0005-0000-0000-00009D210000}"/>
    <cellStyle name="入力 2 8 4 3" xfId="3969" xr:uid="{00000000-0005-0000-0000-00009E210000}"/>
    <cellStyle name="入力 2 8 4 3 2" xfId="9517" xr:uid="{00000000-0005-0000-0000-00009F210000}"/>
    <cellStyle name="入力 2 8 4 4" xfId="7052" xr:uid="{00000000-0005-0000-0000-0000A0210000}"/>
    <cellStyle name="入力 2 8 5" xfId="6041" xr:uid="{00000000-0005-0000-0000-0000A1210000}"/>
    <cellStyle name="入力 2 9" xfId="220" xr:uid="{00000000-0005-0000-0000-0000A2210000}"/>
    <cellStyle name="入力 2 9 2" xfId="442" xr:uid="{00000000-0005-0000-0000-0000A3210000}"/>
    <cellStyle name="入力 2 9 2 2" xfId="951" xr:uid="{00000000-0005-0000-0000-0000A4210000}"/>
    <cellStyle name="入力 2 9 2 2 2" xfId="2057" xr:uid="{00000000-0005-0000-0000-0000A5210000}"/>
    <cellStyle name="入力 2 9 2 2 2 2" xfId="4966" xr:uid="{00000000-0005-0000-0000-0000A6210000}"/>
    <cellStyle name="入力 2 9 2 2 2 2 2" xfId="10436" xr:uid="{00000000-0005-0000-0000-0000A7210000}"/>
    <cellStyle name="入力 2 9 2 2 2 3" xfId="3970" xr:uid="{00000000-0005-0000-0000-0000A8210000}"/>
    <cellStyle name="入力 2 9 2 2 2 3 2" xfId="9518" xr:uid="{00000000-0005-0000-0000-0000A9210000}"/>
    <cellStyle name="入力 2 9 2 2 2 4" xfId="7711" xr:uid="{00000000-0005-0000-0000-0000AA210000}"/>
    <cellStyle name="入力 2 9 2 2 3" xfId="6702" xr:uid="{00000000-0005-0000-0000-0000AB210000}"/>
    <cellStyle name="入力 2 9 2 3" xfId="1550" xr:uid="{00000000-0005-0000-0000-0000AC210000}"/>
    <cellStyle name="入力 2 9 2 3 2" xfId="4514" xr:uid="{00000000-0005-0000-0000-0000AD210000}"/>
    <cellStyle name="入力 2 9 2 3 2 2" xfId="10028" xr:uid="{00000000-0005-0000-0000-0000AE210000}"/>
    <cellStyle name="入力 2 9 2 3 3" xfId="3971" xr:uid="{00000000-0005-0000-0000-0000AF210000}"/>
    <cellStyle name="入力 2 9 2 3 3 2" xfId="9519" xr:uid="{00000000-0005-0000-0000-0000B0210000}"/>
    <cellStyle name="入力 2 9 2 3 4" xfId="7248" xr:uid="{00000000-0005-0000-0000-0000B1210000}"/>
    <cellStyle name="入力 2 9 2 4" xfId="6237" xr:uid="{00000000-0005-0000-0000-0000B2210000}"/>
    <cellStyle name="入力 2 9 3" xfId="729" xr:uid="{00000000-0005-0000-0000-0000B3210000}"/>
    <cellStyle name="入力 2 9 3 2" xfId="1835" xr:uid="{00000000-0005-0000-0000-0000B4210000}"/>
    <cellStyle name="入力 2 9 3 2 2" xfId="4744" xr:uid="{00000000-0005-0000-0000-0000B5210000}"/>
    <cellStyle name="入力 2 9 3 2 2 2" xfId="10236" xr:uid="{00000000-0005-0000-0000-0000B6210000}"/>
    <cellStyle name="入力 2 9 3 2 3" xfId="3972" xr:uid="{00000000-0005-0000-0000-0000B7210000}"/>
    <cellStyle name="入力 2 9 3 2 3 2" xfId="9520" xr:uid="{00000000-0005-0000-0000-0000B8210000}"/>
    <cellStyle name="入力 2 9 3 2 4" xfId="7511" xr:uid="{00000000-0005-0000-0000-0000B9210000}"/>
    <cellStyle name="入力 2 9 3 3" xfId="6502" xr:uid="{00000000-0005-0000-0000-0000BA210000}"/>
    <cellStyle name="入力 2 9 4" xfId="1328" xr:uid="{00000000-0005-0000-0000-0000BB210000}"/>
    <cellStyle name="入力 2 9 4 2" xfId="4292" xr:uid="{00000000-0005-0000-0000-0000BC210000}"/>
    <cellStyle name="入力 2 9 4 2 2" xfId="9828" xr:uid="{00000000-0005-0000-0000-0000BD210000}"/>
    <cellStyle name="入力 2 9 4 3" xfId="3973" xr:uid="{00000000-0005-0000-0000-0000BE210000}"/>
    <cellStyle name="入力 2 9 4 3 2" xfId="9521" xr:uid="{00000000-0005-0000-0000-0000BF210000}"/>
    <cellStyle name="入力 2 9 4 4" xfId="7048" xr:uid="{00000000-0005-0000-0000-0000C0210000}"/>
    <cellStyle name="入力 2 9 5" xfId="6037" xr:uid="{00000000-0005-0000-0000-0000C1210000}"/>
    <cellStyle name="標準" xfId="0" builtinId="0"/>
    <cellStyle name="標準 10" xfId="1106" xr:uid="{00000000-0005-0000-0000-0000C3210000}"/>
    <cellStyle name="標準 10 2" xfId="1107" xr:uid="{00000000-0005-0000-0000-0000C4210000}"/>
    <cellStyle name="標準 10 2 2" xfId="1108" xr:uid="{00000000-0005-0000-0000-0000C5210000}"/>
    <cellStyle name="標準 10 2 2 2" xfId="1109" xr:uid="{00000000-0005-0000-0000-0000C6210000}"/>
    <cellStyle name="標準 10 2 2 2 2" xfId="2210" xr:uid="{00000000-0005-0000-0000-0000C7210000}"/>
    <cellStyle name="標準 10 2 2 2 2 2" xfId="2674" xr:uid="{00000000-0005-0000-0000-0000C8210000}"/>
    <cellStyle name="標準 10 2 2 2 2 2 2" xfId="5516" xr:uid="{00000000-0005-0000-0000-0000C9210000}"/>
    <cellStyle name="標準 10 2 2 2 2 2 2 2" xfId="10882" xr:uid="{00000000-0005-0000-0000-0000CA210000}"/>
    <cellStyle name="標準 10 2 2 2 2 2 3" xfId="8223" xr:uid="{00000000-0005-0000-0000-0000CB210000}"/>
    <cellStyle name="標準 10 2 2 2 2 3" xfId="3011" xr:uid="{00000000-0005-0000-0000-0000CC210000}"/>
    <cellStyle name="標準 10 2 2 2 2 3 2" xfId="5852" xr:uid="{00000000-0005-0000-0000-0000CD210000}"/>
    <cellStyle name="標準 10 2 2 2 2 3 2 2" xfId="11218" xr:uid="{00000000-0005-0000-0000-0000CE210000}"/>
    <cellStyle name="標準 10 2 2 2 2 3 3" xfId="8559" xr:uid="{00000000-0005-0000-0000-0000CF210000}"/>
    <cellStyle name="標準 10 2 2 2 2 4" xfId="3978" xr:uid="{00000000-0005-0000-0000-0000D0210000}"/>
    <cellStyle name="標準 10 2 2 2 2 4 2" xfId="9526" xr:uid="{00000000-0005-0000-0000-0000D1210000}"/>
    <cellStyle name="標準 10 2 2 2 2 5" xfId="7851" xr:uid="{00000000-0005-0000-0000-0000D2210000}"/>
    <cellStyle name="標準 10 2 2 2 3" xfId="2380" xr:uid="{00000000-0005-0000-0000-0000D3210000}"/>
    <cellStyle name="標準 10 2 2 2 3 2" xfId="5250" xr:uid="{00000000-0005-0000-0000-0000D4210000}"/>
    <cellStyle name="標準 10 2 2 2 3 2 2" xfId="10707" xr:uid="{00000000-0005-0000-0000-0000D5210000}"/>
    <cellStyle name="標準 10 2 2 2 3 3" xfId="8021" xr:uid="{00000000-0005-0000-0000-0000D6210000}"/>
    <cellStyle name="標準 10 2 2 2 4" xfId="2844" xr:uid="{00000000-0005-0000-0000-0000D7210000}"/>
    <cellStyle name="標準 10 2 2 2 4 2" xfId="5685" xr:uid="{00000000-0005-0000-0000-0000D8210000}"/>
    <cellStyle name="標準 10 2 2 2 4 2 2" xfId="11051" xr:uid="{00000000-0005-0000-0000-0000D9210000}"/>
    <cellStyle name="標準 10 2 2 2 4 3" xfId="8392" xr:uid="{00000000-0005-0000-0000-0000DA210000}"/>
    <cellStyle name="標準 10 2 2 2 5" xfId="3977" xr:uid="{00000000-0005-0000-0000-0000DB210000}"/>
    <cellStyle name="標準 10 2 2 2 5 2" xfId="9525" xr:uid="{00000000-0005-0000-0000-0000DC210000}"/>
    <cellStyle name="標準 10 2 2 2 6" xfId="6847" xr:uid="{00000000-0005-0000-0000-0000DD210000}"/>
    <cellStyle name="標準 10 2 2 3" xfId="1159" xr:uid="{00000000-0005-0000-0000-0000DE210000}"/>
    <cellStyle name="標準 10 2 2 3 2" xfId="2508" xr:uid="{00000000-0005-0000-0000-0000DF210000}"/>
    <cellStyle name="標準 10 2 2 3 2 2" xfId="5375" xr:uid="{00000000-0005-0000-0000-0000E0210000}"/>
    <cellStyle name="標準 10 2 2 3 2 2 2" xfId="10742" xr:uid="{00000000-0005-0000-0000-0000E1210000}"/>
    <cellStyle name="標準 10 2 2 3 2 3" xfId="8058" xr:uid="{00000000-0005-0000-0000-0000E2210000}"/>
    <cellStyle name="標準 10 2 2 3 3" xfId="2875" xr:uid="{00000000-0005-0000-0000-0000E3210000}"/>
    <cellStyle name="標準 10 2 2 3 3 2" xfId="5716" xr:uid="{00000000-0005-0000-0000-0000E4210000}"/>
    <cellStyle name="標準 10 2 2 3 3 2 2" xfId="11082" xr:uid="{00000000-0005-0000-0000-0000E5210000}"/>
    <cellStyle name="標準 10 2 2 3 3 3" xfId="8423" xr:uid="{00000000-0005-0000-0000-0000E6210000}"/>
    <cellStyle name="標準 10 2 2 3 4" xfId="3979" xr:uid="{00000000-0005-0000-0000-0000E7210000}"/>
    <cellStyle name="標準 10 2 2 3 4 2" xfId="9527" xr:uid="{00000000-0005-0000-0000-0000E8210000}"/>
    <cellStyle name="標準 10 2 2 3 5" xfId="6892" xr:uid="{00000000-0005-0000-0000-0000E9210000}"/>
    <cellStyle name="標準 10 2 2 4" xfId="2241" xr:uid="{00000000-0005-0000-0000-0000EA210000}"/>
    <cellStyle name="標準 10 2 2 4 2" xfId="5112" xr:uid="{00000000-0005-0000-0000-0000EB210000}"/>
    <cellStyle name="標準 10 2 2 4 2 2" xfId="10569" xr:uid="{00000000-0005-0000-0000-0000EC210000}"/>
    <cellStyle name="標準 10 2 2 4 3" xfId="7882" xr:uid="{00000000-0005-0000-0000-0000ED210000}"/>
    <cellStyle name="標準 10 2 2 5" xfId="2706" xr:uid="{00000000-0005-0000-0000-0000EE210000}"/>
    <cellStyle name="標準 10 2 2 5 2" xfId="5547" xr:uid="{00000000-0005-0000-0000-0000EF210000}"/>
    <cellStyle name="標準 10 2 2 5 2 2" xfId="10913" xr:uid="{00000000-0005-0000-0000-0000F0210000}"/>
    <cellStyle name="標準 10 2 2 5 3" xfId="8254" xr:uid="{00000000-0005-0000-0000-0000F1210000}"/>
    <cellStyle name="標準 10 2 2 6" xfId="3976" xr:uid="{00000000-0005-0000-0000-0000F2210000}"/>
    <cellStyle name="標準 10 2 2 6 2" xfId="9524" xr:uid="{00000000-0005-0000-0000-0000F3210000}"/>
    <cellStyle name="標準 10 2 2 7" xfId="6846" xr:uid="{00000000-0005-0000-0000-0000F4210000}"/>
    <cellStyle name="標準 10 2 3" xfId="1110" xr:uid="{00000000-0005-0000-0000-0000F5210000}"/>
    <cellStyle name="標準 10 2 3 2" xfId="2211" xr:uid="{00000000-0005-0000-0000-0000F6210000}"/>
    <cellStyle name="標準 10 2 3 2 2" xfId="2675" xr:uid="{00000000-0005-0000-0000-0000F7210000}"/>
    <cellStyle name="標準 10 2 3 2 2 2" xfId="5517" xr:uid="{00000000-0005-0000-0000-0000F8210000}"/>
    <cellStyle name="標準 10 2 3 2 2 2 2" xfId="10883" xr:uid="{00000000-0005-0000-0000-0000F9210000}"/>
    <cellStyle name="標準 10 2 3 2 2 3" xfId="8224" xr:uid="{00000000-0005-0000-0000-0000FA210000}"/>
    <cellStyle name="標準 10 2 3 2 3" xfId="3012" xr:uid="{00000000-0005-0000-0000-0000FB210000}"/>
    <cellStyle name="標準 10 2 3 2 3 2" xfId="5853" xr:uid="{00000000-0005-0000-0000-0000FC210000}"/>
    <cellStyle name="標準 10 2 3 2 3 2 2" xfId="11219" xr:uid="{00000000-0005-0000-0000-0000FD210000}"/>
    <cellStyle name="標準 10 2 3 2 3 3" xfId="8560" xr:uid="{00000000-0005-0000-0000-0000FE210000}"/>
    <cellStyle name="標準 10 2 3 2 4" xfId="3981" xr:uid="{00000000-0005-0000-0000-0000FF210000}"/>
    <cellStyle name="標準 10 2 3 2 4 2" xfId="9529" xr:uid="{00000000-0005-0000-0000-000000220000}"/>
    <cellStyle name="標準 10 2 3 2 5" xfId="7852" xr:uid="{00000000-0005-0000-0000-000001220000}"/>
    <cellStyle name="標準 10 2 3 3" xfId="2381" xr:uid="{00000000-0005-0000-0000-000002220000}"/>
    <cellStyle name="標準 10 2 3 3 2" xfId="5251" xr:uid="{00000000-0005-0000-0000-000003220000}"/>
    <cellStyle name="標準 10 2 3 3 2 2" xfId="10708" xr:uid="{00000000-0005-0000-0000-000004220000}"/>
    <cellStyle name="標準 10 2 3 3 3" xfId="8022" xr:uid="{00000000-0005-0000-0000-000005220000}"/>
    <cellStyle name="標準 10 2 3 4" xfId="2845" xr:uid="{00000000-0005-0000-0000-000006220000}"/>
    <cellStyle name="標準 10 2 3 4 2" xfId="5686" xr:uid="{00000000-0005-0000-0000-000007220000}"/>
    <cellStyle name="標準 10 2 3 4 2 2" xfId="11052" xr:uid="{00000000-0005-0000-0000-000008220000}"/>
    <cellStyle name="標準 10 2 3 4 3" xfId="8393" xr:uid="{00000000-0005-0000-0000-000009220000}"/>
    <cellStyle name="標準 10 2 3 5" xfId="3980" xr:uid="{00000000-0005-0000-0000-00000A220000}"/>
    <cellStyle name="標準 10 2 3 5 2" xfId="9528" xr:uid="{00000000-0005-0000-0000-00000B220000}"/>
    <cellStyle name="標準 10 2 3 6" xfId="6848" xr:uid="{00000000-0005-0000-0000-00000C220000}"/>
    <cellStyle name="標準 10 2 4" xfId="1158" xr:uid="{00000000-0005-0000-0000-00000D220000}"/>
    <cellStyle name="標準 10 2 4 2" xfId="2507" xr:uid="{00000000-0005-0000-0000-00000E220000}"/>
    <cellStyle name="標準 10 2 4 2 2" xfId="5374" xr:uid="{00000000-0005-0000-0000-00000F220000}"/>
    <cellStyle name="標準 10 2 4 2 2 2" xfId="10741" xr:uid="{00000000-0005-0000-0000-000010220000}"/>
    <cellStyle name="標準 10 2 4 2 3" xfId="8057" xr:uid="{00000000-0005-0000-0000-000011220000}"/>
    <cellStyle name="標準 10 2 4 3" xfId="2874" xr:uid="{00000000-0005-0000-0000-000012220000}"/>
    <cellStyle name="標準 10 2 4 3 2" xfId="5715" xr:uid="{00000000-0005-0000-0000-000013220000}"/>
    <cellStyle name="標準 10 2 4 3 2 2" xfId="11081" xr:uid="{00000000-0005-0000-0000-000014220000}"/>
    <cellStyle name="標準 10 2 4 3 3" xfId="8422" xr:uid="{00000000-0005-0000-0000-000015220000}"/>
    <cellStyle name="標準 10 2 4 4" xfId="3982" xr:uid="{00000000-0005-0000-0000-000016220000}"/>
    <cellStyle name="標準 10 2 4 4 2" xfId="9530" xr:uid="{00000000-0005-0000-0000-000017220000}"/>
    <cellStyle name="標準 10 2 4 5" xfId="6891" xr:uid="{00000000-0005-0000-0000-000018220000}"/>
    <cellStyle name="標準 10 2 5" xfId="2240" xr:uid="{00000000-0005-0000-0000-000019220000}"/>
    <cellStyle name="標準 10 2 5 2" xfId="5111" xr:uid="{00000000-0005-0000-0000-00001A220000}"/>
    <cellStyle name="標準 10 2 5 2 2" xfId="10568" xr:uid="{00000000-0005-0000-0000-00001B220000}"/>
    <cellStyle name="標準 10 2 5 3" xfId="7881" xr:uid="{00000000-0005-0000-0000-00001C220000}"/>
    <cellStyle name="標準 10 2 6" xfId="2705" xr:uid="{00000000-0005-0000-0000-00001D220000}"/>
    <cellStyle name="標準 10 2 6 2" xfId="5546" xr:uid="{00000000-0005-0000-0000-00001E220000}"/>
    <cellStyle name="標準 10 2 6 2 2" xfId="10912" xr:uid="{00000000-0005-0000-0000-00001F220000}"/>
    <cellStyle name="標準 10 2 6 3" xfId="8253" xr:uid="{00000000-0005-0000-0000-000020220000}"/>
    <cellStyle name="標準 10 2 7" xfId="3975" xr:uid="{00000000-0005-0000-0000-000021220000}"/>
    <cellStyle name="標準 10 2 7 2" xfId="9523" xr:uid="{00000000-0005-0000-0000-000022220000}"/>
    <cellStyle name="標準 10 2 8" xfId="6845" xr:uid="{00000000-0005-0000-0000-000023220000}"/>
    <cellStyle name="標準 10 3" xfId="1111" xr:uid="{00000000-0005-0000-0000-000024220000}"/>
    <cellStyle name="標準 10 3 2" xfId="2212" xr:uid="{00000000-0005-0000-0000-000025220000}"/>
    <cellStyle name="標準 10 3 2 2" xfId="2676" xr:uid="{00000000-0005-0000-0000-000026220000}"/>
    <cellStyle name="標準 10 3 2 2 2" xfId="5518" xr:uid="{00000000-0005-0000-0000-000027220000}"/>
    <cellStyle name="標準 10 3 2 2 2 2" xfId="10884" xr:uid="{00000000-0005-0000-0000-000028220000}"/>
    <cellStyle name="標準 10 3 2 2 3" xfId="8225" xr:uid="{00000000-0005-0000-0000-000029220000}"/>
    <cellStyle name="標準 10 3 2 3" xfId="3013" xr:uid="{00000000-0005-0000-0000-00002A220000}"/>
    <cellStyle name="標準 10 3 2 3 2" xfId="5854" xr:uid="{00000000-0005-0000-0000-00002B220000}"/>
    <cellStyle name="標準 10 3 2 3 2 2" xfId="11220" xr:uid="{00000000-0005-0000-0000-00002C220000}"/>
    <cellStyle name="標準 10 3 2 3 3" xfId="8561" xr:uid="{00000000-0005-0000-0000-00002D220000}"/>
    <cellStyle name="標準 10 3 2 4" xfId="3984" xr:uid="{00000000-0005-0000-0000-00002E220000}"/>
    <cellStyle name="標準 10 3 2 4 2" xfId="9532" xr:uid="{00000000-0005-0000-0000-00002F220000}"/>
    <cellStyle name="標準 10 3 2 5" xfId="7853" xr:uid="{00000000-0005-0000-0000-000030220000}"/>
    <cellStyle name="標準 10 3 3" xfId="2382" xr:uid="{00000000-0005-0000-0000-000031220000}"/>
    <cellStyle name="標準 10 3 3 2" xfId="5252" xr:uid="{00000000-0005-0000-0000-000032220000}"/>
    <cellStyle name="標準 10 3 3 2 2" xfId="10709" xr:uid="{00000000-0005-0000-0000-000033220000}"/>
    <cellStyle name="標準 10 3 3 3" xfId="8023" xr:uid="{00000000-0005-0000-0000-000034220000}"/>
    <cellStyle name="標準 10 3 4" xfId="2846" xr:uid="{00000000-0005-0000-0000-000035220000}"/>
    <cellStyle name="標準 10 3 4 2" xfId="5687" xr:uid="{00000000-0005-0000-0000-000036220000}"/>
    <cellStyle name="標準 10 3 4 2 2" xfId="11053" xr:uid="{00000000-0005-0000-0000-000037220000}"/>
    <cellStyle name="標準 10 3 4 3" xfId="8394" xr:uid="{00000000-0005-0000-0000-000038220000}"/>
    <cellStyle name="標準 10 3 5" xfId="3983" xr:uid="{00000000-0005-0000-0000-000039220000}"/>
    <cellStyle name="標準 10 3 5 2" xfId="9531" xr:uid="{00000000-0005-0000-0000-00003A220000}"/>
    <cellStyle name="標準 10 3 6" xfId="6849" xr:uid="{00000000-0005-0000-0000-00003B220000}"/>
    <cellStyle name="標準 10 4" xfId="1157" xr:uid="{00000000-0005-0000-0000-00003C220000}"/>
    <cellStyle name="標準 10 4 2" xfId="2506" xr:uid="{00000000-0005-0000-0000-00003D220000}"/>
    <cellStyle name="標準 10 4 2 2" xfId="5373" xr:uid="{00000000-0005-0000-0000-00003E220000}"/>
    <cellStyle name="標準 10 4 2 2 2" xfId="10740" xr:uid="{00000000-0005-0000-0000-00003F220000}"/>
    <cellStyle name="標準 10 4 2 3" xfId="8056" xr:uid="{00000000-0005-0000-0000-000040220000}"/>
    <cellStyle name="標準 10 4 3" xfId="2873" xr:uid="{00000000-0005-0000-0000-000041220000}"/>
    <cellStyle name="標準 10 4 3 2" xfId="5714" xr:uid="{00000000-0005-0000-0000-000042220000}"/>
    <cellStyle name="標準 10 4 3 2 2" xfId="11080" xr:uid="{00000000-0005-0000-0000-000043220000}"/>
    <cellStyle name="標準 10 4 3 3" xfId="8421" xr:uid="{00000000-0005-0000-0000-000044220000}"/>
    <cellStyle name="標準 10 4 4" xfId="3985" xr:uid="{00000000-0005-0000-0000-000045220000}"/>
    <cellStyle name="標準 10 4 4 2" xfId="9533" xr:uid="{00000000-0005-0000-0000-000046220000}"/>
    <cellStyle name="標準 10 4 5" xfId="6890" xr:uid="{00000000-0005-0000-0000-000047220000}"/>
    <cellStyle name="標準 10 5" xfId="2239" xr:uid="{00000000-0005-0000-0000-000048220000}"/>
    <cellStyle name="標準 10 5 2" xfId="5110" xr:uid="{00000000-0005-0000-0000-000049220000}"/>
    <cellStyle name="標準 10 5 2 2" xfId="10567" xr:uid="{00000000-0005-0000-0000-00004A220000}"/>
    <cellStyle name="標準 10 5 3" xfId="7880" xr:uid="{00000000-0005-0000-0000-00004B220000}"/>
    <cellStyle name="標準 10 6" xfId="2704" xr:uid="{00000000-0005-0000-0000-00004C220000}"/>
    <cellStyle name="標準 10 6 2" xfId="5545" xr:uid="{00000000-0005-0000-0000-00004D220000}"/>
    <cellStyle name="標準 10 6 2 2" xfId="10911" xr:uid="{00000000-0005-0000-0000-00004E220000}"/>
    <cellStyle name="標準 10 6 3" xfId="8252" xr:uid="{00000000-0005-0000-0000-00004F220000}"/>
    <cellStyle name="標準 10 7" xfId="3974" xr:uid="{00000000-0005-0000-0000-000050220000}"/>
    <cellStyle name="標準 10 7 2" xfId="9522" xr:uid="{00000000-0005-0000-0000-000051220000}"/>
    <cellStyle name="標準 10 8" xfId="6844" xr:uid="{00000000-0005-0000-0000-000052220000}"/>
    <cellStyle name="標準 11" xfId="1112" xr:uid="{00000000-0005-0000-0000-000053220000}"/>
    <cellStyle name="標準 11 2" xfId="1113" xr:uid="{00000000-0005-0000-0000-000054220000}"/>
    <cellStyle name="標準 11 2 2" xfId="1114" xr:uid="{00000000-0005-0000-0000-000055220000}"/>
    <cellStyle name="標準 11 2 2 2" xfId="2213" xr:uid="{00000000-0005-0000-0000-000056220000}"/>
    <cellStyle name="標準 11 2 2 2 2" xfId="2677" xr:uid="{00000000-0005-0000-0000-000057220000}"/>
    <cellStyle name="標準 11 2 2 2 2 2" xfId="5519" xr:uid="{00000000-0005-0000-0000-000058220000}"/>
    <cellStyle name="標準 11 2 2 2 2 2 2" xfId="10885" xr:uid="{00000000-0005-0000-0000-000059220000}"/>
    <cellStyle name="標準 11 2 2 2 2 3" xfId="8226" xr:uid="{00000000-0005-0000-0000-00005A220000}"/>
    <cellStyle name="標準 11 2 2 2 3" xfId="3014" xr:uid="{00000000-0005-0000-0000-00005B220000}"/>
    <cellStyle name="標準 11 2 2 2 3 2" xfId="5855" xr:uid="{00000000-0005-0000-0000-00005C220000}"/>
    <cellStyle name="標準 11 2 2 2 3 2 2" xfId="11221" xr:uid="{00000000-0005-0000-0000-00005D220000}"/>
    <cellStyle name="標準 11 2 2 2 3 3" xfId="8562" xr:uid="{00000000-0005-0000-0000-00005E220000}"/>
    <cellStyle name="標準 11 2 2 2 4" xfId="3989" xr:uid="{00000000-0005-0000-0000-00005F220000}"/>
    <cellStyle name="標準 11 2 2 2 4 2" xfId="9537" xr:uid="{00000000-0005-0000-0000-000060220000}"/>
    <cellStyle name="標準 11 2 2 2 5" xfId="7854" xr:uid="{00000000-0005-0000-0000-000061220000}"/>
    <cellStyle name="標準 11 2 2 3" xfId="2383" xr:uid="{00000000-0005-0000-0000-000062220000}"/>
    <cellStyle name="標準 11 2 2 3 2" xfId="5253" xr:uid="{00000000-0005-0000-0000-000063220000}"/>
    <cellStyle name="標準 11 2 2 3 2 2" xfId="10710" xr:uid="{00000000-0005-0000-0000-000064220000}"/>
    <cellStyle name="標準 11 2 2 3 3" xfId="8024" xr:uid="{00000000-0005-0000-0000-000065220000}"/>
    <cellStyle name="標準 11 2 2 4" xfId="2847" xr:uid="{00000000-0005-0000-0000-000066220000}"/>
    <cellStyle name="標準 11 2 2 4 2" xfId="5688" xr:uid="{00000000-0005-0000-0000-000067220000}"/>
    <cellStyle name="標準 11 2 2 4 2 2" xfId="11054" xr:uid="{00000000-0005-0000-0000-000068220000}"/>
    <cellStyle name="標準 11 2 2 4 3" xfId="8395" xr:uid="{00000000-0005-0000-0000-000069220000}"/>
    <cellStyle name="標準 11 2 2 5" xfId="3988" xr:uid="{00000000-0005-0000-0000-00006A220000}"/>
    <cellStyle name="標準 11 2 2 5 2" xfId="9536" xr:uid="{00000000-0005-0000-0000-00006B220000}"/>
    <cellStyle name="標準 11 2 2 6" xfId="6852" xr:uid="{00000000-0005-0000-0000-00006C220000}"/>
    <cellStyle name="標準 11 2 3" xfId="1161" xr:uid="{00000000-0005-0000-0000-00006D220000}"/>
    <cellStyle name="標準 11 2 3 2" xfId="2510" xr:uid="{00000000-0005-0000-0000-00006E220000}"/>
    <cellStyle name="標準 11 2 3 2 2" xfId="5377" xr:uid="{00000000-0005-0000-0000-00006F220000}"/>
    <cellStyle name="標準 11 2 3 2 2 2" xfId="10744" xr:uid="{00000000-0005-0000-0000-000070220000}"/>
    <cellStyle name="標準 11 2 3 2 3" xfId="8060" xr:uid="{00000000-0005-0000-0000-000071220000}"/>
    <cellStyle name="標準 11 2 3 3" xfId="2877" xr:uid="{00000000-0005-0000-0000-000072220000}"/>
    <cellStyle name="標準 11 2 3 3 2" xfId="5718" xr:uid="{00000000-0005-0000-0000-000073220000}"/>
    <cellStyle name="標準 11 2 3 3 2 2" xfId="11084" xr:uid="{00000000-0005-0000-0000-000074220000}"/>
    <cellStyle name="標準 11 2 3 3 3" xfId="8425" xr:uid="{00000000-0005-0000-0000-000075220000}"/>
    <cellStyle name="標準 11 2 3 4" xfId="3990" xr:uid="{00000000-0005-0000-0000-000076220000}"/>
    <cellStyle name="標準 11 2 3 4 2" xfId="9538" xr:uid="{00000000-0005-0000-0000-000077220000}"/>
    <cellStyle name="標準 11 2 3 5" xfId="6894" xr:uid="{00000000-0005-0000-0000-000078220000}"/>
    <cellStyle name="標準 11 2 4" xfId="2243" xr:uid="{00000000-0005-0000-0000-000079220000}"/>
    <cellStyle name="標準 11 2 4 2" xfId="5114" xr:uid="{00000000-0005-0000-0000-00007A220000}"/>
    <cellStyle name="標準 11 2 4 2 2" xfId="10571" xr:uid="{00000000-0005-0000-0000-00007B220000}"/>
    <cellStyle name="標準 11 2 4 3" xfId="7884" xr:uid="{00000000-0005-0000-0000-00007C220000}"/>
    <cellStyle name="標準 11 2 5" xfId="2708" xr:uid="{00000000-0005-0000-0000-00007D220000}"/>
    <cellStyle name="標準 11 2 5 2" xfId="5549" xr:uid="{00000000-0005-0000-0000-00007E220000}"/>
    <cellStyle name="標準 11 2 5 2 2" xfId="10915" xr:uid="{00000000-0005-0000-0000-00007F220000}"/>
    <cellStyle name="標準 11 2 5 3" xfId="8256" xr:uid="{00000000-0005-0000-0000-000080220000}"/>
    <cellStyle name="標準 11 2 6" xfId="3987" xr:uid="{00000000-0005-0000-0000-000081220000}"/>
    <cellStyle name="標準 11 2 6 2" xfId="9535" xr:uid="{00000000-0005-0000-0000-000082220000}"/>
    <cellStyle name="標準 11 2 7" xfId="6851" xr:uid="{00000000-0005-0000-0000-000083220000}"/>
    <cellStyle name="標準 11 3" xfId="1115" xr:uid="{00000000-0005-0000-0000-000084220000}"/>
    <cellStyle name="標準 11 3 2" xfId="2214" xr:uid="{00000000-0005-0000-0000-000085220000}"/>
    <cellStyle name="標準 11 3 2 2" xfId="2678" xr:uid="{00000000-0005-0000-0000-000086220000}"/>
    <cellStyle name="標準 11 3 2 2 2" xfId="5520" xr:uid="{00000000-0005-0000-0000-000087220000}"/>
    <cellStyle name="標準 11 3 2 2 2 2" xfId="10886" xr:uid="{00000000-0005-0000-0000-000088220000}"/>
    <cellStyle name="標準 11 3 2 2 3" xfId="8227" xr:uid="{00000000-0005-0000-0000-000089220000}"/>
    <cellStyle name="標準 11 3 2 3" xfId="3015" xr:uid="{00000000-0005-0000-0000-00008A220000}"/>
    <cellStyle name="標準 11 3 2 3 2" xfId="5856" xr:uid="{00000000-0005-0000-0000-00008B220000}"/>
    <cellStyle name="標準 11 3 2 3 2 2" xfId="11222" xr:uid="{00000000-0005-0000-0000-00008C220000}"/>
    <cellStyle name="標準 11 3 2 3 3" xfId="8563" xr:uid="{00000000-0005-0000-0000-00008D220000}"/>
    <cellStyle name="標準 11 3 2 4" xfId="3992" xr:uid="{00000000-0005-0000-0000-00008E220000}"/>
    <cellStyle name="標準 11 3 2 4 2" xfId="9540" xr:uid="{00000000-0005-0000-0000-00008F220000}"/>
    <cellStyle name="標準 11 3 2 5" xfId="7855" xr:uid="{00000000-0005-0000-0000-000090220000}"/>
    <cellStyle name="標準 11 3 3" xfId="2384" xr:uid="{00000000-0005-0000-0000-000091220000}"/>
    <cellStyle name="標準 11 3 3 2" xfId="5254" xr:uid="{00000000-0005-0000-0000-000092220000}"/>
    <cellStyle name="標準 11 3 3 2 2" xfId="10711" xr:uid="{00000000-0005-0000-0000-000093220000}"/>
    <cellStyle name="標準 11 3 3 3" xfId="8025" xr:uid="{00000000-0005-0000-0000-000094220000}"/>
    <cellStyle name="標準 11 3 4" xfId="2848" xr:uid="{00000000-0005-0000-0000-000095220000}"/>
    <cellStyle name="標準 11 3 4 2" xfId="5689" xr:uid="{00000000-0005-0000-0000-000096220000}"/>
    <cellStyle name="標準 11 3 4 2 2" xfId="11055" xr:uid="{00000000-0005-0000-0000-000097220000}"/>
    <cellStyle name="標準 11 3 4 3" xfId="8396" xr:uid="{00000000-0005-0000-0000-000098220000}"/>
    <cellStyle name="標準 11 3 5" xfId="3991" xr:uid="{00000000-0005-0000-0000-000099220000}"/>
    <cellStyle name="標準 11 3 5 2" xfId="9539" xr:uid="{00000000-0005-0000-0000-00009A220000}"/>
    <cellStyle name="標準 11 3 6" xfId="6853" xr:uid="{00000000-0005-0000-0000-00009B220000}"/>
    <cellStyle name="標準 11 4" xfId="1160" xr:uid="{00000000-0005-0000-0000-00009C220000}"/>
    <cellStyle name="標準 11 4 2" xfId="2509" xr:uid="{00000000-0005-0000-0000-00009D220000}"/>
    <cellStyle name="標準 11 4 2 2" xfId="5376" xr:uid="{00000000-0005-0000-0000-00009E220000}"/>
    <cellStyle name="標準 11 4 2 2 2" xfId="10743" xr:uid="{00000000-0005-0000-0000-00009F220000}"/>
    <cellStyle name="標準 11 4 2 3" xfId="8059" xr:uid="{00000000-0005-0000-0000-0000A0220000}"/>
    <cellStyle name="標準 11 4 3" xfId="2876" xr:uid="{00000000-0005-0000-0000-0000A1220000}"/>
    <cellStyle name="標準 11 4 3 2" xfId="5717" xr:uid="{00000000-0005-0000-0000-0000A2220000}"/>
    <cellStyle name="標準 11 4 3 2 2" xfId="11083" xr:uid="{00000000-0005-0000-0000-0000A3220000}"/>
    <cellStyle name="標準 11 4 3 3" xfId="8424" xr:uid="{00000000-0005-0000-0000-0000A4220000}"/>
    <cellStyle name="標準 11 4 4" xfId="3993" xr:uid="{00000000-0005-0000-0000-0000A5220000}"/>
    <cellStyle name="標準 11 4 4 2" xfId="9541" xr:uid="{00000000-0005-0000-0000-0000A6220000}"/>
    <cellStyle name="標準 11 4 5" xfId="6893" xr:uid="{00000000-0005-0000-0000-0000A7220000}"/>
    <cellStyle name="標準 11 5" xfId="2242" xr:uid="{00000000-0005-0000-0000-0000A8220000}"/>
    <cellStyle name="標準 11 5 2" xfId="5113" xr:uid="{00000000-0005-0000-0000-0000A9220000}"/>
    <cellStyle name="標準 11 5 2 2" xfId="10570" xr:uid="{00000000-0005-0000-0000-0000AA220000}"/>
    <cellStyle name="標準 11 5 3" xfId="7883" xr:uid="{00000000-0005-0000-0000-0000AB220000}"/>
    <cellStyle name="標準 11 6" xfId="2707" xr:uid="{00000000-0005-0000-0000-0000AC220000}"/>
    <cellStyle name="標準 11 6 2" xfId="5548" xr:uid="{00000000-0005-0000-0000-0000AD220000}"/>
    <cellStyle name="標準 11 6 2 2" xfId="10914" xr:uid="{00000000-0005-0000-0000-0000AE220000}"/>
    <cellStyle name="標準 11 6 3" xfId="8255" xr:uid="{00000000-0005-0000-0000-0000AF220000}"/>
    <cellStyle name="標準 11 7" xfId="3986" xr:uid="{00000000-0005-0000-0000-0000B0220000}"/>
    <cellStyle name="標準 11 7 2" xfId="9534" xr:uid="{00000000-0005-0000-0000-0000B1220000}"/>
    <cellStyle name="標準 11 8" xfId="6850" xr:uid="{00000000-0005-0000-0000-0000B2220000}"/>
    <cellStyle name="標準 12" xfId="1116" xr:uid="{00000000-0005-0000-0000-0000B3220000}"/>
    <cellStyle name="標準 13" xfId="1117" xr:uid="{00000000-0005-0000-0000-0000B4220000}"/>
    <cellStyle name="標準 13 2" xfId="1118" xr:uid="{00000000-0005-0000-0000-0000B5220000}"/>
    <cellStyle name="標準 13 2 2" xfId="2215" xr:uid="{00000000-0005-0000-0000-0000B6220000}"/>
    <cellStyle name="標準 13 2 2 2" xfId="2679" xr:uid="{00000000-0005-0000-0000-0000B7220000}"/>
    <cellStyle name="標準 13 2 2 2 2" xfId="5521" xr:uid="{00000000-0005-0000-0000-0000B8220000}"/>
    <cellStyle name="標準 13 2 2 2 2 2" xfId="10887" xr:uid="{00000000-0005-0000-0000-0000B9220000}"/>
    <cellStyle name="標準 13 2 2 2 3" xfId="8228" xr:uid="{00000000-0005-0000-0000-0000BA220000}"/>
    <cellStyle name="標準 13 2 2 3" xfId="3016" xr:uid="{00000000-0005-0000-0000-0000BB220000}"/>
    <cellStyle name="標準 13 2 2 3 2" xfId="5857" xr:uid="{00000000-0005-0000-0000-0000BC220000}"/>
    <cellStyle name="標準 13 2 2 3 2 2" xfId="11223" xr:uid="{00000000-0005-0000-0000-0000BD220000}"/>
    <cellStyle name="標準 13 2 2 3 3" xfId="8564" xr:uid="{00000000-0005-0000-0000-0000BE220000}"/>
    <cellStyle name="標準 13 2 2 4" xfId="3996" xr:uid="{00000000-0005-0000-0000-0000BF220000}"/>
    <cellStyle name="標準 13 2 2 4 2" xfId="9544" xr:uid="{00000000-0005-0000-0000-0000C0220000}"/>
    <cellStyle name="標準 13 2 2 5" xfId="7856" xr:uid="{00000000-0005-0000-0000-0000C1220000}"/>
    <cellStyle name="標準 13 2 3" xfId="2385" xr:uid="{00000000-0005-0000-0000-0000C2220000}"/>
    <cellStyle name="標準 13 2 3 2" xfId="5255" xr:uid="{00000000-0005-0000-0000-0000C3220000}"/>
    <cellStyle name="標準 13 2 3 2 2" xfId="10712" xr:uid="{00000000-0005-0000-0000-0000C4220000}"/>
    <cellStyle name="標準 13 2 3 3" xfId="8026" xr:uid="{00000000-0005-0000-0000-0000C5220000}"/>
    <cellStyle name="標準 13 2 4" xfId="2849" xr:uid="{00000000-0005-0000-0000-0000C6220000}"/>
    <cellStyle name="標準 13 2 4 2" xfId="5690" xr:uid="{00000000-0005-0000-0000-0000C7220000}"/>
    <cellStyle name="標準 13 2 4 2 2" xfId="11056" xr:uid="{00000000-0005-0000-0000-0000C8220000}"/>
    <cellStyle name="標準 13 2 4 3" xfId="8397" xr:uid="{00000000-0005-0000-0000-0000C9220000}"/>
    <cellStyle name="標準 13 2 5" xfId="3995" xr:uid="{00000000-0005-0000-0000-0000CA220000}"/>
    <cellStyle name="標準 13 2 5 2" xfId="9543" xr:uid="{00000000-0005-0000-0000-0000CB220000}"/>
    <cellStyle name="標準 13 2 6" xfId="6855" xr:uid="{00000000-0005-0000-0000-0000CC220000}"/>
    <cellStyle name="標準 13 3" xfId="1162" xr:uid="{00000000-0005-0000-0000-0000CD220000}"/>
    <cellStyle name="標準 13 3 2" xfId="2511" xr:uid="{00000000-0005-0000-0000-0000CE220000}"/>
    <cellStyle name="標準 13 3 2 2" xfId="5378" xr:uid="{00000000-0005-0000-0000-0000CF220000}"/>
    <cellStyle name="標準 13 3 2 2 2" xfId="10745" xr:uid="{00000000-0005-0000-0000-0000D0220000}"/>
    <cellStyle name="標準 13 3 2 3" xfId="8061" xr:uid="{00000000-0005-0000-0000-0000D1220000}"/>
    <cellStyle name="標準 13 3 3" xfId="2878" xr:uid="{00000000-0005-0000-0000-0000D2220000}"/>
    <cellStyle name="標準 13 3 3 2" xfId="5719" xr:uid="{00000000-0005-0000-0000-0000D3220000}"/>
    <cellStyle name="標準 13 3 3 2 2" xfId="11085" xr:uid="{00000000-0005-0000-0000-0000D4220000}"/>
    <cellStyle name="標準 13 3 3 3" xfId="8426" xr:uid="{00000000-0005-0000-0000-0000D5220000}"/>
    <cellStyle name="標準 13 3 4" xfId="3997" xr:uid="{00000000-0005-0000-0000-0000D6220000}"/>
    <cellStyle name="標準 13 3 4 2" xfId="9545" xr:uid="{00000000-0005-0000-0000-0000D7220000}"/>
    <cellStyle name="標準 13 3 5" xfId="6895" xr:uid="{00000000-0005-0000-0000-0000D8220000}"/>
    <cellStyle name="標準 13 4" xfId="2244" xr:uid="{00000000-0005-0000-0000-0000D9220000}"/>
    <cellStyle name="標準 13 4 2" xfId="5115" xr:uid="{00000000-0005-0000-0000-0000DA220000}"/>
    <cellStyle name="標準 13 4 2 2" xfId="10572" xr:uid="{00000000-0005-0000-0000-0000DB220000}"/>
    <cellStyle name="標準 13 4 3" xfId="7885" xr:uid="{00000000-0005-0000-0000-0000DC220000}"/>
    <cellStyle name="標準 13 5" xfId="2709" xr:uid="{00000000-0005-0000-0000-0000DD220000}"/>
    <cellStyle name="標準 13 5 2" xfId="5550" xr:uid="{00000000-0005-0000-0000-0000DE220000}"/>
    <cellStyle name="標準 13 5 2 2" xfId="10916" xr:uid="{00000000-0005-0000-0000-0000DF220000}"/>
    <cellStyle name="標準 13 5 3" xfId="8257" xr:uid="{00000000-0005-0000-0000-0000E0220000}"/>
    <cellStyle name="標準 13 6" xfId="3994" xr:uid="{00000000-0005-0000-0000-0000E1220000}"/>
    <cellStyle name="標準 13 6 2" xfId="9542" xr:uid="{00000000-0005-0000-0000-0000E2220000}"/>
    <cellStyle name="標準 13 7" xfId="6854" xr:uid="{00000000-0005-0000-0000-0000E3220000}"/>
    <cellStyle name="標準 14" xfId="1119" xr:uid="{00000000-0005-0000-0000-0000E4220000}"/>
    <cellStyle name="標準 14 2" xfId="1120" xr:uid="{00000000-0005-0000-0000-0000E5220000}"/>
    <cellStyle name="標準 14 2 2" xfId="2216" xr:uid="{00000000-0005-0000-0000-0000E6220000}"/>
    <cellStyle name="標準 14 2 2 2" xfId="2680" xr:uid="{00000000-0005-0000-0000-0000E7220000}"/>
    <cellStyle name="標準 14 2 2 2 2" xfId="5522" xr:uid="{00000000-0005-0000-0000-0000E8220000}"/>
    <cellStyle name="標準 14 2 2 2 2 2" xfId="10888" xr:uid="{00000000-0005-0000-0000-0000E9220000}"/>
    <cellStyle name="標準 14 2 2 2 3" xfId="8229" xr:uid="{00000000-0005-0000-0000-0000EA220000}"/>
    <cellStyle name="標準 14 2 2 3" xfId="3017" xr:uid="{00000000-0005-0000-0000-0000EB220000}"/>
    <cellStyle name="標準 14 2 2 3 2" xfId="5858" xr:uid="{00000000-0005-0000-0000-0000EC220000}"/>
    <cellStyle name="標準 14 2 2 3 2 2" xfId="11224" xr:uid="{00000000-0005-0000-0000-0000ED220000}"/>
    <cellStyle name="標準 14 2 2 3 3" xfId="8565" xr:uid="{00000000-0005-0000-0000-0000EE220000}"/>
    <cellStyle name="標準 14 2 2 4" xfId="4000" xr:uid="{00000000-0005-0000-0000-0000EF220000}"/>
    <cellStyle name="標準 14 2 2 4 2" xfId="9548" xr:uid="{00000000-0005-0000-0000-0000F0220000}"/>
    <cellStyle name="標準 14 2 2 5" xfId="7857" xr:uid="{00000000-0005-0000-0000-0000F1220000}"/>
    <cellStyle name="標準 14 2 3" xfId="2386" xr:uid="{00000000-0005-0000-0000-0000F2220000}"/>
    <cellStyle name="標準 14 2 3 2" xfId="5256" xr:uid="{00000000-0005-0000-0000-0000F3220000}"/>
    <cellStyle name="標準 14 2 3 2 2" xfId="10713" xr:uid="{00000000-0005-0000-0000-0000F4220000}"/>
    <cellStyle name="標準 14 2 3 3" xfId="8027" xr:uid="{00000000-0005-0000-0000-0000F5220000}"/>
    <cellStyle name="標準 14 2 4" xfId="2850" xr:uid="{00000000-0005-0000-0000-0000F6220000}"/>
    <cellStyle name="標準 14 2 4 2" xfId="5691" xr:uid="{00000000-0005-0000-0000-0000F7220000}"/>
    <cellStyle name="標準 14 2 4 2 2" xfId="11057" xr:uid="{00000000-0005-0000-0000-0000F8220000}"/>
    <cellStyle name="標準 14 2 4 3" xfId="8398" xr:uid="{00000000-0005-0000-0000-0000F9220000}"/>
    <cellStyle name="標準 14 2 5" xfId="3999" xr:uid="{00000000-0005-0000-0000-0000FA220000}"/>
    <cellStyle name="標準 14 2 5 2" xfId="9547" xr:uid="{00000000-0005-0000-0000-0000FB220000}"/>
    <cellStyle name="標準 14 2 6" xfId="6857" xr:uid="{00000000-0005-0000-0000-0000FC220000}"/>
    <cellStyle name="標準 14 3" xfId="1163" xr:uid="{00000000-0005-0000-0000-0000FD220000}"/>
    <cellStyle name="標準 14 3 2" xfId="2512" xr:uid="{00000000-0005-0000-0000-0000FE220000}"/>
    <cellStyle name="標準 14 3 2 2" xfId="5379" xr:uid="{00000000-0005-0000-0000-0000FF220000}"/>
    <cellStyle name="標準 14 3 2 2 2" xfId="10746" xr:uid="{00000000-0005-0000-0000-000000230000}"/>
    <cellStyle name="標準 14 3 2 3" xfId="8062" xr:uid="{00000000-0005-0000-0000-000001230000}"/>
    <cellStyle name="標準 14 3 3" xfId="2879" xr:uid="{00000000-0005-0000-0000-000002230000}"/>
    <cellStyle name="標準 14 3 3 2" xfId="5720" xr:uid="{00000000-0005-0000-0000-000003230000}"/>
    <cellStyle name="標準 14 3 3 2 2" xfId="11086" xr:uid="{00000000-0005-0000-0000-000004230000}"/>
    <cellStyle name="標準 14 3 3 3" xfId="8427" xr:uid="{00000000-0005-0000-0000-000005230000}"/>
    <cellStyle name="標準 14 3 4" xfId="4001" xr:uid="{00000000-0005-0000-0000-000006230000}"/>
    <cellStyle name="標準 14 3 4 2" xfId="9549" xr:uid="{00000000-0005-0000-0000-000007230000}"/>
    <cellStyle name="標準 14 3 5" xfId="6896" xr:uid="{00000000-0005-0000-0000-000008230000}"/>
    <cellStyle name="標準 14 4" xfId="2245" xr:uid="{00000000-0005-0000-0000-000009230000}"/>
    <cellStyle name="標準 14 4 2" xfId="5116" xr:uid="{00000000-0005-0000-0000-00000A230000}"/>
    <cellStyle name="標準 14 4 2 2" xfId="10573" xr:uid="{00000000-0005-0000-0000-00000B230000}"/>
    <cellStyle name="標準 14 4 3" xfId="7886" xr:uid="{00000000-0005-0000-0000-00000C230000}"/>
    <cellStyle name="標準 14 5" xfId="2710" xr:uid="{00000000-0005-0000-0000-00000D230000}"/>
    <cellStyle name="標準 14 5 2" xfId="5551" xr:uid="{00000000-0005-0000-0000-00000E230000}"/>
    <cellStyle name="標準 14 5 2 2" xfId="10917" xr:uid="{00000000-0005-0000-0000-00000F230000}"/>
    <cellStyle name="標準 14 5 3" xfId="8258" xr:uid="{00000000-0005-0000-0000-000010230000}"/>
    <cellStyle name="標準 14 6" xfId="3998" xr:uid="{00000000-0005-0000-0000-000011230000}"/>
    <cellStyle name="標準 14 6 2" xfId="9546" xr:uid="{00000000-0005-0000-0000-000012230000}"/>
    <cellStyle name="標準 14 7" xfId="6856" xr:uid="{00000000-0005-0000-0000-000013230000}"/>
    <cellStyle name="標準 15" xfId="1121" xr:uid="{00000000-0005-0000-0000-000014230000}"/>
    <cellStyle name="標準 15 2" xfId="1122" xr:uid="{00000000-0005-0000-0000-000015230000}"/>
    <cellStyle name="標準 15 2 2" xfId="2217" xr:uid="{00000000-0005-0000-0000-000016230000}"/>
    <cellStyle name="標準 15 2 2 2" xfId="2681" xr:uid="{00000000-0005-0000-0000-000017230000}"/>
    <cellStyle name="標準 15 2 2 2 2" xfId="5523" xr:uid="{00000000-0005-0000-0000-000018230000}"/>
    <cellStyle name="標準 15 2 2 2 2 2" xfId="10889" xr:uid="{00000000-0005-0000-0000-000019230000}"/>
    <cellStyle name="標準 15 2 2 2 3" xfId="8230" xr:uid="{00000000-0005-0000-0000-00001A230000}"/>
    <cellStyle name="標準 15 2 2 3" xfId="3018" xr:uid="{00000000-0005-0000-0000-00001B230000}"/>
    <cellStyle name="標準 15 2 2 3 2" xfId="5859" xr:uid="{00000000-0005-0000-0000-00001C230000}"/>
    <cellStyle name="標準 15 2 2 3 2 2" xfId="11225" xr:uid="{00000000-0005-0000-0000-00001D230000}"/>
    <cellStyle name="標準 15 2 2 3 3" xfId="8566" xr:uid="{00000000-0005-0000-0000-00001E230000}"/>
    <cellStyle name="標準 15 2 2 4" xfId="4004" xr:uid="{00000000-0005-0000-0000-00001F230000}"/>
    <cellStyle name="標準 15 2 2 4 2" xfId="9552" xr:uid="{00000000-0005-0000-0000-000020230000}"/>
    <cellStyle name="標準 15 2 2 5" xfId="7858" xr:uid="{00000000-0005-0000-0000-000021230000}"/>
    <cellStyle name="標準 15 2 3" xfId="2387" xr:uid="{00000000-0005-0000-0000-000022230000}"/>
    <cellStyle name="標準 15 2 3 2" xfId="5257" xr:uid="{00000000-0005-0000-0000-000023230000}"/>
    <cellStyle name="標準 15 2 3 2 2" xfId="10714" xr:uid="{00000000-0005-0000-0000-000024230000}"/>
    <cellStyle name="標準 15 2 3 3" xfId="8028" xr:uid="{00000000-0005-0000-0000-000025230000}"/>
    <cellStyle name="標準 15 2 4" xfId="2851" xr:uid="{00000000-0005-0000-0000-000026230000}"/>
    <cellStyle name="標準 15 2 4 2" xfId="5692" xr:uid="{00000000-0005-0000-0000-000027230000}"/>
    <cellStyle name="標準 15 2 4 2 2" xfId="11058" xr:uid="{00000000-0005-0000-0000-000028230000}"/>
    <cellStyle name="標準 15 2 4 3" xfId="8399" xr:uid="{00000000-0005-0000-0000-000029230000}"/>
    <cellStyle name="標準 15 2 5" xfId="4003" xr:uid="{00000000-0005-0000-0000-00002A230000}"/>
    <cellStyle name="標準 15 2 5 2" xfId="9551" xr:uid="{00000000-0005-0000-0000-00002B230000}"/>
    <cellStyle name="標準 15 2 6" xfId="6859" xr:uid="{00000000-0005-0000-0000-00002C230000}"/>
    <cellStyle name="標準 15 3" xfId="1164" xr:uid="{00000000-0005-0000-0000-00002D230000}"/>
    <cellStyle name="標準 15 3 2" xfId="2513" xr:uid="{00000000-0005-0000-0000-00002E230000}"/>
    <cellStyle name="標準 15 3 2 2" xfId="5380" xr:uid="{00000000-0005-0000-0000-00002F230000}"/>
    <cellStyle name="標準 15 3 2 2 2" xfId="10747" xr:uid="{00000000-0005-0000-0000-000030230000}"/>
    <cellStyle name="標準 15 3 2 3" xfId="8063" xr:uid="{00000000-0005-0000-0000-000031230000}"/>
    <cellStyle name="標準 15 3 3" xfId="2880" xr:uid="{00000000-0005-0000-0000-000032230000}"/>
    <cellStyle name="標準 15 3 3 2" xfId="5721" xr:uid="{00000000-0005-0000-0000-000033230000}"/>
    <cellStyle name="標準 15 3 3 2 2" xfId="11087" xr:uid="{00000000-0005-0000-0000-000034230000}"/>
    <cellStyle name="標準 15 3 3 3" xfId="8428" xr:uid="{00000000-0005-0000-0000-000035230000}"/>
    <cellStyle name="標準 15 3 4" xfId="4005" xr:uid="{00000000-0005-0000-0000-000036230000}"/>
    <cellStyle name="標準 15 3 4 2" xfId="9553" xr:uid="{00000000-0005-0000-0000-000037230000}"/>
    <cellStyle name="標準 15 3 5" xfId="6897" xr:uid="{00000000-0005-0000-0000-000038230000}"/>
    <cellStyle name="標準 15 4" xfId="2246" xr:uid="{00000000-0005-0000-0000-000039230000}"/>
    <cellStyle name="標準 15 4 2" xfId="5117" xr:uid="{00000000-0005-0000-0000-00003A230000}"/>
    <cellStyle name="標準 15 4 2 2" xfId="10574" xr:uid="{00000000-0005-0000-0000-00003B230000}"/>
    <cellStyle name="標準 15 4 3" xfId="7887" xr:uid="{00000000-0005-0000-0000-00003C230000}"/>
    <cellStyle name="標準 15 5" xfId="2711" xr:uid="{00000000-0005-0000-0000-00003D230000}"/>
    <cellStyle name="標準 15 5 2" xfId="5552" xr:uid="{00000000-0005-0000-0000-00003E230000}"/>
    <cellStyle name="標準 15 5 2 2" xfId="10918" xr:uid="{00000000-0005-0000-0000-00003F230000}"/>
    <cellStyle name="標準 15 5 3" xfId="8259" xr:uid="{00000000-0005-0000-0000-000040230000}"/>
    <cellStyle name="標準 15 6" xfId="4002" xr:uid="{00000000-0005-0000-0000-000041230000}"/>
    <cellStyle name="標準 15 6 2" xfId="9550" xr:uid="{00000000-0005-0000-0000-000042230000}"/>
    <cellStyle name="標準 15 7" xfId="6858" xr:uid="{00000000-0005-0000-0000-000043230000}"/>
    <cellStyle name="標準 16" xfId="1123" xr:uid="{00000000-0005-0000-0000-000044230000}"/>
    <cellStyle name="標準 17" xfId="1124" xr:uid="{00000000-0005-0000-0000-000045230000}"/>
    <cellStyle name="標準 17 2" xfId="1125" xr:uid="{00000000-0005-0000-0000-000046230000}"/>
    <cellStyle name="標準 17 2 2" xfId="2218" xr:uid="{00000000-0005-0000-0000-000047230000}"/>
    <cellStyle name="標準 17 2 2 2" xfId="2682" xr:uid="{00000000-0005-0000-0000-000048230000}"/>
    <cellStyle name="標準 17 2 2 2 2" xfId="5524" xr:uid="{00000000-0005-0000-0000-000049230000}"/>
    <cellStyle name="標準 17 2 2 2 2 2" xfId="10890" xr:uid="{00000000-0005-0000-0000-00004A230000}"/>
    <cellStyle name="標準 17 2 2 2 3" xfId="8231" xr:uid="{00000000-0005-0000-0000-00004B230000}"/>
    <cellStyle name="標準 17 2 2 3" xfId="3019" xr:uid="{00000000-0005-0000-0000-00004C230000}"/>
    <cellStyle name="標準 17 2 2 3 2" xfId="5860" xr:uid="{00000000-0005-0000-0000-00004D230000}"/>
    <cellStyle name="標準 17 2 2 3 2 2" xfId="11226" xr:uid="{00000000-0005-0000-0000-00004E230000}"/>
    <cellStyle name="標準 17 2 2 3 3" xfId="8567" xr:uid="{00000000-0005-0000-0000-00004F230000}"/>
    <cellStyle name="標準 17 2 2 4" xfId="4008" xr:uid="{00000000-0005-0000-0000-000050230000}"/>
    <cellStyle name="標準 17 2 2 4 2" xfId="9556" xr:uid="{00000000-0005-0000-0000-000051230000}"/>
    <cellStyle name="標準 17 2 2 5" xfId="7859" xr:uid="{00000000-0005-0000-0000-000052230000}"/>
    <cellStyle name="標準 17 2 3" xfId="2388" xr:uid="{00000000-0005-0000-0000-000053230000}"/>
    <cellStyle name="標準 17 2 3 2" xfId="5258" xr:uid="{00000000-0005-0000-0000-000054230000}"/>
    <cellStyle name="標準 17 2 3 2 2" xfId="10715" xr:uid="{00000000-0005-0000-0000-000055230000}"/>
    <cellStyle name="標準 17 2 3 3" xfId="8029" xr:uid="{00000000-0005-0000-0000-000056230000}"/>
    <cellStyle name="標準 17 2 4" xfId="2852" xr:uid="{00000000-0005-0000-0000-000057230000}"/>
    <cellStyle name="標準 17 2 4 2" xfId="5693" xr:uid="{00000000-0005-0000-0000-000058230000}"/>
    <cellStyle name="標準 17 2 4 2 2" xfId="11059" xr:uid="{00000000-0005-0000-0000-000059230000}"/>
    <cellStyle name="標準 17 2 4 3" xfId="8400" xr:uid="{00000000-0005-0000-0000-00005A230000}"/>
    <cellStyle name="標準 17 2 5" xfId="4007" xr:uid="{00000000-0005-0000-0000-00005B230000}"/>
    <cellStyle name="標準 17 2 5 2" xfId="9555" xr:uid="{00000000-0005-0000-0000-00005C230000}"/>
    <cellStyle name="標準 17 2 6" xfId="6861" xr:uid="{00000000-0005-0000-0000-00005D230000}"/>
    <cellStyle name="標準 17 3" xfId="1165" xr:uid="{00000000-0005-0000-0000-00005E230000}"/>
    <cellStyle name="標準 17 3 2" xfId="2514" xr:uid="{00000000-0005-0000-0000-00005F230000}"/>
    <cellStyle name="標準 17 3 2 2" xfId="5381" xr:uid="{00000000-0005-0000-0000-000060230000}"/>
    <cellStyle name="標準 17 3 2 2 2" xfId="10748" xr:uid="{00000000-0005-0000-0000-000061230000}"/>
    <cellStyle name="標準 17 3 2 3" xfId="8064" xr:uid="{00000000-0005-0000-0000-000062230000}"/>
    <cellStyle name="標準 17 3 3" xfId="2881" xr:uid="{00000000-0005-0000-0000-000063230000}"/>
    <cellStyle name="標準 17 3 3 2" xfId="5722" xr:uid="{00000000-0005-0000-0000-000064230000}"/>
    <cellStyle name="標準 17 3 3 2 2" xfId="11088" xr:uid="{00000000-0005-0000-0000-000065230000}"/>
    <cellStyle name="標準 17 3 3 3" xfId="8429" xr:uid="{00000000-0005-0000-0000-000066230000}"/>
    <cellStyle name="標準 17 3 4" xfId="4009" xr:uid="{00000000-0005-0000-0000-000067230000}"/>
    <cellStyle name="標準 17 3 4 2" xfId="9557" xr:uid="{00000000-0005-0000-0000-000068230000}"/>
    <cellStyle name="標準 17 3 5" xfId="6898" xr:uid="{00000000-0005-0000-0000-000069230000}"/>
    <cellStyle name="標準 17 4" xfId="2247" xr:uid="{00000000-0005-0000-0000-00006A230000}"/>
    <cellStyle name="標準 17 4 2" xfId="5118" xr:uid="{00000000-0005-0000-0000-00006B230000}"/>
    <cellStyle name="標準 17 4 2 2" xfId="10575" xr:uid="{00000000-0005-0000-0000-00006C230000}"/>
    <cellStyle name="標準 17 4 3" xfId="7888" xr:uid="{00000000-0005-0000-0000-00006D230000}"/>
    <cellStyle name="標準 17 5" xfId="2712" xr:uid="{00000000-0005-0000-0000-00006E230000}"/>
    <cellStyle name="標準 17 5 2" xfId="5553" xr:uid="{00000000-0005-0000-0000-00006F230000}"/>
    <cellStyle name="標準 17 5 2 2" xfId="10919" xr:uid="{00000000-0005-0000-0000-000070230000}"/>
    <cellStyle name="標準 17 5 3" xfId="8260" xr:uid="{00000000-0005-0000-0000-000071230000}"/>
    <cellStyle name="標準 17 6" xfId="4006" xr:uid="{00000000-0005-0000-0000-000072230000}"/>
    <cellStyle name="標準 17 6 2" xfId="9554" xr:uid="{00000000-0005-0000-0000-000073230000}"/>
    <cellStyle name="標準 17 7" xfId="6860" xr:uid="{00000000-0005-0000-0000-000074230000}"/>
    <cellStyle name="標準 18" xfId="1126" xr:uid="{00000000-0005-0000-0000-000075230000}"/>
    <cellStyle name="標準 18 2" xfId="1127" xr:uid="{00000000-0005-0000-0000-000076230000}"/>
    <cellStyle name="標準 18 2 2" xfId="2219" xr:uid="{00000000-0005-0000-0000-000077230000}"/>
    <cellStyle name="標準 18 2 2 2" xfId="2683" xr:uid="{00000000-0005-0000-0000-000078230000}"/>
    <cellStyle name="標準 18 2 2 2 2" xfId="5525" xr:uid="{00000000-0005-0000-0000-000079230000}"/>
    <cellStyle name="標準 18 2 2 2 2 2" xfId="10891" xr:uid="{00000000-0005-0000-0000-00007A230000}"/>
    <cellStyle name="標準 18 2 2 2 3" xfId="8232" xr:uid="{00000000-0005-0000-0000-00007B230000}"/>
    <cellStyle name="標準 18 2 2 3" xfId="3020" xr:uid="{00000000-0005-0000-0000-00007C230000}"/>
    <cellStyle name="標準 18 2 2 3 2" xfId="5861" xr:uid="{00000000-0005-0000-0000-00007D230000}"/>
    <cellStyle name="標準 18 2 2 3 2 2" xfId="11227" xr:uid="{00000000-0005-0000-0000-00007E230000}"/>
    <cellStyle name="標準 18 2 2 3 3" xfId="8568" xr:uid="{00000000-0005-0000-0000-00007F230000}"/>
    <cellStyle name="標準 18 2 2 4" xfId="4012" xr:uid="{00000000-0005-0000-0000-000080230000}"/>
    <cellStyle name="標準 18 2 2 4 2" xfId="9560" xr:uid="{00000000-0005-0000-0000-000081230000}"/>
    <cellStyle name="標準 18 2 2 5" xfId="7860" xr:uid="{00000000-0005-0000-0000-000082230000}"/>
    <cellStyle name="標準 18 2 3" xfId="2389" xr:uid="{00000000-0005-0000-0000-000083230000}"/>
    <cellStyle name="標準 18 2 3 2" xfId="5259" xr:uid="{00000000-0005-0000-0000-000084230000}"/>
    <cellStyle name="標準 18 2 3 2 2" xfId="10716" xr:uid="{00000000-0005-0000-0000-000085230000}"/>
    <cellStyle name="標準 18 2 3 3" xfId="8030" xr:uid="{00000000-0005-0000-0000-000086230000}"/>
    <cellStyle name="標準 18 2 4" xfId="2853" xr:uid="{00000000-0005-0000-0000-000087230000}"/>
    <cellStyle name="標準 18 2 4 2" xfId="5694" xr:uid="{00000000-0005-0000-0000-000088230000}"/>
    <cellStyle name="標準 18 2 4 2 2" xfId="11060" xr:uid="{00000000-0005-0000-0000-000089230000}"/>
    <cellStyle name="標準 18 2 4 3" xfId="8401" xr:uid="{00000000-0005-0000-0000-00008A230000}"/>
    <cellStyle name="標準 18 2 5" xfId="4011" xr:uid="{00000000-0005-0000-0000-00008B230000}"/>
    <cellStyle name="標準 18 2 5 2" xfId="9559" xr:uid="{00000000-0005-0000-0000-00008C230000}"/>
    <cellStyle name="標準 18 2 6" xfId="6863" xr:uid="{00000000-0005-0000-0000-00008D230000}"/>
    <cellStyle name="標準 18 3" xfId="1166" xr:uid="{00000000-0005-0000-0000-00008E230000}"/>
    <cellStyle name="標準 18 3 2" xfId="2515" xr:uid="{00000000-0005-0000-0000-00008F230000}"/>
    <cellStyle name="標準 18 3 2 2" xfId="5382" xr:uid="{00000000-0005-0000-0000-000090230000}"/>
    <cellStyle name="標準 18 3 2 2 2" xfId="10749" xr:uid="{00000000-0005-0000-0000-000091230000}"/>
    <cellStyle name="標準 18 3 2 3" xfId="8065" xr:uid="{00000000-0005-0000-0000-000092230000}"/>
    <cellStyle name="標準 18 3 3" xfId="2882" xr:uid="{00000000-0005-0000-0000-000093230000}"/>
    <cellStyle name="標準 18 3 3 2" xfId="5723" xr:uid="{00000000-0005-0000-0000-000094230000}"/>
    <cellStyle name="標準 18 3 3 2 2" xfId="11089" xr:uid="{00000000-0005-0000-0000-000095230000}"/>
    <cellStyle name="標準 18 3 3 3" xfId="8430" xr:uid="{00000000-0005-0000-0000-000096230000}"/>
    <cellStyle name="標準 18 3 4" xfId="4013" xr:uid="{00000000-0005-0000-0000-000097230000}"/>
    <cellStyle name="標準 18 3 4 2" xfId="9561" xr:uid="{00000000-0005-0000-0000-000098230000}"/>
    <cellStyle name="標準 18 3 5" xfId="6899" xr:uid="{00000000-0005-0000-0000-000099230000}"/>
    <cellStyle name="標準 18 4" xfId="2248" xr:uid="{00000000-0005-0000-0000-00009A230000}"/>
    <cellStyle name="標準 18 4 2" xfId="5119" xr:uid="{00000000-0005-0000-0000-00009B230000}"/>
    <cellStyle name="標準 18 4 2 2" xfId="10576" xr:uid="{00000000-0005-0000-0000-00009C230000}"/>
    <cellStyle name="標準 18 4 3" xfId="7889" xr:uid="{00000000-0005-0000-0000-00009D230000}"/>
    <cellStyle name="標準 18 5" xfId="2713" xr:uid="{00000000-0005-0000-0000-00009E230000}"/>
    <cellStyle name="標準 18 5 2" xfId="5554" xr:uid="{00000000-0005-0000-0000-00009F230000}"/>
    <cellStyle name="標準 18 5 2 2" xfId="10920" xr:uid="{00000000-0005-0000-0000-0000A0230000}"/>
    <cellStyle name="標準 18 5 3" xfId="8261" xr:uid="{00000000-0005-0000-0000-0000A1230000}"/>
    <cellStyle name="標準 18 6" xfId="4010" xr:uid="{00000000-0005-0000-0000-0000A2230000}"/>
    <cellStyle name="標準 18 6 2" xfId="9558" xr:uid="{00000000-0005-0000-0000-0000A3230000}"/>
    <cellStyle name="標準 18 7" xfId="6862" xr:uid="{00000000-0005-0000-0000-0000A4230000}"/>
    <cellStyle name="標準 19" xfId="1128" xr:uid="{00000000-0005-0000-0000-0000A5230000}"/>
    <cellStyle name="標準 19 2" xfId="2220" xr:uid="{00000000-0005-0000-0000-0000A6230000}"/>
    <cellStyle name="標準 19 2 2" xfId="2684" xr:uid="{00000000-0005-0000-0000-0000A7230000}"/>
    <cellStyle name="標準 19 2 2 2" xfId="5526" xr:uid="{00000000-0005-0000-0000-0000A8230000}"/>
    <cellStyle name="標準 19 2 2 2 2" xfId="10892" xr:uid="{00000000-0005-0000-0000-0000A9230000}"/>
    <cellStyle name="標準 19 2 2 3" xfId="8233" xr:uid="{00000000-0005-0000-0000-0000AA230000}"/>
    <cellStyle name="標準 19 2 3" xfId="3021" xr:uid="{00000000-0005-0000-0000-0000AB230000}"/>
    <cellStyle name="標準 19 2 3 2" xfId="5862" xr:uid="{00000000-0005-0000-0000-0000AC230000}"/>
    <cellStyle name="標準 19 2 3 2 2" xfId="11228" xr:uid="{00000000-0005-0000-0000-0000AD230000}"/>
    <cellStyle name="標準 19 2 3 3" xfId="8569" xr:uid="{00000000-0005-0000-0000-0000AE230000}"/>
    <cellStyle name="標準 19 2 4" xfId="4015" xr:uid="{00000000-0005-0000-0000-0000AF230000}"/>
    <cellStyle name="標準 19 2 4 2" xfId="9563" xr:uid="{00000000-0005-0000-0000-0000B0230000}"/>
    <cellStyle name="標準 19 2 5" xfId="7861" xr:uid="{00000000-0005-0000-0000-0000B1230000}"/>
    <cellStyle name="標準 19 3" xfId="2390" xr:uid="{00000000-0005-0000-0000-0000B2230000}"/>
    <cellStyle name="標準 19 3 2" xfId="5260" xr:uid="{00000000-0005-0000-0000-0000B3230000}"/>
    <cellStyle name="標準 19 3 2 2" xfId="10717" xr:uid="{00000000-0005-0000-0000-0000B4230000}"/>
    <cellStyle name="標準 19 3 3" xfId="8031" xr:uid="{00000000-0005-0000-0000-0000B5230000}"/>
    <cellStyle name="標準 19 4" xfId="2854" xr:uid="{00000000-0005-0000-0000-0000B6230000}"/>
    <cellStyle name="標準 19 4 2" xfId="5695" xr:uid="{00000000-0005-0000-0000-0000B7230000}"/>
    <cellStyle name="標準 19 4 2 2" xfId="11061" xr:uid="{00000000-0005-0000-0000-0000B8230000}"/>
    <cellStyle name="標準 19 4 3" xfId="8402" xr:uid="{00000000-0005-0000-0000-0000B9230000}"/>
    <cellStyle name="標準 19 5" xfId="4014" xr:uid="{00000000-0005-0000-0000-0000BA230000}"/>
    <cellStyle name="標準 19 5 2" xfId="9562" xr:uid="{00000000-0005-0000-0000-0000BB230000}"/>
    <cellStyle name="標準 19 6" xfId="6864" xr:uid="{00000000-0005-0000-0000-0000BC230000}"/>
    <cellStyle name="標準 2" xfId="1" xr:uid="{00000000-0005-0000-0000-0000BD230000}"/>
    <cellStyle name="標準 2 10" xfId="11266" xr:uid="{00000000-0005-0000-0000-0000BE230000}"/>
    <cellStyle name="標準 2 2" xfId="44" xr:uid="{00000000-0005-0000-0000-0000BF230000}"/>
    <cellStyle name="標準 2 2 2" xfId="1129" xr:uid="{00000000-0005-0000-0000-0000C0230000}"/>
    <cellStyle name="標準 2 2 2 2" xfId="2221" xr:uid="{00000000-0005-0000-0000-0000C1230000}"/>
    <cellStyle name="標準 2 2 2 2 2" xfId="2685" xr:uid="{00000000-0005-0000-0000-0000C2230000}"/>
    <cellStyle name="標準 2 2 2 2 2 2" xfId="5527" xr:uid="{00000000-0005-0000-0000-0000C3230000}"/>
    <cellStyle name="標準 2 2 2 2 2 2 2" xfId="10893" xr:uid="{00000000-0005-0000-0000-0000C4230000}"/>
    <cellStyle name="標準 2 2 2 2 2 3" xfId="8234" xr:uid="{00000000-0005-0000-0000-0000C5230000}"/>
    <cellStyle name="標準 2 2 2 2 3" xfId="3022" xr:uid="{00000000-0005-0000-0000-0000C6230000}"/>
    <cellStyle name="標準 2 2 2 2 3 2" xfId="5863" xr:uid="{00000000-0005-0000-0000-0000C7230000}"/>
    <cellStyle name="標準 2 2 2 2 3 2 2" xfId="11229" xr:uid="{00000000-0005-0000-0000-0000C8230000}"/>
    <cellStyle name="標準 2 2 2 2 3 3" xfId="8570" xr:uid="{00000000-0005-0000-0000-0000C9230000}"/>
    <cellStyle name="標準 2 2 2 2 4" xfId="4018" xr:uid="{00000000-0005-0000-0000-0000CA230000}"/>
    <cellStyle name="標準 2 2 2 2 4 2" xfId="9566" xr:uid="{00000000-0005-0000-0000-0000CB230000}"/>
    <cellStyle name="標準 2 2 2 2 5" xfId="7862" xr:uid="{00000000-0005-0000-0000-0000CC230000}"/>
    <cellStyle name="標準 2 2 2 3" xfId="2391" xr:uid="{00000000-0005-0000-0000-0000CD230000}"/>
    <cellStyle name="標準 2 2 2 3 2" xfId="5261" xr:uid="{00000000-0005-0000-0000-0000CE230000}"/>
    <cellStyle name="標準 2 2 2 3 2 2" xfId="10718" xr:uid="{00000000-0005-0000-0000-0000CF230000}"/>
    <cellStyle name="標準 2 2 2 3 3" xfId="8032" xr:uid="{00000000-0005-0000-0000-0000D0230000}"/>
    <cellStyle name="標準 2 2 2 4" xfId="2855" xr:uid="{00000000-0005-0000-0000-0000D1230000}"/>
    <cellStyle name="標準 2 2 2 4 2" xfId="5696" xr:uid="{00000000-0005-0000-0000-0000D2230000}"/>
    <cellStyle name="標準 2 2 2 4 2 2" xfId="11062" xr:uid="{00000000-0005-0000-0000-0000D3230000}"/>
    <cellStyle name="標準 2 2 2 4 3" xfId="8403" xr:uid="{00000000-0005-0000-0000-0000D4230000}"/>
    <cellStyle name="標準 2 2 2 5" xfId="4017" xr:uid="{00000000-0005-0000-0000-0000D5230000}"/>
    <cellStyle name="標準 2 2 2 5 2" xfId="9565" xr:uid="{00000000-0005-0000-0000-0000D6230000}"/>
    <cellStyle name="標準 2 2 2 6" xfId="6865" xr:uid="{00000000-0005-0000-0000-0000D7230000}"/>
    <cellStyle name="標準 2 2 3" xfId="1130" xr:uid="{00000000-0005-0000-0000-0000D8230000}"/>
    <cellStyle name="標準 2 2 3 2" xfId="2222" xr:uid="{00000000-0005-0000-0000-0000D9230000}"/>
    <cellStyle name="標準 2 2 3 2 2" xfId="2686" xr:uid="{00000000-0005-0000-0000-0000DA230000}"/>
    <cellStyle name="標準 2 2 3 2 2 2" xfId="5528" xr:uid="{00000000-0005-0000-0000-0000DB230000}"/>
    <cellStyle name="標準 2 2 3 2 2 2 2" xfId="10894" xr:uid="{00000000-0005-0000-0000-0000DC230000}"/>
    <cellStyle name="標準 2 2 3 2 2 3" xfId="8235" xr:uid="{00000000-0005-0000-0000-0000DD230000}"/>
    <cellStyle name="標準 2 2 3 2 3" xfId="3023" xr:uid="{00000000-0005-0000-0000-0000DE230000}"/>
    <cellStyle name="標準 2 2 3 2 3 2" xfId="5864" xr:uid="{00000000-0005-0000-0000-0000DF230000}"/>
    <cellStyle name="標準 2 2 3 2 3 2 2" xfId="11230" xr:uid="{00000000-0005-0000-0000-0000E0230000}"/>
    <cellStyle name="標準 2 2 3 2 3 3" xfId="8571" xr:uid="{00000000-0005-0000-0000-0000E1230000}"/>
    <cellStyle name="標準 2 2 3 2 4" xfId="4020" xr:uid="{00000000-0005-0000-0000-0000E2230000}"/>
    <cellStyle name="標準 2 2 3 2 4 2" xfId="9568" xr:uid="{00000000-0005-0000-0000-0000E3230000}"/>
    <cellStyle name="標準 2 2 3 2 5" xfId="7863" xr:uid="{00000000-0005-0000-0000-0000E4230000}"/>
    <cellStyle name="標準 2 2 3 3" xfId="2392" xr:uid="{00000000-0005-0000-0000-0000E5230000}"/>
    <cellStyle name="標準 2 2 3 3 2" xfId="5262" xr:uid="{00000000-0005-0000-0000-0000E6230000}"/>
    <cellStyle name="標準 2 2 3 3 2 2" xfId="10719" xr:uid="{00000000-0005-0000-0000-0000E7230000}"/>
    <cellStyle name="標準 2 2 3 3 3" xfId="8033" xr:uid="{00000000-0005-0000-0000-0000E8230000}"/>
    <cellStyle name="標準 2 2 3 4" xfId="2856" xr:uid="{00000000-0005-0000-0000-0000E9230000}"/>
    <cellStyle name="標準 2 2 3 4 2" xfId="5697" xr:uid="{00000000-0005-0000-0000-0000EA230000}"/>
    <cellStyle name="標準 2 2 3 4 2 2" xfId="11063" xr:uid="{00000000-0005-0000-0000-0000EB230000}"/>
    <cellStyle name="標準 2 2 3 4 3" xfId="8404" xr:uid="{00000000-0005-0000-0000-0000EC230000}"/>
    <cellStyle name="標準 2 2 3 5" xfId="4019" xr:uid="{00000000-0005-0000-0000-0000ED230000}"/>
    <cellStyle name="標準 2 2 3 5 2" xfId="9567" xr:uid="{00000000-0005-0000-0000-0000EE230000}"/>
    <cellStyle name="標準 2 2 3 6" xfId="6866" xr:uid="{00000000-0005-0000-0000-0000EF230000}"/>
    <cellStyle name="標準 2 2 4" xfId="1197" xr:uid="{00000000-0005-0000-0000-0000F0230000}"/>
    <cellStyle name="標準 2 2 5" xfId="1167" xr:uid="{00000000-0005-0000-0000-0000F1230000}"/>
    <cellStyle name="標準 2 2 5 2" xfId="2516" xr:uid="{00000000-0005-0000-0000-0000F2230000}"/>
    <cellStyle name="標準 2 2 5 2 2" xfId="5383" xr:uid="{00000000-0005-0000-0000-0000F3230000}"/>
    <cellStyle name="標準 2 2 5 2 2 2" xfId="10750" xr:uid="{00000000-0005-0000-0000-0000F4230000}"/>
    <cellStyle name="標準 2 2 5 2 3" xfId="8066" xr:uid="{00000000-0005-0000-0000-0000F5230000}"/>
    <cellStyle name="標準 2 2 5 3" xfId="2883" xr:uid="{00000000-0005-0000-0000-0000F6230000}"/>
    <cellStyle name="標準 2 2 5 3 2" xfId="5724" xr:uid="{00000000-0005-0000-0000-0000F7230000}"/>
    <cellStyle name="標準 2 2 5 3 2 2" xfId="11090" xr:uid="{00000000-0005-0000-0000-0000F8230000}"/>
    <cellStyle name="標準 2 2 5 3 3" xfId="8431" xr:uid="{00000000-0005-0000-0000-0000F9230000}"/>
    <cellStyle name="標準 2 2 5 4" xfId="4021" xr:uid="{00000000-0005-0000-0000-0000FA230000}"/>
    <cellStyle name="標準 2 2 5 4 2" xfId="9569" xr:uid="{00000000-0005-0000-0000-0000FB230000}"/>
    <cellStyle name="標準 2 2 5 5" xfId="6900" xr:uid="{00000000-0005-0000-0000-0000FC230000}"/>
    <cellStyle name="標準 2 2 6" xfId="2249" xr:uid="{00000000-0005-0000-0000-0000FD230000}"/>
    <cellStyle name="標準 2 2 6 2" xfId="5120" xr:uid="{00000000-0005-0000-0000-0000FE230000}"/>
    <cellStyle name="標準 2 2 6 2 2" xfId="10577" xr:uid="{00000000-0005-0000-0000-0000FF230000}"/>
    <cellStyle name="標準 2 2 6 3" xfId="7890" xr:uid="{00000000-0005-0000-0000-000000240000}"/>
    <cellStyle name="標準 2 2 7" xfId="2714" xr:uid="{00000000-0005-0000-0000-000001240000}"/>
    <cellStyle name="標準 2 2 7 2" xfId="5555" xr:uid="{00000000-0005-0000-0000-000002240000}"/>
    <cellStyle name="標準 2 2 7 2 2" xfId="10921" xr:uid="{00000000-0005-0000-0000-000003240000}"/>
    <cellStyle name="標準 2 2 7 3" xfId="8262" xr:uid="{00000000-0005-0000-0000-000004240000}"/>
    <cellStyle name="標準 2 2 8" xfId="4016" xr:uid="{00000000-0005-0000-0000-000005240000}"/>
    <cellStyle name="標準 2 2 8 2" xfId="9564" xr:uid="{00000000-0005-0000-0000-000006240000}"/>
    <cellStyle name="標準 2 2 9" xfId="5894" xr:uid="{00000000-0005-0000-0000-000007240000}"/>
    <cellStyle name="標準 2 2 9 2" xfId="11260" xr:uid="{00000000-0005-0000-0000-000008240000}"/>
    <cellStyle name="標準 2 3" xfId="48" xr:uid="{00000000-0005-0000-0000-000009240000}"/>
    <cellStyle name="標準 2 3 10" xfId="5882" xr:uid="{00000000-0005-0000-0000-00000A240000}"/>
    <cellStyle name="標準 2 3 10 2" xfId="11248" xr:uid="{00000000-0005-0000-0000-00000B240000}"/>
    <cellStyle name="標準 2 3 11" xfId="5884" xr:uid="{00000000-0005-0000-0000-00000C240000}"/>
    <cellStyle name="標準 2 3 11 2" xfId="11250" xr:uid="{00000000-0005-0000-0000-00000D240000}"/>
    <cellStyle name="標準 2 3 12" xfId="5886" xr:uid="{00000000-0005-0000-0000-00000E240000}"/>
    <cellStyle name="標準 2 3 12 2" xfId="5888" xr:uid="{00000000-0005-0000-0000-00000F240000}"/>
    <cellStyle name="標準 2 3 12 2 2" xfId="11254" xr:uid="{00000000-0005-0000-0000-000010240000}"/>
    <cellStyle name="標準 2 3 12 3" xfId="11252" xr:uid="{00000000-0005-0000-0000-000011240000}"/>
    <cellStyle name="標準 2 3 13" xfId="5914" xr:uid="{00000000-0005-0000-0000-000012240000}"/>
    <cellStyle name="標準 2 3 2" xfId="93" xr:uid="{00000000-0005-0000-0000-000013240000}"/>
    <cellStyle name="標準 2 3 2 2" xfId="142" xr:uid="{00000000-0005-0000-0000-000014240000}"/>
    <cellStyle name="標準 2 3 2 2 2" xfId="631" xr:uid="{00000000-0005-0000-0000-000015240000}"/>
    <cellStyle name="標準 2 3 2 2 2 2" xfId="1092" xr:uid="{00000000-0005-0000-0000-000016240000}"/>
    <cellStyle name="標準 2 3 2 2 2 2 2" xfId="2197" xr:uid="{00000000-0005-0000-0000-000017240000}"/>
    <cellStyle name="標準 2 3 2 2 2 2 2 2" xfId="2667" xr:uid="{00000000-0005-0000-0000-000018240000}"/>
    <cellStyle name="標準 2 3 2 2 2 2 2 2 2" xfId="5510" xr:uid="{00000000-0005-0000-0000-000019240000}"/>
    <cellStyle name="標準 2 3 2 2 2 2 2 2 2 2" xfId="10876" xr:uid="{00000000-0005-0000-0000-00001A240000}"/>
    <cellStyle name="標準 2 3 2 2 2 2 2 2 3" xfId="8216" xr:uid="{00000000-0005-0000-0000-00001B240000}"/>
    <cellStyle name="標準 2 3 2 2 2 2 2 3" xfId="3005" xr:uid="{00000000-0005-0000-0000-00001C240000}"/>
    <cellStyle name="標準 2 3 2 2 2 2 2 3 2" xfId="5846" xr:uid="{00000000-0005-0000-0000-00001D240000}"/>
    <cellStyle name="標準 2 3 2 2 2 2 2 3 2 2" xfId="11212" xr:uid="{00000000-0005-0000-0000-00001E240000}"/>
    <cellStyle name="標準 2 3 2 2 2 2 2 3 3" xfId="8553" xr:uid="{00000000-0005-0000-0000-00001F240000}"/>
    <cellStyle name="標準 2 3 2 2 2 2 2 4" xfId="4027" xr:uid="{00000000-0005-0000-0000-000020240000}"/>
    <cellStyle name="標準 2 3 2 2 2 2 2 4 2" xfId="9575" xr:uid="{00000000-0005-0000-0000-000021240000}"/>
    <cellStyle name="標準 2 3 2 2 2 2 2 5" xfId="7840" xr:uid="{00000000-0005-0000-0000-000022240000}"/>
    <cellStyle name="標準 2 3 2 2 2 2 3" xfId="2373" xr:uid="{00000000-0005-0000-0000-000023240000}"/>
    <cellStyle name="標準 2 3 2 2 2 2 3 2" xfId="5244" xr:uid="{00000000-0005-0000-0000-000024240000}"/>
    <cellStyle name="標準 2 3 2 2 2 2 3 2 2" xfId="10701" xr:uid="{00000000-0005-0000-0000-000025240000}"/>
    <cellStyle name="標準 2 3 2 2 2 2 3 3" xfId="8014" xr:uid="{00000000-0005-0000-0000-000026240000}"/>
    <cellStyle name="標準 2 3 2 2 2 2 4" xfId="2838" xr:uid="{00000000-0005-0000-0000-000027240000}"/>
    <cellStyle name="標準 2 3 2 2 2 2 4 2" xfId="5679" xr:uid="{00000000-0005-0000-0000-000028240000}"/>
    <cellStyle name="標準 2 3 2 2 2 2 4 2 2" xfId="11045" xr:uid="{00000000-0005-0000-0000-000029240000}"/>
    <cellStyle name="標準 2 3 2 2 2 2 4 3" xfId="8386" xr:uid="{00000000-0005-0000-0000-00002A240000}"/>
    <cellStyle name="標準 2 3 2 2 2 2 5" xfId="4026" xr:uid="{00000000-0005-0000-0000-00002B240000}"/>
    <cellStyle name="標準 2 3 2 2 2 2 5 2" xfId="9574" xr:uid="{00000000-0005-0000-0000-00002C240000}"/>
    <cellStyle name="標準 2 3 2 2 2 2 6" xfId="6832" xr:uid="{00000000-0005-0000-0000-00002D240000}"/>
    <cellStyle name="標準 2 3 2 2 2 3" xfId="1737" xr:uid="{00000000-0005-0000-0000-00002E240000}"/>
    <cellStyle name="標準 2 3 2 2 2 3 2" xfId="2647" xr:uid="{00000000-0005-0000-0000-00002F240000}"/>
    <cellStyle name="標準 2 3 2 2 2 3 2 2" xfId="5502" xr:uid="{00000000-0005-0000-0000-000030240000}"/>
    <cellStyle name="標準 2 3 2 2 2 3 2 2 2" xfId="10868" xr:uid="{00000000-0005-0000-0000-000031240000}"/>
    <cellStyle name="標準 2 3 2 2 2 3 2 3" xfId="8196" xr:uid="{00000000-0005-0000-0000-000032240000}"/>
    <cellStyle name="標準 2 3 2 2 2 3 3" xfId="2997" xr:uid="{00000000-0005-0000-0000-000033240000}"/>
    <cellStyle name="標準 2 3 2 2 2 3 3 2" xfId="5838" xr:uid="{00000000-0005-0000-0000-000034240000}"/>
    <cellStyle name="標準 2 3 2 2 2 3 3 2 2" xfId="11204" xr:uid="{00000000-0005-0000-0000-000035240000}"/>
    <cellStyle name="標準 2 3 2 2 2 3 3 3" xfId="8545" xr:uid="{00000000-0005-0000-0000-000036240000}"/>
    <cellStyle name="標準 2 3 2 2 2 3 4" xfId="4028" xr:uid="{00000000-0005-0000-0000-000037240000}"/>
    <cellStyle name="標準 2 3 2 2 2 3 4 2" xfId="9576" xr:uid="{00000000-0005-0000-0000-000038240000}"/>
    <cellStyle name="標準 2 3 2 2 2 3 5" xfId="7424" xr:uid="{00000000-0005-0000-0000-000039240000}"/>
    <cellStyle name="標準 2 3 2 2 2 4" xfId="2365" xr:uid="{00000000-0005-0000-0000-00003A240000}"/>
    <cellStyle name="標準 2 3 2 2 2 4 2" xfId="5236" xr:uid="{00000000-0005-0000-0000-00003B240000}"/>
    <cellStyle name="標準 2 3 2 2 2 4 2 2" xfId="10693" xr:uid="{00000000-0005-0000-0000-00003C240000}"/>
    <cellStyle name="標準 2 3 2 2 2 4 3" xfId="8006" xr:uid="{00000000-0005-0000-0000-00003D240000}"/>
    <cellStyle name="標準 2 3 2 2 2 5" xfId="2830" xr:uid="{00000000-0005-0000-0000-00003E240000}"/>
    <cellStyle name="標準 2 3 2 2 2 5 2" xfId="5671" xr:uid="{00000000-0005-0000-0000-00003F240000}"/>
    <cellStyle name="標準 2 3 2 2 2 5 2 2" xfId="11037" xr:uid="{00000000-0005-0000-0000-000040240000}"/>
    <cellStyle name="標準 2 3 2 2 2 5 3" xfId="8378" xr:uid="{00000000-0005-0000-0000-000041240000}"/>
    <cellStyle name="標準 2 3 2 2 2 6" xfId="4025" xr:uid="{00000000-0005-0000-0000-000042240000}"/>
    <cellStyle name="標準 2 3 2 2 2 6 2" xfId="9573" xr:uid="{00000000-0005-0000-0000-000043240000}"/>
    <cellStyle name="標準 2 3 2 2 2 7" xfId="6415" xr:uid="{00000000-0005-0000-0000-000044240000}"/>
    <cellStyle name="標準 2 3 2 2 3" xfId="1088" xr:uid="{00000000-0005-0000-0000-000045240000}"/>
    <cellStyle name="標準 2 3 2 2 3 2" xfId="2194" xr:uid="{00000000-0005-0000-0000-000046240000}"/>
    <cellStyle name="標準 2 3 2 2 3 2 2" xfId="2664" xr:uid="{00000000-0005-0000-0000-000047240000}"/>
    <cellStyle name="標準 2 3 2 2 3 2 2 2" xfId="5507" xr:uid="{00000000-0005-0000-0000-000048240000}"/>
    <cellStyle name="標準 2 3 2 2 3 2 2 2 2" xfId="10873" xr:uid="{00000000-0005-0000-0000-000049240000}"/>
    <cellStyle name="標準 2 3 2 2 3 2 2 3" xfId="8213" xr:uid="{00000000-0005-0000-0000-00004A240000}"/>
    <cellStyle name="標準 2 3 2 2 3 2 3" xfId="3002" xr:uid="{00000000-0005-0000-0000-00004B240000}"/>
    <cellStyle name="標準 2 3 2 2 3 2 3 2" xfId="5843" xr:uid="{00000000-0005-0000-0000-00004C240000}"/>
    <cellStyle name="標準 2 3 2 2 3 2 3 2 2" xfId="11209" xr:uid="{00000000-0005-0000-0000-00004D240000}"/>
    <cellStyle name="標準 2 3 2 2 3 2 3 3" xfId="8550" xr:uid="{00000000-0005-0000-0000-00004E240000}"/>
    <cellStyle name="標準 2 3 2 2 3 2 4" xfId="4030" xr:uid="{00000000-0005-0000-0000-00004F240000}"/>
    <cellStyle name="標準 2 3 2 2 3 2 4 2" xfId="9578" xr:uid="{00000000-0005-0000-0000-000050240000}"/>
    <cellStyle name="標準 2 3 2 2 3 2 5" xfId="7837" xr:uid="{00000000-0005-0000-0000-000051240000}"/>
    <cellStyle name="標準 2 3 2 2 3 3" xfId="2370" xr:uid="{00000000-0005-0000-0000-000052240000}"/>
    <cellStyle name="標準 2 3 2 2 3 3 2" xfId="5241" xr:uid="{00000000-0005-0000-0000-000053240000}"/>
    <cellStyle name="標準 2 3 2 2 3 3 2 2" xfId="10698" xr:uid="{00000000-0005-0000-0000-000054240000}"/>
    <cellStyle name="標準 2 3 2 2 3 3 3" xfId="8011" xr:uid="{00000000-0005-0000-0000-000055240000}"/>
    <cellStyle name="標準 2 3 2 2 3 4" xfId="2835" xr:uid="{00000000-0005-0000-0000-000056240000}"/>
    <cellStyle name="標準 2 3 2 2 3 4 2" xfId="5676" xr:uid="{00000000-0005-0000-0000-000057240000}"/>
    <cellStyle name="標準 2 3 2 2 3 4 2 2" xfId="11042" xr:uid="{00000000-0005-0000-0000-000058240000}"/>
    <cellStyle name="標準 2 3 2 2 3 4 3" xfId="8383" xr:uid="{00000000-0005-0000-0000-000059240000}"/>
    <cellStyle name="標準 2 3 2 2 3 5" xfId="4029" xr:uid="{00000000-0005-0000-0000-00005A240000}"/>
    <cellStyle name="標準 2 3 2 2 3 5 2" xfId="9577" xr:uid="{00000000-0005-0000-0000-00005B240000}"/>
    <cellStyle name="標準 2 3 2 2 3 6" xfId="6828" xr:uid="{00000000-0005-0000-0000-00005C240000}"/>
    <cellStyle name="標準 2 3 2 2 4" xfId="1251" xr:uid="{00000000-0005-0000-0000-00005D240000}"/>
    <cellStyle name="標準 2 3 2 2 4 2" xfId="2583" xr:uid="{00000000-0005-0000-0000-00005E240000}"/>
    <cellStyle name="標準 2 3 2 2 4 2 2" xfId="5448" xr:uid="{00000000-0005-0000-0000-00005F240000}"/>
    <cellStyle name="標準 2 3 2 2 4 2 2 2" xfId="10814" xr:uid="{00000000-0005-0000-0000-000060240000}"/>
    <cellStyle name="標準 2 3 2 2 4 2 3" xfId="8132" xr:uid="{00000000-0005-0000-0000-000061240000}"/>
    <cellStyle name="標準 2 3 2 2 4 3" xfId="2943" xr:uid="{00000000-0005-0000-0000-000062240000}"/>
    <cellStyle name="標準 2 3 2 2 4 3 2" xfId="5784" xr:uid="{00000000-0005-0000-0000-000063240000}"/>
    <cellStyle name="標準 2 3 2 2 4 3 2 2" xfId="11150" xr:uid="{00000000-0005-0000-0000-000064240000}"/>
    <cellStyle name="標準 2 3 2 2 4 3 3" xfId="8491" xr:uid="{00000000-0005-0000-0000-000065240000}"/>
    <cellStyle name="標準 2 3 2 2 4 4" xfId="4031" xr:uid="{00000000-0005-0000-0000-000066240000}"/>
    <cellStyle name="標準 2 3 2 2 4 4 2" xfId="9579" xr:uid="{00000000-0005-0000-0000-000067240000}"/>
    <cellStyle name="標準 2 3 2 2 4 5" xfId="6980" xr:uid="{00000000-0005-0000-0000-000068240000}"/>
    <cellStyle name="標準 2 3 2 2 5" xfId="2310" xr:uid="{00000000-0005-0000-0000-000069240000}"/>
    <cellStyle name="標準 2 3 2 2 5 2" xfId="5181" xr:uid="{00000000-0005-0000-0000-00006A240000}"/>
    <cellStyle name="標準 2 3 2 2 5 2 2" xfId="10638" xr:uid="{00000000-0005-0000-0000-00006B240000}"/>
    <cellStyle name="標準 2 3 2 2 5 3" xfId="7951" xr:uid="{00000000-0005-0000-0000-00006C240000}"/>
    <cellStyle name="標準 2 3 2 2 6" xfId="2775" xr:uid="{00000000-0005-0000-0000-00006D240000}"/>
    <cellStyle name="標準 2 3 2 2 6 2" xfId="5616" xr:uid="{00000000-0005-0000-0000-00006E240000}"/>
    <cellStyle name="標準 2 3 2 2 6 2 2" xfId="10982" xr:uid="{00000000-0005-0000-0000-00006F240000}"/>
    <cellStyle name="標準 2 3 2 2 6 3" xfId="8323" xr:uid="{00000000-0005-0000-0000-000070240000}"/>
    <cellStyle name="標準 2 3 2 2 7" xfId="4024" xr:uid="{00000000-0005-0000-0000-000071240000}"/>
    <cellStyle name="標準 2 3 2 2 7 2" xfId="9572" xr:uid="{00000000-0005-0000-0000-000072240000}"/>
    <cellStyle name="標準 2 3 2 2 8" xfId="5968" xr:uid="{00000000-0005-0000-0000-000073240000}"/>
    <cellStyle name="標準 2 3 2 3" xfId="602" xr:uid="{00000000-0005-0000-0000-000074240000}"/>
    <cellStyle name="標準 2 3 2 3 2" xfId="1709" xr:uid="{00000000-0005-0000-0000-000075240000}"/>
    <cellStyle name="標準 2 3 2 3 2 2" xfId="2620" xr:uid="{00000000-0005-0000-0000-000076240000}"/>
    <cellStyle name="標準 2 3 2 3 2 2 2" xfId="5475" xr:uid="{00000000-0005-0000-0000-000077240000}"/>
    <cellStyle name="標準 2 3 2 3 2 2 2 2" xfId="10841" xr:uid="{00000000-0005-0000-0000-000078240000}"/>
    <cellStyle name="標準 2 3 2 3 2 2 3" xfId="8169" xr:uid="{00000000-0005-0000-0000-000079240000}"/>
    <cellStyle name="標準 2 3 2 3 2 3" xfId="2970" xr:uid="{00000000-0005-0000-0000-00007A240000}"/>
    <cellStyle name="標準 2 3 2 3 2 3 2" xfId="5811" xr:uid="{00000000-0005-0000-0000-00007B240000}"/>
    <cellStyle name="標準 2 3 2 3 2 3 2 2" xfId="11177" xr:uid="{00000000-0005-0000-0000-00007C240000}"/>
    <cellStyle name="標準 2 3 2 3 2 3 3" xfId="8518" xr:uid="{00000000-0005-0000-0000-00007D240000}"/>
    <cellStyle name="標準 2 3 2 3 2 4" xfId="4033" xr:uid="{00000000-0005-0000-0000-00007E240000}"/>
    <cellStyle name="標準 2 3 2 3 2 4 2" xfId="9581" xr:uid="{00000000-0005-0000-0000-00007F240000}"/>
    <cellStyle name="標準 2 3 2 3 2 5" xfId="7396" xr:uid="{00000000-0005-0000-0000-000080240000}"/>
    <cellStyle name="標準 2 3 2 3 3" xfId="2337" xr:uid="{00000000-0005-0000-0000-000081240000}"/>
    <cellStyle name="標準 2 3 2 3 3 2" xfId="5208" xr:uid="{00000000-0005-0000-0000-000082240000}"/>
    <cellStyle name="標準 2 3 2 3 3 2 2" xfId="10665" xr:uid="{00000000-0005-0000-0000-000083240000}"/>
    <cellStyle name="標準 2 3 2 3 3 3" xfId="7978" xr:uid="{00000000-0005-0000-0000-000084240000}"/>
    <cellStyle name="標準 2 3 2 3 4" xfId="2802" xr:uid="{00000000-0005-0000-0000-000085240000}"/>
    <cellStyle name="標準 2 3 2 3 4 2" xfId="5643" xr:uid="{00000000-0005-0000-0000-000086240000}"/>
    <cellStyle name="標準 2 3 2 3 4 2 2" xfId="11009" xr:uid="{00000000-0005-0000-0000-000087240000}"/>
    <cellStyle name="標準 2 3 2 3 4 3" xfId="8350" xr:uid="{00000000-0005-0000-0000-000088240000}"/>
    <cellStyle name="標準 2 3 2 3 5" xfId="4032" xr:uid="{00000000-0005-0000-0000-000089240000}"/>
    <cellStyle name="標準 2 3 2 3 5 2" xfId="9580" xr:uid="{00000000-0005-0000-0000-00008A240000}"/>
    <cellStyle name="標準 2 3 2 3 6" xfId="6386" xr:uid="{00000000-0005-0000-0000-00008B240000}"/>
    <cellStyle name="標準 2 3 2 4" xfId="1206" xr:uid="{00000000-0005-0000-0000-00008C240000}"/>
    <cellStyle name="標準 2 3 2 4 2" xfId="2553" xr:uid="{00000000-0005-0000-0000-00008D240000}"/>
    <cellStyle name="標準 2 3 2 4 2 2" xfId="5420" xr:uid="{00000000-0005-0000-0000-00008E240000}"/>
    <cellStyle name="標準 2 3 2 4 2 2 2" xfId="10786" xr:uid="{00000000-0005-0000-0000-00008F240000}"/>
    <cellStyle name="標準 2 3 2 4 2 3" xfId="8102" xr:uid="{00000000-0005-0000-0000-000090240000}"/>
    <cellStyle name="標準 2 3 2 4 3" xfId="2915" xr:uid="{00000000-0005-0000-0000-000091240000}"/>
    <cellStyle name="標準 2 3 2 4 3 2" xfId="5756" xr:uid="{00000000-0005-0000-0000-000092240000}"/>
    <cellStyle name="標準 2 3 2 4 3 2 2" xfId="11122" xr:uid="{00000000-0005-0000-0000-000093240000}"/>
    <cellStyle name="標準 2 3 2 4 3 3" xfId="8463" xr:uid="{00000000-0005-0000-0000-000094240000}"/>
    <cellStyle name="標準 2 3 2 4 4" xfId="4034" xr:uid="{00000000-0005-0000-0000-000095240000}"/>
    <cellStyle name="標準 2 3 2 4 4 2" xfId="9582" xr:uid="{00000000-0005-0000-0000-000096240000}"/>
    <cellStyle name="標準 2 3 2 4 5" xfId="6937" xr:uid="{00000000-0005-0000-0000-000097240000}"/>
    <cellStyle name="標準 2 3 2 5" xfId="2282" xr:uid="{00000000-0005-0000-0000-000098240000}"/>
    <cellStyle name="標準 2 3 2 5 2" xfId="5153" xr:uid="{00000000-0005-0000-0000-000099240000}"/>
    <cellStyle name="標準 2 3 2 5 2 2" xfId="10610" xr:uid="{00000000-0005-0000-0000-00009A240000}"/>
    <cellStyle name="標準 2 3 2 5 3" xfId="7923" xr:uid="{00000000-0005-0000-0000-00009B240000}"/>
    <cellStyle name="標準 2 3 2 6" xfId="2747" xr:uid="{00000000-0005-0000-0000-00009C240000}"/>
    <cellStyle name="標準 2 3 2 6 2" xfId="5588" xr:uid="{00000000-0005-0000-0000-00009D240000}"/>
    <cellStyle name="標準 2 3 2 6 2 2" xfId="10954" xr:uid="{00000000-0005-0000-0000-00009E240000}"/>
    <cellStyle name="標準 2 3 2 6 3" xfId="8295" xr:uid="{00000000-0005-0000-0000-00009F240000}"/>
    <cellStyle name="標準 2 3 2 7" xfId="4023" xr:uid="{00000000-0005-0000-0000-0000A0240000}"/>
    <cellStyle name="標準 2 3 2 7 2" xfId="9571" xr:uid="{00000000-0005-0000-0000-0000A1240000}"/>
    <cellStyle name="標準 2 3 2 8" xfId="5922" xr:uid="{00000000-0005-0000-0000-0000A2240000}"/>
    <cellStyle name="標準 2 3 3" xfId="138" xr:uid="{00000000-0005-0000-0000-0000A3240000}"/>
    <cellStyle name="標準 2 3 3 2" xfId="627" xr:uid="{00000000-0005-0000-0000-0000A4240000}"/>
    <cellStyle name="標準 2 3 3 2 2" xfId="1733" xr:uid="{00000000-0005-0000-0000-0000A5240000}"/>
    <cellStyle name="標準 2 3 3 2 2 2" xfId="2643" xr:uid="{00000000-0005-0000-0000-0000A6240000}"/>
    <cellStyle name="標準 2 3 3 2 2 2 2" xfId="5498" xr:uid="{00000000-0005-0000-0000-0000A7240000}"/>
    <cellStyle name="標準 2 3 3 2 2 2 2 2" xfId="10864" xr:uid="{00000000-0005-0000-0000-0000A8240000}"/>
    <cellStyle name="標準 2 3 3 2 2 2 3" xfId="8192" xr:uid="{00000000-0005-0000-0000-0000A9240000}"/>
    <cellStyle name="標準 2 3 3 2 2 3" xfId="2993" xr:uid="{00000000-0005-0000-0000-0000AA240000}"/>
    <cellStyle name="標準 2 3 3 2 2 3 2" xfId="5834" xr:uid="{00000000-0005-0000-0000-0000AB240000}"/>
    <cellStyle name="標準 2 3 3 2 2 3 2 2" xfId="11200" xr:uid="{00000000-0005-0000-0000-0000AC240000}"/>
    <cellStyle name="標準 2 3 3 2 2 3 3" xfId="8541" xr:uid="{00000000-0005-0000-0000-0000AD240000}"/>
    <cellStyle name="標準 2 3 3 2 2 4" xfId="4037" xr:uid="{00000000-0005-0000-0000-0000AE240000}"/>
    <cellStyle name="標準 2 3 3 2 2 4 2" xfId="9585" xr:uid="{00000000-0005-0000-0000-0000AF240000}"/>
    <cellStyle name="標準 2 3 3 2 2 5" xfId="7420" xr:uid="{00000000-0005-0000-0000-0000B0240000}"/>
    <cellStyle name="標準 2 3 3 2 3" xfId="2361" xr:uid="{00000000-0005-0000-0000-0000B1240000}"/>
    <cellStyle name="標準 2 3 3 2 3 2" xfId="5232" xr:uid="{00000000-0005-0000-0000-0000B2240000}"/>
    <cellStyle name="標準 2 3 3 2 3 2 2" xfId="10689" xr:uid="{00000000-0005-0000-0000-0000B3240000}"/>
    <cellStyle name="標準 2 3 3 2 3 3" xfId="8002" xr:uid="{00000000-0005-0000-0000-0000B4240000}"/>
    <cellStyle name="標準 2 3 3 2 4" xfId="2826" xr:uid="{00000000-0005-0000-0000-0000B5240000}"/>
    <cellStyle name="標準 2 3 3 2 4 2" xfId="5667" xr:uid="{00000000-0005-0000-0000-0000B6240000}"/>
    <cellStyle name="標準 2 3 3 2 4 2 2" xfId="11033" xr:uid="{00000000-0005-0000-0000-0000B7240000}"/>
    <cellStyle name="標準 2 3 3 2 4 3" xfId="8374" xr:uid="{00000000-0005-0000-0000-0000B8240000}"/>
    <cellStyle name="標準 2 3 3 2 5" xfId="4036" xr:uid="{00000000-0005-0000-0000-0000B9240000}"/>
    <cellStyle name="標準 2 3 3 2 5 2" xfId="9584" xr:uid="{00000000-0005-0000-0000-0000BA240000}"/>
    <cellStyle name="標準 2 3 3 2 6" xfId="6411" xr:uid="{00000000-0005-0000-0000-0000BB240000}"/>
    <cellStyle name="標準 2 3 3 3" xfId="1247" xr:uid="{00000000-0005-0000-0000-0000BC240000}"/>
    <cellStyle name="標準 2 3 3 3 2" xfId="2579" xr:uid="{00000000-0005-0000-0000-0000BD240000}"/>
    <cellStyle name="標準 2 3 3 3 2 2" xfId="5444" xr:uid="{00000000-0005-0000-0000-0000BE240000}"/>
    <cellStyle name="標準 2 3 3 3 2 2 2" xfId="10810" xr:uid="{00000000-0005-0000-0000-0000BF240000}"/>
    <cellStyle name="標準 2 3 3 3 2 3" xfId="8128" xr:uid="{00000000-0005-0000-0000-0000C0240000}"/>
    <cellStyle name="標準 2 3 3 3 3" xfId="2939" xr:uid="{00000000-0005-0000-0000-0000C1240000}"/>
    <cellStyle name="標準 2 3 3 3 3 2" xfId="5780" xr:uid="{00000000-0005-0000-0000-0000C2240000}"/>
    <cellStyle name="標準 2 3 3 3 3 2 2" xfId="11146" xr:uid="{00000000-0005-0000-0000-0000C3240000}"/>
    <cellStyle name="標準 2 3 3 3 3 3" xfId="8487" xr:uid="{00000000-0005-0000-0000-0000C4240000}"/>
    <cellStyle name="標準 2 3 3 3 4" xfId="4038" xr:uid="{00000000-0005-0000-0000-0000C5240000}"/>
    <cellStyle name="標準 2 3 3 3 4 2" xfId="9586" xr:uid="{00000000-0005-0000-0000-0000C6240000}"/>
    <cellStyle name="標準 2 3 3 3 5" xfId="6976" xr:uid="{00000000-0005-0000-0000-0000C7240000}"/>
    <cellStyle name="標準 2 3 3 4" xfId="2306" xr:uid="{00000000-0005-0000-0000-0000C8240000}"/>
    <cellStyle name="標準 2 3 3 4 2" xfId="5177" xr:uid="{00000000-0005-0000-0000-0000C9240000}"/>
    <cellStyle name="標準 2 3 3 4 2 2" xfId="10634" xr:uid="{00000000-0005-0000-0000-0000CA240000}"/>
    <cellStyle name="標準 2 3 3 4 3" xfId="7947" xr:uid="{00000000-0005-0000-0000-0000CB240000}"/>
    <cellStyle name="標準 2 3 3 5" xfId="2771" xr:uid="{00000000-0005-0000-0000-0000CC240000}"/>
    <cellStyle name="標準 2 3 3 5 2" xfId="5612" xr:uid="{00000000-0005-0000-0000-0000CD240000}"/>
    <cellStyle name="標準 2 3 3 5 2 2" xfId="10978" xr:uid="{00000000-0005-0000-0000-0000CE240000}"/>
    <cellStyle name="標準 2 3 3 5 3" xfId="8319" xr:uid="{00000000-0005-0000-0000-0000CF240000}"/>
    <cellStyle name="標準 2 3 3 6" xfId="4035" xr:uid="{00000000-0005-0000-0000-0000D0240000}"/>
    <cellStyle name="標準 2 3 3 6 2" xfId="9583" xr:uid="{00000000-0005-0000-0000-0000D1240000}"/>
    <cellStyle name="標準 2 3 3 7" xfId="5964" xr:uid="{00000000-0005-0000-0000-0000D2240000}"/>
    <cellStyle name="標準 2 3 4" xfId="598" xr:uid="{00000000-0005-0000-0000-0000D3240000}"/>
    <cellStyle name="標準 2 3 4 2" xfId="1705" xr:uid="{00000000-0005-0000-0000-0000D4240000}"/>
    <cellStyle name="標準 2 3 4 2 2" xfId="2616" xr:uid="{00000000-0005-0000-0000-0000D5240000}"/>
    <cellStyle name="標準 2 3 4 2 2 2" xfId="5471" xr:uid="{00000000-0005-0000-0000-0000D6240000}"/>
    <cellStyle name="標準 2 3 4 2 2 2 2" xfId="10837" xr:uid="{00000000-0005-0000-0000-0000D7240000}"/>
    <cellStyle name="標準 2 3 4 2 2 3" xfId="8165" xr:uid="{00000000-0005-0000-0000-0000D8240000}"/>
    <cellStyle name="標準 2 3 4 2 3" xfId="2966" xr:uid="{00000000-0005-0000-0000-0000D9240000}"/>
    <cellStyle name="標準 2 3 4 2 3 2" xfId="5807" xr:uid="{00000000-0005-0000-0000-0000DA240000}"/>
    <cellStyle name="標準 2 3 4 2 3 2 2" xfId="11173" xr:uid="{00000000-0005-0000-0000-0000DB240000}"/>
    <cellStyle name="標準 2 3 4 2 3 3" xfId="8514" xr:uid="{00000000-0005-0000-0000-0000DC240000}"/>
    <cellStyle name="標準 2 3 4 2 4" xfId="4040" xr:uid="{00000000-0005-0000-0000-0000DD240000}"/>
    <cellStyle name="標準 2 3 4 2 4 2" xfId="9588" xr:uid="{00000000-0005-0000-0000-0000DE240000}"/>
    <cellStyle name="標準 2 3 4 2 5" xfId="7392" xr:uid="{00000000-0005-0000-0000-0000DF240000}"/>
    <cellStyle name="標準 2 3 4 3" xfId="2333" xr:uid="{00000000-0005-0000-0000-0000E0240000}"/>
    <cellStyle name="標準 2 3 4 3 2" xfId="5204" xr:uid="{00000000-0005-0000-0000-0000E1240000}"/>
    <cellStyle name="標準 2 3 4 3 2 2" xfId="10661" xr:uid="{00000000-0005-0000-0000-0000E2240000}"/>
    <cellStyle name="標準 2 3 4 3 3" xfId="7974" xr:uid="{00000000-0005-0000-0000-0000E3240000}"/>
    <cellStyle name="標準 2 3 4 4" xfId="2798" xr:uid="{00000000-0005-0000-0000-0000E4240000}"/>
    <cellStyle name="標準 2 3 4 4 2" xfId="5639" xr:uid="{00000000-0005-0000-0000-0000E5240000}"/>
    <cellStyle name="標準 2 3 4 4 2 2" xfId="11005" xr:uid="{00000000-0005-0000-0000-0000E6240000}"/>
    <cellStyle name="標準 2 3 4 4 3" xfId="8346" xr:uid="{00000000-0005-0000-0000-0000E7240000}"/>
    <cellStyle name="標準 2 3 4 5" xfId="4039" xr:uid="{00000000-0005-0000-0000-0000E8240000}"/>
    <cellStyle name="標準 2 3 4 5 2" xfId="9587" xr:uid="{00000000-0005-0000-0000-0000E9240000}"/>
    <cellStyle name="標準 2 3 4 6" xfId="6382" xr:uid="{00000000-0005-0000-0000-0000EA240000}"/>
    <cellStyle name="標準 2 3 5" xfId="1097" xr:uid="{00000000-0005-0000-0000-0000EB240000}"/>
    <cellStyle name="標準 2 3 5 2" xfId="2201" xr:uid="{00000000-0005-0000-0000-0000EC240000}"/>
    <cellStyle name="標準 2 3 5 2 2" xfId="2671" xr:uid="{00000000-0005-0000-0000-0000ED240000}"/>
    <cellStyle name="標準 2 3 5 2 2 2" xfId="5514" xr:uid="{00000000-0005-0000-0000-0000EE240000}"/>
    <cellStyle name="標準 2 3 5 2 2 2 2" xfId="10880" xr:uid="{00000000-0005-0000-0000-0000EF240000}"/>
    <cellStyle name="標準 2 3 5 2 2 3" xfId="8220" xr:uid="{00000000-0005-0000-0000-0000F0240000}"/>
    <cellStyle name="標準 2 3 5 2 3" xfId="3009" xr:uid="{00000000-0005-0000-0000-0000F1240000}"/>
    <cellStyle name="標準 2 3 5 2 3 2" xfId="5850" xr:uid="{00000000-0005-0000-0000-0000F2240000}"/>
    <cellStyle name="標準 2 3 5 2 3 2 2" xfId="11216" xr:uid="{00000000-0005-0000-0000-0000F3240000}"/>
    <cellStyle name="標準 2 3 5 2 3 3" xfId="8557" xr:uid="{00000000-0005-0000-0000-0000F4240000}"/>
    <cellStyle name="標準 2 3 5 2 4" xfId="4042" xr:uid="{00000000-0005-0000-0000-0000F5240000}"/>
    <cellStyle name="標準 2 3 5 2 4 2" xfId="9590" xr:uid="{00000000-0005-0000-0000-0000F6240000}"/>
    <cellStyle name="標準 2 3 5 2 5" xfId="7844" xr:uid="{00000000-0005-0000-0000-0000F7240000}"/>
    <cellStyle name="標準 2 3 5 3" xfId="2377" xr:uid="{00000000-0005-0000-0000-0000F8240000}"/>
    <cellStyle name="標準 2 3 5 3 2" xfId="5248" xr:uid="{00000000-0005-0000-0000-0000F9240000}"/>
    <cellStyle name="標準 2 3 5 3 2 2" xfId="10705" xr:uid="{00000000-0005-0000-0000-0000FA240000}"/>
    <cellStyle name="標準 2 3 5 3 3" xfId="8018" xr:uid="{00000000-0005-0000-0000-0000FB240000}"/>
    <cellStyle name="標準 2 3 5 4" xfId="2842" xr:uid="{00000000-0005-0000-0000-0000FC240000}"/>
    <cellStyle name="標準 2 3 5 4 2" xfId="5683" xr:uid="{00000000-0005-0000-0000-0000FD240000}"/>
    <cellStyle name="標準 2 3 5 4 2 2" xfId="11049" xr:uid="{00000000-0005-0000-0000-0000FE240000}"/>
    <cellStyle name="標準 2 3 5 4 3" xfId="8390" xr:uid="{00000000-0005-0000-0000-0000FF240000}"/>
    <cellStyle name="標準 2 3 5 5" xfId="4041" xr:uid="{00000000-0005-0000-0000-000000250000}"/>
    <cellStyle name="標準 2 3 5 5 2" xfId="9589" xr:uid="{00000000-0005-0000-0000-000001250000}"/>
    <cellStyle name="標準 2 3 5 6" xfId="5893" xr:uid="{00000000-0005-0000-0000-000002250000}"/>
    <cellStyle name="標準 2 3 5 6 2" xfId="11259" xr:uid="{00000000-0005-0000-0000-000003250000}"/>
    <cellStyle name="標準 2 3 5 7" xfId="6837" xr:uid="{00000000-0005-0000-0000-000004250000}"/>
    <cellStyle name="標準 2 3 6" xfId="1198" xr:uid="{00000000-0005-0000-0000-000005250000}"/>
    <cellStyle name="標準 2 3 6 2" xfId="2545" xr:uid="{00000000-0005-0000-0000-000006250000}"/>
    <cellStyle name="標準 2 3 6 2 2" xfId="5412" xr:uid="{00000000-0005-0000-0000-000007250000}"/>
    <cellStyle name="標準 2 3 6 2 2 2" xfId="10779" xr:uid="{00000000-0005-0000-0000-000008250000}"/>
    <cellStyle name="標準 2 3 6 2 3" xfId="8095" xr:uid="{00000000-0005-0000-0000-000009250000}"/>
    <cellStyle name="標準 2 3 6 3" xfId="2912" xr:uid="{00000000-0005-0000-0000-00000A250000}"/>
    <cellStyle name="標準 2 3 6 3 2" xfId="5753" xr:uid="{00000000-0005-0000-0000-00000B250000}"/>
    <cellStyle name="標準 2 3 6 3 2 2" xfId="11119" xr:uid="{00000000-0005-0000-0000-00000C250000}"/>
    <cellStyle name="標準 2 3 6 3 3" xfId="8460" xr:uid="{00000000-0005-0000-0000-00000D250000}"/>
    <cellStyle name="標準 2 3 6 4" xfId="4043" xr:uid="{00000000-0005-0000-0000-00000E250000}"/>
    <cellStyle name="標準 2 3 6 4 2" xfId="9591" xr:uid="{00000000-0005-0000-0000-00000F250000}"/>
    <cellStyle name="標準 2 3 6 5" xfId="6930" xr:uid="{00000000-0005-0000-0000-000010250000}"/>
    <cellStyle name="標準 2 3 7" xfId="2279" xr:uid="{00000000-0005-0000-0000-000011250000}"/>
    <cellStyle name="標準 2 3 7 2" xfId="5150" xr:uid="{00000000-0005-0000-0000-000012250000}"/>
    <cellStyle name="標準 2 3 7 2 2" xfId="10607" xr:uid="{00000000-0005-0000-0000-000013250000}"/>
    <cellStyle name="標準 2 3 7 3" xfId="7920" xr:uid="{00000000-0005-0000-0000-000014250000}"/>
    <cellStyle name="標準 2 3 8" xfId="2744" xr:uid="{00000000-0005-0000-0000-000015250000}"/>
    <cellStyle name="標準 2 3 8 2" xfId="5585" xr:uid="{00000000-0005-0000-0000-000016250000}"/>
    <cellStyle name="標準 2 3 8 2 2" xfId="10951" xr:uid="{00000000-0005-0000-0000-000017250000}"/>
    <cellStyle name="標準 2 3 8 3" xfId="8292" xr:uid="{00000000-0005-0000-0000-000018250000}"/>
    <cellStyle name="標準 2 3 9" xfId="4022" xr:uid="{00000000-0005-0000-0000-000019250000}"/>
    <cellStyle name="標準 2 3 9 2" xfId="9570" xr:uid="{00000000-0005-0000-0000-00001A250000}"/>
    <cellStyle name="標準 2 4" xfId="94" xr:uid="{00000000-0005-0000-0000-00001B250000}"/>
    <cellStyle name="標準 2 4 2" xfId="141" xr:uid="{00000000-0005-0000-0000-00001C250000}"/>
    <cellStyle name="標準 2 4 2 2" xfId="630" xr:uid="{00000000-0005-0000-0000-00001D250000}"/>
    <cellStyle name="標準 2 4 2 2 2" xfId="1736" xr:uid="{00000000-0005-0000-0000-00001E250000}"/>
    <cellStyle name="標準 2 4 2 2 2 2" xfId="2646" xr:uid="{00000000-0005-0000-0000-00001F250000}"/>
    <cellStyle name="標準 2 4 2 2 2 2 2" xfId="5501" xr:uid="{00000000-0005-0000-0000-000020250000}"/>
    <cellStyle name="標準 2 4 2 2 2 2 2 2" xfId="10867" xr:uid="{00000000-0005-0000-0000-000021250000}"/>
    <cellStyle name="標準 2 4 2 2 2 2 3" xfId="8195" xr:uid="{00000000-0005-0000-0000-000022250000}"/>
    <cellStyle name="標準 2 4 2 2 2 3" xfId="2996" xr:uid="{00000000-0005-0000-0000-000023250000}"/>
    <cellStyle name="標準 2 4 2 2 2 3 2" xfId="5837" xr:uid="{00000000-0005-0000-0000-000024250000}"/>
    <cellStyle name="標準 2 4 2 2 2 3 2 2" xfId="11203" xr:uid="{00000000-0005-0000-0000-000025250000}"/>
    <cellStyle name="標準 2 4 2 2 2 3 3" xfId="8544" xr:uid="{00000000-0005-0000-0000-000026250000}"/>
    <cellStyle name="標準 2 4 2 2 2 4" xfId="4047" xr:uid="{00000000-0005-0000-0000-000027250000}"/>
    <cellStyle name="標準 2 4 2 2 2 4 2" xfId="9595" xr:uid="{00000000-0005-0000-0000-000028250000}"/>
    <cellStyle name="標準 2 4 2 2 2 5" xfId="7423" xr:uid="{00000000-0005-0000-0000-000029250000}"/>
    <cellStyle name="標準 2 4 2 2 3" xfId="2364" xr:uid="{00000000-0005-0000-0000-00002A250000}"/>
    <cellStyle name="標準 2 4 2 2 3 2" xfId="5235" xr:uid="{00000000-0005-0000-0000-00002B250000}"/>
    <cellStyle name="標準 2 4 2 2 3 2 2" xfId="10692" xr:uid="{00000000-0005-0000-0000-00002C250000}"/>
    <cellStyle name="標準 2 4 2 2 3 3" xfId="8005" xr:uid="{00000000-0005-0000-0000-00002D250000}"/>
    <cellStyle name="標準 2 4 2 2 4" xfId="2829" xr:uid="{00000000-0005-0000-0000-00002E250000}"/>
    <cellStyle name="標準 2 4 2 2 4 2" xfId="5670" xr:uid="{00000000-0005-0000-0000-00002F250000}"/>
    <cellStyle name="標準 2 4 2 2 4 2 2" xfId="11036" xr:uid="{00000000-0005-0000-0000-000030250000}"/>
    <cellStyle name="標準 2 4 2 2 4 3" xfId="8377" xr:uid="{00000000-0005-0000-0000-000031250000}"/>
    <cellStyle name="標準 2 4 2 2 5" xfId="4046" xr:uid="{00000000-0005-0000-0000-000032250000}"/>
    <cellStyle name="標準 2 4 2 2 5 2" xfId="9594" xr:uid="{00000000-0005-0000-0000-000033250000}"/>
    <cellStyle name="標準 2 4 2 2 6" xfId="6414" xr:uid="{00000000-0005-0000-0000-000034250000}"/>
    <cellStyle name="標準 2 4 2 3" xfId="1250" xr:uid="{00000000-0005-0000-0000-000035250000}"/>
    <cellStyle name="標準 2 4 2 3 2" xfId="2582" xr:uid="{00000000-0005-0000-0000-000036250000}"/>
    <cellStyle name="標準 2 4 2 3 2 2" xfId="5447" xr:uid="{00000000-0005-0000-0000-000037250000}"/>
    <cellStyle name="標準 2 4 2 3 2 2 2" xfId="10813" xr:uid="{00000000-0005-0000-0000-000038250000}"/>
    <cellStyle name="標準 2 4 2 3 2 3" xfId="8131" xr:uid="{00000000-0005-0000-0000-000039250000}"/>
    <cellStyle name="標準 2 4 2 3 3" xfId="2942" xr:uid="{00000000-0005-0000-0000-00003A250000}"/>
    <cellStyle name="標準 2 4 2 3 3 2" xfId="5783" xr:uid="{00000000-0005-0000-0000-00003B250000}"/>
    <cellStyle name="標準 2 4 2 3 3 2 2" xfId="11149" xr:uid="{00000000-0005-0000-0000-00003C250000}"/>
    <cellStyle name="標準 2 4 2 3 3 3" xfId="8490" xr:uid="{00000000-0005-0000-0000-00003D250000}"/>
    <cellStyle name="標準 2 4 2 3 4" xfId="4048" xr:uid="{00000000-0005-0000-0000-00003E250000}"/>
    <cellStyle name="標準 2 4 2 3 4 2" xfId="9596" xr:uid="{00000000-0005-0000-0000-00003F250000}"/>
    <cellStyle name="標準 2 4 2 3 5" xfId="6979" xr:uid="{00000000-0005-0000-0000-000040250000}"/>
    <cellStyle name="標準 2 4 2 4" xfId="2309" xr:uid="{00000000-0005-0000-0000-000041250000}"/>
    <cellStyle name="標準 2 4 2 4 2" xfId="5180" xr:uid="{00000000-0005-0000-0000-000042250000}"/>
    <cellStyle name="標準 2 4 2 4 2 2" xfId="10637" xr:uid="{00000000-0005-0000-0000-000043250000}"/>
    <cellStyle name="標準 2 4 2 4 3" xfId="7950" xr:uid="{00000000-0005-0000-0000-000044250000}"/>
    <cellStyle name="標準 2 4 2 5" xfId="2774" xr:uid="{00000000-0005-0000-0000-000045250000}"/>
    <cellStyle name="標準 2 4 2 5 2" xfId="5615" xr:uid="{00000000-0005-0000-0000-000046250000}"/>
    <cellStyle name="標準 2 4 2 5 2 2" xfId="10981" xr:uid="{00000000-0005-0000-0000-000047250000}"/>
    <cellStyle name="標準 2 4 2 5 3" xfId="8322" xr:uid="{00000000-0005-0000-0000-000048250000}"/>
    <cellStyle name="標準 2 4 2 6" xfId="4045" xr:uid="{00000000-0005-0000-0000-000049250000}"/>
    <cellStyle name="標準 2 4 2 6 2" xfId="9593" xr:uid="{00000000-0005-0000-0000-00004A250000}"/>
    <cellStyle name="標準 2 4 2 7" xfId="5967" xr:uid="{00000000-0005-0000-0000-00004B250000}"/>
    <cellStyle name="標準 2 4 3" xfId="601" xr:uid="{00000000-0005-0000-0000-00004C250000}"/>
    <cellStyle name="標準 2 4 3 2" xfId="1708" xr:uid="{00000000-0005-0000-0000-00004D250000}"/>
    <cellStyle name="標準 2 4 3 2 2" xfId="2619" xr:uid="{00000000-0005-0000-0000-00004E250000}"/>
    <cellStyle name="標準 2 4 3 2 2 2" xfId="5474" xr:uid="{00000000-0005-0000-0000-00004F250000}"/>
    <cellStyle name="標準 2 4 3 2 2 2 2" xfId="10840" xr:uid="{00000000-0005-0000-0000-000050250000}"/>
    <cellStyle name="標準 2 4 3 2 2 3" xfId="8168" xr:uid="{00000000-0005-0000-0000-000051250000}"/>
    <cellStyle name="標準 2 4 3 2 3" xfId="2969" xr:uid="{00000000-0005-0000-0000-000052250000}"/>
    <cellStyle name="標準 2 4 3 2 3 2" xfId="5810" xr:uid="{00000000-0005-0000-0000-000053250000}"/>
    <cellStyle name="標準 2 4 3 2 3 2 2" xfId="11176" xr:uid="{00000000-0005-0000-0000-000054250000}"/>
    <cellStyle name="標準 2 4 3 2 3 3" xfId="8517" xr:uid="{00000000-0005-0000-0000-000055250000}"/>
    <cellStyle name="標準 2 4 3 2 4" xfId="4050" xr:uid="{00000000-0005-0000-0000-000056250000}"/>
    <cellStyle name="標準 2 4 3 2 4 2" xfId="9598" xr:uid="{00000000-0005-0000-0000-000057250000}"/>
    <cellStyle name="標準 2 4 3 2 5" xfId="7395" xr:uid="{00000000-0005-0000-0000-000058250000}"/>
    <cellStyle name="標準 2 4 3 3" xfId="2336" xr:uid="{00000000-0005-0000-0000-000059250000}"/>
    <cellStyle name="標準 2 4 3 3 2" xfId="5207" xr:uid="{00000000-0005-0000-0000-00005A250000}"/>
    <cellStyle name="標準 2 4 3 3 2 2" xfId="10664" xr:uid="{00000000-0005-0000-0000-00005B250000}"/>
    <cellStyle name="標準 2 4 3 3 3" xfId="7977" xr:uid="{00000000-0005-0000-0000-00005C250000}"/>
    <cellStyle name="標準 2 4 3 4" xfId="2801" xr:uid="{00000000-0005-0000-0000-00005D250000}"/>
    <cellStyle name="標準 2 4 3 4 2" xfId="5642" xr:uid="{00000000-0005-0000-0000-00005E250000}"/>
    <cellStyle name="標準 2 4 3 4 2 2" xfId="11008" xr:uid="{00000000-0005-0000-0000-00005F250000}"/>
    <cellStyle name="標準 2 4 3 4 3" xfId="8349" xr:uid="{00000000-0005-0000-0000-000060250000}"/>
    <cellStyle name="標準 2 4 3 5" xfId="4049" xr:uid="{00000000-0005-0000-0000-000061250000}"/>
    <cellStyle name="標準 2 4 3 5 2" xfId="9597" xr:uid="{00000000-0005-0000-0000-000062250000}"/>
    <cellStyle name="標準 2 4 3 6" xfId="6385" xr:uid="{00000000-0005-0000-0000-000063250000}"/>
    <cellStyle name="標準 2 4 4" xfId="1207" xr:uid="{00000000-0005-0000-0000-000064250000}"/>
    <cellStyle name="標準 2 4 4 2" xfId="2554" xr:uid="{00000000-0005-0000-0000-000065250000}"/>
    <cellStyle name="標準 2 4 4 2 2" xfId="5421" xr:uid="{00000000-0005-0000-0000-000066250000}"/>
    <cellStyle name="標準 2 4 4 2 2 2" xfId="10787" xr:uid="{00000000-0005-0000-0000-000067250000}"/>
    <cellStyle name="標準 2 4 4 2 3" xfId="8103" xr:uid="{00000000-0005-0000-0000-000068250000}"/>
    <cellStyle name="標準 2 4 4 3" xfId="2916" xr:uid="{00000000-0005-0000-0000-000069250000}"/>
    <cellStyle name="標準 2 4 4 3 2" xfId="5757" xr:uid="{00000000-0005-0000-0000-00006A250000}"/>
    <cellStyle name="標準 2 4 4 3 2 2" xfId="11123" xr:uid="{00000000-0005-0000-0000-00006B250000}"/>
    <cellStyle name="標準 2 4 4 3 3" xfId="8464" xr:uid="{00000000-0005-0000-0000-00006C250000}"/>
    <cellStyle name="標準 2 4 4 4" xfId="4051" xr:uid="{00000000-0005-0000-0000-00006D250000}"/>
    <cellStyle name="標準 2 4 4 4 2" xfId="9599" xr:uid="{00000000-0005-0000-0000-00006E250000}"/>
    <cellStyle name="標準 2 4 4 5" xfId="6938" xr:uid="{00000000-0005-0000-0000-00006F250000}"/>
    <cellStyle name="標準 2 4 5" xfId="2283" xr:uid="{00000000-0005-0000-0000-000070250000}"/>
    <cellStyle name="標準 2 4 5 2" xfId="5154" xr:uid="{00000000-0005-0000-0000-000071250000}"/>
    <cellStyle name="標準 2 4 5 2 2" xfId="10611" xr:uid="{00000000-0005-0000-0000-000072250000}"/>
    <cellStyle name="標準 2 4 5 3" xfId="7924" xr:uid="{00000000-0005-0000-0000-000073250000}"/>
    <cellStyle name="標準 2 4 6" xfId="2748" xr:uid="{00000000-0005-0000-0000-000074250000}"/>
    <cellStyle name="標準 2 4 6 2" xfId="5589" xr:uid="{00000000-0005-0000-0000-000075250000}"/>
    <cellStyle name="標準 2 4 6 2 2" xfId="10955" xr:uid="{00000000-0005-0000-0000-000076250000}"/>
    <cellStyle name="標準 2 4 6 3" xfId="8296" xr:uid="{00000000-0005-0000-0000-000077250000}"/>
    <cellStyle name="標準 2 4 7" xfId="4044" xr:uid="{00000000-0005-0000-0000-000078250000}"/>
    <cellStyle name="標準 2 4 7 2" xfId="9592" xr:uid="{00000000-0005-0000-0000-000079250000}"/>
    <cellStyle name="標準 2 4 8" xfId="5923" xr:uid="{00000000-0005-0000-0000-00007A250000}"/>
    <cellStyle name="標準 2 5" xfId="95" xr:uid="{00000000-0005-0000-0000-00007B250000}"/>
    <cellStyle name="標準 2 5 2" xfId="132" xr:uid="{00000000-0005-0000-0000-00007C250000}"/>
    <cellStyle name="標準 2 5 2 2" xfId="621" xr:uid="{00000000-0005-0000-0000-00007D250000}"/>
    <cellStyle name="標準 2 5 2 2 2" xfId="1727" xr:uid="{00000000-0005-0000-0000-00007E250000}"/>
    <cellStyle name="標準 2 5 2 2 2 2" xfId="2637" xr:uid="{00000000-0005-0000-0000-00007F250000}"/>
    <cellStyle name="標準 2 5 2 2 2 2 2" xfId="5492" xr:uid="{00000000-0005-0000-0000-000080250000}"/>
    <cellStyle name="標準 2 5 2 2 2 2 2 2" xfId="10858" xr:uid="{00000000-0005-0000-0000-000081250000}"/>
    <cellStyle name="標準 2 5 2 2 2 2 3" xfId="8186" xr:uid="{00000000-0005-0000-0000-000082250000}"/>
    <cellStyle name="標準 2 5 2 2 2 3" xfId="2987" xr:uid="{00000000-0005-0000-0000-000083250000}"/>
    <cellStyle name="標準 2 5 2 2 2 3 2" xfId="5828" xr:uid="{00000000-0005-0000-0000-000084250000}"/>
    <cellStyle name="標準 2 5 2 2 2 3 2 2" xfId="11194" xr:uid="{00000000-0005-0000-0000-000085250000}"/>
    <cellStyle name="標準 2 5 2 2 2 3 3" xfId="8535" xr:uid="{00000000-0005-0000-0000-000086250000}"/>
    <cellStyle name="標準 2 5 2 2 2 4" xfId="4055" xr:uid="{00000000-0005-0000-0000-000087250000}"/>
    <cellStyle name="標準 2 5 2 2 2 4 2" xfId="9603" xr:uid="{00000000-0005-0000-0000-000088250000}"/>
    <cellStyle name="標準 2 5 2 2 2 5" xfId="7414" xr:uid="{00000000-0005-0000-0000-000089250000}"/>
    <cellStyle name="標準 2 5 2 2 3" xfId="2355" xr:uid="{00000000-0005-0000-0000-00008A250000}"/>
    <cellStyle name="標準 2 5 2 2 3 2" xfId="5226" xr:uid="{00000000-0005-0000-0000-00008B250000}"/>
    <cellStyle name="標準 2 5 2 2 3 2 2" xfId="10683" xr:uid="{00000000-0005-0000-0000-00008C250000}"/>
    <cellStyle name="標準 2 5 2 2 3 3" xfId="7996" xr:uid="{00000000-0005-0000-0000-00008D250000}"/>
    <cellStyle name="標準 2 5 2 2 4" xfId="2820" xr:uid="{00000000-0005-0000-0000-00008E250000}"/>
    <cellStyle name="標準 2 5 2 2 4 2" xfId="5661" xr:uid="{00000000-0005-0000-0000-00008F250000}"/>
    <cellStyle name="標準 2 5 2 2 4 2 2" xfId="11027" xr:uid="{00000000-0005-0000-0000-000090250000}"/>
    <cellStyle name="標準 2 5 2 2 4 3" xfId="8368" xr:uid="{00000000-0005-0000-0000-000091250000}"/>
    <cellStyle name="標準 2 5 2 2 5" xfId="4054" xr:uid="{00000000-0005-0000-0000-000092250000}"/>
    <cellStyle name="標準 2 5 2 2 5 2" xfId="9602" xr:uid="{00000000-0005-0000-0000-000093250000}"/>
    <cellStyle name="標準 2 5 2 2 6" xfId="6405" xr:uid="{00000000-0005-0000-0000-000094250000}"/>
    <cellStyle name="標準 2 5 2 3" xfId="1241" xr:uid="{00000000-0005-0000-0000-000095250000}"/>
    <cellStyle name="標準 2 5 2 3 2" xfId="2573" xr:uid="{00000000-0005-0000-0000-000096250000}"/>
    <cellStyle name="標準 2 5 2 3 2 2" xfId="5438" xr:uid="{00000000-0005-0000-0000-000097250000}"/>
    <cellStyle name="標準 2 5 2 3 2 2 2" xfId="10804" xr:uid="{00000000-0005-0000-0000-000098250000}"/>
    <cellStyle name="標準 2 5 2 3 2 3" xfId="8122" xr:uid="{00000000-0005-0000-0000-000099250000}"/>
    <cellStyle name="標準 2 5 2 3 3" xfId="2933" xr:uid="{00000000-0005-0000-0000-00009A250000}"/>
    <cellStyle name="標準 2 5 2 3 3 2" xfId="5774" xr:uid="{00000000-0005-0000-0000-00009B250000}"/>
    <cellStyle name="標準 2 5 2 3 3 2 2" xfId="11140" xr:uid="{00000000-0005-0000-0000-00009C250000}"/>
    <cellStyle name="標準 2 5 2 3 3 3" xfId="8481" xr:uid="{00000000-0005-0000-0000-00009D250000}"/>
    <cellStyle name="標準 2 5 2 3 4" xfId="4056" xr:uid="{00000000-0005-0000-0000-00009E250000}"/>
    <cellStyle name="標準 2 5 2 3 4 2" xfId="9604" xr:uid="{00000000-0005-0000-0000-00009F250000}"/>
    <cellStyle name="標準 2 5 2 3 5" xfId="6970" xr:uid="{00000000-0005-0000-0000-0000A0250000}"/>
    <cellStyle name="標準 2 5 2 4" xfId="2300" xr:uid="{00000000-0005-0000-0000-0000A1250000}"/>
    <cellStyle name="標準 2 5 2 4 2" xfId="5171" xr:uid="{00000000-0005-0000-0000-0000A2250000}"/>
    <cellStyle name="標準 2 5 2 4 2 2" xfId="10628" xr:uid="{00000000-0005-0000-0000-0000A3250000}"/>
    <cellStyle name="標準 2 5 2 4 3" xfId="7941" xr:uid="{00000000-0005-0000-0000-0000A4250000}"/>
    <cellStyle name="標準 2 5 2 5" xfId="2765" xr:uid="{00000000-0005-0000-0000-0000A5250000}"/>
    <cellStyle name="標準 2 5 2 5 2" xfId="5606" xr:uid="{00000000-0005-0000-0000-0000A6250000}"/>
    <cellStyle name="標準 2 5 2 5 2 2" xfId="10972" xr:uid="{00000000-0005-0000-0000-0000A7250000}"/>
    <cellStyle name="標準 2 5 2 5 3" xfId="8313" xr:uid="{00000000-0005-0000-0000-0000A8250000}"/>
    <cellStyle name="標準 2 5 2 6" xfId="4053" xr:uid="{00000000-0005-0000-0000-0000A9250000}"/>
    <cellStyle name="標準 2 5 2 6 2" xfId="9601" xr:uid="{00000000-0005-0000-0000-0000AA250000}"/>
    <cellStyle name="標準 2 5 2 7" xfId="5958" xr:uid="{00000000-0005-0000-0000-0000AB250000}"/>
    <cellStyle name="標準 2 5 3" xfId="592" xr:uid="{00000000-0005-0000-0000-0000AC250000}"/>
    <cellStyle name="標準 2 5 3 2" xfId="1699" xr:uid="{00000000-0005-0000-0000-0000AD250000}"/>
    <cellStyle name="標準 2 5 3 2 2" xfId="2610" xr:uid="{00000000-0005-0000-0000-0000AE250000}"/>
    <cellStyle name="標準 2 5 3 2 2 2" xfId="5465" xr:uid="{00000000-0005-0000-0000-0000AF250000}"/>
    <cellStyle name="標準 2 5 3 2 2 2 2" xfId="10831" xr:uid="{00000000-0005-0000-0000-0000B0250000}"/>
    <cellStyle name="標準 2 5 3 2 2 3" xfId="8159" xr:uid="{00000000-0005-0000-0000-0000B1250000}"/>
    <cellStyle name="標準 2 5 3 2 3" xfId="2960" xr:uid="{00000000-0005-0000-0000-0000B2250000}"/>
    <cellStyle name="標準 2 5 3 2 3 2" xfId="5801" xr:uid="{00000000-0005-0000-0000-0000B3250000}"/>
    <cellStyle name="標準 2 5 3 2 3 2 2" xfId="11167" xr:uid="{00000000-0005-0000-0000-0000B4250000}"/>
    <cellStyle name="標準 2 5 3 2 3 3" xfId="8508" xr:uid="{00000000-0005-0000-0000-0000B5250000}"/>
    <cellStyle name="標準 2 5 3 2 4" xfId="4058" xr:uid="{00000000-0005-0000-0000-0000B6250000}"/>
    <cellStyle name="標準 2 5 3 2 4 2" xfId="9606" xr:uid="{00000000-0005-0000-0000-0000B7250000}"/>
    <cellStyle name="標準 2 5 3 2 5" xfId="7386" xr:uid="{00000000-0005-0000-0000-0000B8250000}"/>
    <cellStyle name="標準 2 5 3 3" xfId="2327" xr:uid="{00000000-0005-0000-0000-0000B9250000}"/>
    <cellStyle name="標準 2 5 3 3 2" xfId="5198" xr:uid="{00000000-0005-0000-0000-0000BA250000}"/>
    <cellStyle name="標準 2 5 3 3 2 2" xfId="10655" xr:uid="{00000000-0005-0000-0000-0000BB250000}"/>
    <cellStyle name="標準 2 5 3 3 3" xfId="7968" xr:uid="{00000000-0005-0000-0000-0000BC250000}"/>
    <cellStyle name="標準 2 5 3 4" xfId="2792" xr:uid="{00000000-0005-0000-0000-0000BD250000}"/>
    <cellStyle name="標準 2 5 3 4 2" xfId="5633" xr:uid="{00000000-0005-0000-0000-0000BE250000}"/>
    <cellStyle name="標準 2 5 3 4 2 2" xfId="10999" xr:uid="{00000000-0005-0000-0000-0000BF250000}"/>
    <cellStyle name="標準 2 5 3 4 3" xfId="8340" xr:uid="{00000000-0005-0000-0000-0000C0250000}"/>
    <cellStyle name="標準 2 5 3 5" xfId="4057" xr:uid="{00000000-0005-0000-0000-0000C1250000}"/>
    <cellStyle name="標準 2 5 3 5 2" xfId="9605" xr:uid="{00000000-0005-0000-0000-0000C2250000}"/>
    <cellStyle name="標準 2 5 3 6" xfId="6376" xr:uid="{00000000-0005-0000-0000-0000C3250000}"/>
    <cellStyle name="標準 2 5 4" xfId="1208" xr:uid="{00000000-0005-0000-0000-0000C4250000}"/>
    <cellStyle name="標準 2 5 4 2" xfId="2555" xr:uid="{00000000-0005-0000-0000-0000C5250000}"/>
    <cellStyle name="標準 2 5 4 2 2" xfId="5422" xr:uid="{00000000-0005-0000-0000-0000C6250000}"/>
    <cellStyle name="標準 2 5 4 2 2 2" xfId="10788" xr:uid="{00000000-0005-0000-0000-0000C7250000}"/>
    <cellStyle name="標準 2 5 4 2 3" xfId="8104" xr:uid="{00000000-0005-0000-0000-0000C8250000}"/>
    <cellStyle name="標準 2 5 4 3" xfId="2917" xr:uid="{00000000-0005-0000-0000-0000C9250000}"/>
    <cellStyle name="標準 2 5 4 3 2" xfId="5758" xr:uid="{00000000-0005-0000-0000-0000CA250000}"/>
    <cellStyle name="標準 2 5 4 3 2 2" xfId="11124" xr:uid="{00000000-0005-0000-0000-0000CB250000}"/>
    <cellStyle name="標準 2 5 4 3 3" xfId="8465" xr:uid="{00000000-0005-0000-0000-0000CC250000}"/>
    <cellStyle name="標準 2 5 4 4" xfId="4059" xr:uid="{00000000-0005-0000-0000-0000CD250000}"/>
    <cellStyle name="標準 2 5 4 4 2" xfId="9607" xr:uid="{00000000-0005-0000-0000-0000CE250000}"/>
    <cellStyle name="標準 2 5 4 5" xfId="6939" xr:uid="{00000000-0005-0000-0000-0000CF250000}"/>
    <cellStyle name="標準 2 5 5" xfId="2284" xr:uid="{00000000-0005-0000-0000-0000D0250000}"/>
    <cellStyle name="標準 2 5 5 2" xfId="5155" xr:uid="{00000000-0005-0000-0000-0000D1250000}"/>
    <cellStyle name="標準 2 5 5 2 2" xfId="10612" xr:uid="{00000000-0005-0000-0000-0000D2250000}"/>
    <cellStyle name="標準 2 5 5 3" xfId="7925" xr:uid="{00000000-0005-0000-0000-0000D3250000}"/>
    <cellStyle name="標準 2 5 6" xfId="2749" xr:uid="{00000000-0005-0000-0000-0000D4250000}"/>
    <cellStyle name="標準 2 5 6 2" xfId="5590" xr:uid="{00000000-0005-0000-0000-0000D5250000}"/>
    <cellStyle name="標準 2 5 6 2 2" xfId="10956" xr:uid="{00000000-0005-0000-0000-0000D6250000}"/>
    <cellStyle name="標準 2 5 6 3" xfId="8297" xr:uid="{00000000-0005-0000-0000-0000D7250000}"/>
    <cellStyle name="標準 2 5 7" xfId="4052" xr:uid="{00000000-0005-0000-0000-0000D8250000}"/>
    <cellStyle name="標準 2 5 7 2" xfId="9600" xr:uid="{00000000-0005-0000-0000-0000D9250000}"/>
    <cellStyle name="標準 2 5 8" xfId="5924" xr:uid="{00000000-0005-0000-0000-0000DA250000}"/>
    <cellStyle name="標準 2 6" xfId="1095" xr:uid="{00000000-0005-0000-0000-0000DB250000}"/>
    <cellStyle name="標準 2 6 2" xfId="2199" xr:uid="{00000000-0005-0000-0000-0000DC250000}"/>
    <cellStyle name="標準 2 6 2 2" xfId="2669" xr:uid="{00000000-0005-0000-0000-0000DD250000}"/>
    <cellStyle name="標準 2 6 2 2 2" xfId="5512" xr:uid="{00000000-0005-0000-0000-0000DE250000}"/>
    <cellStyle name="標準 2 6 2 2 2 2" xfId="10878" xr:uid="{00000000-0005-0000-0000-0000DF250000}"/>
    <cellStyle name="標準 2 6 2 2 3" xfId="8218" xr:uid="{00000000-0005-0000-0000-0000E0250000}"/>
    <cellStyle name="標準 2 6 2 3" xfId="3007" xr:uid="{00000000-0005-0000-0000-0000E1250000}"/>
    <cellStyle name="標準 2 6 2 3 2" xfId="5848" xr:uid="{00000000-0005-0000-0000-0000E2250000}"/>
    <cellStyle name="標準 2 6 2 3 2 2" xfId="11214" xr:uid="{00000000-0005-0000-0000-0000E3250000}"/>
    <cellStyle name="標準 2 6 2 3 3" xfId="8555" xr:uid="{00000000-0005-0000-0000-0000E4250000}"/>
    <cellStyle name="標準 2 6 2 4" xfId="4061" xr:uid="{00000000-0005-0000-0000-0000E5250000}"/>
    <cellStyle name="標準 2 6 2 4 2" xfId="9609" xr:uid="{00000000-0005-0000-0000-0000E6250000}"/>
    <cellStyle name="標準 2 6 2 5" xfId="7842" xr:uid="{00000000-0005-0000-0000-0000E7250000}"/>
    <cellStyle name="標準 2 6 3" xfId="2375" xr:uid="{00000000-0005-0000-0000-0000E8250000}"/>
    <cellStyle name="標準 2 6 3 2" xfId="5246" xr:uid="{00000000-0005-0000-0000-0000E9250000}"/>
    <cellStyle name="標準 2 6 3 2 2" xfId="10703" xr:uid="{00000000-0005-0000-0000-0000EA250000}"/>
    <cellStyle name="標準 2 6 3 3" xfId="8016" xr:uid="{00000000-0005-0000-0000-0000EB250000}"/>
    <cellStyle name="標準 2 6 4" xfId="2840" xr:uid="{00000000-0005-0000-0000-0000EC250000}"/>
    <cellStyle name="標準 2 6 4 2" xfId="5681" xr:uid="{00000000-0005-0000-0000-0000ED250000}"/>
    <cellStyle name="標準 2 6 4 2 2" xfId="11047" xr:uid="{00000000-0005-0000-0000-0000EE250000}"/>
    <cellStyle name="標準 2 6 4 3" xfId="8388" xr:uid="{00000000-0005-0000-0000-0000EF250000}"/>
    <cellStyle name="標準 2 6 5" xfId="4060" xr:uid="{00000000-0005-0000-0000-0000F0250000}"/>
    <cellStyle name="標準 2 6 5 2" xfId="9608" xr:uid="{00000000-0005-0000-0000-0000F1250000}"/>
    <cellStyle name="標準 2 6 6" xfId="5891" xr:uid="{00000000-0005-0000-0000-0000F2250000}"/>
    <cellStyle name="標準 2 6 6 2" xfId="11257" xr:uid="{00000000-0005-0000-0000-0000F3250000}"/>
    <cellStyle name="標準 2 6 7" xfId="6835" xr:uid="{00000000-0005-0000-0000-0000F4250000}"/>
    <cellStyle name="標準 2 7" xfId="1131" xr:uid="{00000000-0005-0000-0000-0000F5250000}"/>
    <cellStyle name="標準 2 8" xfId="5896" xr:uid="{00000000-0005-0000-0000-0000F6250000}"/>
    <cellStyle name="標準 2 9" xfId="11263" xr:uid="{00000000-0005-0000-0000-0000F7250000}"/>
    <cellStyle name="標準 20" xfId="1150" xr:uid="{00000000-0005-0000-0000-0000F8250000}"/>
    <cellStyle name="標準 20 2" xfId="2504" xr:uid="{00000000-0005-0000-0000-0000F9250000}"/>
    <cellStyle name="標準 20 2 2" xfId="5372" xr:uid="{00000000-0005-0000-0000-0000FA250000}"/>
    <cellStyle name="標準 20 2 2 2" xfId="10739" xr:uid="{00000000-0005-0000-0000-0000FB250000}"/>
    <cellStyle name="標準 20 2 3" xfId="8054" xr:uid="{00000000-0005-0000-0000-0000FC250000}"/>
    <cellStyle name="標準 20 3" xfId="2872" xr:uid="{00000000-0005-0000-0000-0000FD250000}"/>
    <cellStyle name="標準 20 3 2" xfId="5713" xr:uid="{00000000-0005-0000-0000-0000FE250000}"/>
    <cellStyle name="標準 20 3 2 2" xfId="11079" xr:uid="{00000000-0005-0000-0000-0000FF250000}"/>
    <cellStyle name="標準 20 3 3" xfId="8420" xr:uid="{00000000-0005-0000-0000-000000260000}"/>
    <cellStyle name="標準 20 4" xfId="4062" xr:uid="{00000000-0005-0000-0000-000001260000}"/>
    <cellStyle name="標準 20 4 2" xfId="9610" xr:uid="{00000000-0005-0000-0000-000002260000}"/>
    <cellStyle name="標準 20 5" xfId="6884" xr:uid="{00000000-0005-0000-0000-000003260000}"/>
    <cellStyle name="標準 21" xfId="2238" xr:uid="{00000000-0005-0000-0000-000004260000}"/>
    <cellStyle name="標準 21 2" xfId="5109" xr:uid="{00000000-0005-0000-0000-000005260000}"/>
    <cellStyle name="標準 21 2 2" xfId="10566" xr:uid="{00000000-0005-0000-0000-000006260000}"/>
    <cellStyle name="標準 21 3" xfId="7879" xr:uid="{00000000-0005-0000-0000-000007260000}"/>
    <cellStyle name="標準 22" xfId="2703" xr:uid="{00000000-0005-0000-0000-000008260000}"/>
    <cellStyle name="標準 22 2" xfId="5544" xr:uid="{00000000-0005-0000-0000-000009260000}"/>
    <cellStyle name="標準 22 2 2" xfId="10910" xr:uid="{00000000-0005-0000-0000-00000A260000}"/>
    <cellStyle name="標準 22 3" xfId="8251" xr:uid="{00000000-0005-0000-0000-00000B260000}"/>
    <cellStyle name="標準 23" xfId="3039" xr:uid="{00000000-0005-0000-0000-00000C260000}"/>
    <cellStyle name="標準 23 2" xfId="8587" xr:uid="{00000000-0005-0000-0000-00000D260000}"/>
    <cellStyle name="標準 24" xfId="5889" xr:uid="{00000000-0005-0000-0000-00000E260000}"/>
    <cellStyle name="標準 24 2" xfId="11255" xr:uid="{00000000-0005-0000-0000-00000F260000}"/>
    <cellStyle name="標準 3" xfId="42" xr:uid="{00000000-0005-0000-0000-000010260000}"/>
    <cellStyle name="標準 3 10" xfId="4063" xr:uid="{00000000-0005-0000-0000-000011260000}"/>
    <cellStyle name="標準 3 10 2" xfId="9611" xr:uid="{00000000-0005-0000-0000-000012260000}"/>
    <cellStyle name="標準 3 11" xfId="5909" xr:uid="{00000000-0005-0000-0000-000013260000}"/>
    <cellStyle name="標準 3 12" xfId="11264" xr:uid="{00000000-0005-0000-0000-000014260000}"/>
    <cellStyle name="標準 3 13" xfId="11267" xr:uid="{00000000-0005-0000-0000-000015260000}"/>
    <cellStyle name="標準 3 2" xfId="96" xr:uid="{00000000-0005-0000-0000-000016260000}"/>
    <cellStyle name="標準 3 2 2" xfId="143" xr:uid="{00000000-0005-0000-0000-000017260000}"/>
    <cellStyle name="標準 3 2 2 2" xfId="632" xr:uid="{00000000-0005-0000-0000-000018260000}"/>
    <cellStyle name="標準 3 2 2 2 2" xfId="1738" xr:uid="{00000000-0005-0000-0000-000019260000}"/>
    <cellStyle name="標準 3 2 2 2 2 2" xfId="2648" xr:uid="{00000000-0005-0000-0000-00001A260000}"/>
    <cellStyle name="標準 3 2 2 2 2 2 2" xfId="5503" xr:uid="{00000000-0005-0000-0000-00001B260000}"/>
    <cellStyle name="標準 3 2 2 2 2 2 2 2" xfId="10869" xr:uid="{00000000-0005-0000-0000-00001C260000}"/>
    <cellStyle name="標準 3 2 2 2 2 2 3" xfId="8197" xr:uid="{00000000-0005-0000-0000-00001D260000}"/>
    <cellStyle name="標準 3 2 2 2 2 3" xfId="2998" xr:uid="{00000000-0005-0000-0000-00001E260000}"/>
    <cellStyle name="標準 3 2 2 2 2 3 2" xfId="5839" xr:uid="{00000000-0005-0000-0000-00001F260000}"/>
    <cellStyle name="標準 3 2 2 2 2 3 2 2" xfId="11205" xr:uid="{00000000-0005-0000-0000-000020260000}"/>
    <cellStyle name="標準 3 2 2 2 2 3 3" xfId="8546" xr:uid="{00000000-0005-0000-0000-000021260000}"/>
    <cellStyle name="標準 3 2 2 2 2 4" xfId="4067" xr:uid="{00000000-0005-0000-0000-000022260000}"/>
    <cellStyle name="標準 3 2 2 2 2 4 2" xfId="9615" xr:uid="{00000000-0005-0000-0000-000023260000}"/>
    <cellStyle name="標準 3 2 2 2 2 5" xfId="7425" xr:uid="{00000000-0005-0000-0000-000024260000}"/>
    <cellStyle name="標準 3 2 2 2 3" xfId="2366" xr:uid="{00000000-0005-0000-0000-000025260000}"/>
    <cellStyle name="標準 3 2 2 2 3 2" xfId="5237" xr:uid="{00000000-0005-0000-0000-000026260000}"/>
    <cellStyle name="標準 3 2 2 2 3 2 2" xfId="10694" xr:uid="{00000000-0005-0000-0000-000027260000}"/>
    <cellStyle name="標準 3 2 2 2 3 3" xfId="8007" xr:uid="{00000000-0005-0000-0000-000028260000}"/>
    <cellStyle name="標準 3 2 2 2 4" xfId="2831" xr:uid="{00000000-0005-0000-0000-000029260000}"/>
    <cellStyle name="標準 3 2 2 2 4 2" xfId="5672" xr:uid="{00000000-0005-0000-0000-00002A260000}"/>
    <cellStyle name="標準 3 2 2 2 4 2 2" xfId="11038" xr:uid="{00000000-0005-0000-0000-00002B260000}"/>
    <cellStyle name="標準 3 2 2 2 4 3" xfId="8379" xr:uid="{00000000-0005-0000-0000-00002C260000}"/>
    <cellStyle name="標準 3 2 2 2 5" xfId="4066" xr:uid="{00000000-0005-0000-0000-00002D260000}"/>
    <cellStyle name="標準 3 2 2 2 5 2" xfId="9614" xr:uid="{00000000-0005-0000-0000-00002E260000}"/>
    <cellStyle name="標準 3 2 2 2 6" xfId="6416" xr:uid="{00000000-0005-0000-0000-00002F260000}"/>
    <cellStyle name="標準 3 2 2 3" xfId="1252" xr:uid="{00000000-0005-0000-0000-000030260000}"/>
    <cellStyle name="標準 3 2 2 3 2" xfId="2584" xr:uid="{00000000-0005-0000-0000-000031260000}"/>
    <cellStyle name="標準 3 2 2 3 2 2" xfId="5449" xr:uid="{00000000-0005-0000-0000-000032260000}"/>
    <cellStyle name="標準 3 2 2 3 2 2 2" xfId="10815" xr:uid="{00000000-0005-0000-0000-000033260000}"/>
    <cellStyle name="標準 3 2 2 3 2 3" xfId="8133" xr:uid="{00000000-0005-0000-0000-000034260000}"/>
    <cellStyle name="標準 3 2 2 3 3" xfId="2944" xr:uid="{00000000-0005-0000-0000-000035260000}"/>
    <cellStyle name="標準 3 2 2 3 3 2" xfId="5785" xr:uid="{00000000-0005-0000-0000-000036260000}"/>
    <cellStyle name="標準 3 2 2 3 3 2 2" xfId="11151" xr:uid="{00000000-0005-0000-0000-000037260000}"/>
    <cellStyle name="標準 3 2 2 3 3 3" xfId="8492" xr:uid="{00000000-0005-0000-0000-000038260000}"/>
    <cellStyle name="標準 3 2 2 3 4" xfId="4068" xr:uid="{00000000-0005-0000-0000-000039260000}"/>
    <cellStyle name="標準 3 2 2 3 4 2" xfId="9616" xr:uid="{00000000-0005-0000-0000-00003A260000}"/>
    <cellStyle name="標準 3 2 2 3 5" xfId="6981" xr:uid="{00000000-0005-0000-0000-00003B260000}"/>
    <cellStyle name="標準 3 2 2 4" xfId="2311" xr:uid="{00000000-0005-0000-0000-00003C260000}"/>
    <cellStyle name="標準 3 2 2 4 2" xfId="5182" xr:uid="{00000000-0005-0000-0000-00003D260000}"/>
    <cellStyle name="標準 3 2 2 4 2 2" xfId="10639" xr:uid="{00000000-0005-0000-0000-00003E260000}"/>
    <cellStyle name="標準 3 2 2 4 3" xfId="7952" xr:uid="{00000000-0005-0000-0000-00003F260000}"/>
    <cellStyle name="標準 3 2 2 5" xfId="2776" xr:uid="{00000000-0005-0000-0000-000040260000}"/>
    <cellStyle name="標準 3 2 2 5 2" xfId="5617" xr:uid="{00000000-0005-0000-0000-000041260000}"/>
    <cellStyle name="標準 3 2 2 5 2 2" xfId="10983" xr:uid="{00000000-0005-0000-0000-000042260000}"/>
    <cellStyle name="標準 3 2 2 5 3" xfId="8324" xr:uid="{00000000-0005-0000-0000-000043260000}"/>
    <cellStyle name="標準 3 2 2 6" xfId="4065" xr:uid="{00000000-0005-0000-0000-000044260000}"/>
    <cellStyle name="標準 3 2 2 6 2" xfId="9613" xr:uid="{00000000-0005-0000-0000-000045260000}"/>
    <cellStyle name="標準 3 2 2 7" xfId="5969" xr:uid="{00000000-0005-0000-0000-000046260000}"/>
    <cellStyle name="標準 3 2 3" xfId="603" xr:uid="{00000000-0005-0000-0000-000047260000}"/>
    <cellStyle name="標準 3 2 3 2" xfId="1710" xr:uid="{00000000-0005-0000-0000-000048260000}"/>
    <cellStyle name="標準 3 2 3 2 2" xfId="2621" xr:uid="{00000000-0005-0000-0000-000049260000}"/>
    <cellStyle name="標準 3 2 3 2 2 2" xfId="5476" xr:uid="{00000000-0005-0000-0000-00004A260000}"/>
    <cellStyle name="標準 3 2 3 2 2 2 2" xfId="10842" xr:uid="{00000000-0005-0000-0000-00004B260000}"/>
    <cellStyle name="標準 3 2 3 2 2 3" xfId="8170" xr:uid="{00000000-0005-0000-0000-00004C260000}"/>
    <cellStyle name="標準 3 2 3 2 3" xfId="2971" xr:uid="{00000000-0005-0000-0000-00004D260000}"/>
    <cellStyle name="標準 3 2 3 2 3 2" xfId="5812" xr:uid="{00000000-0005-0000-0000-00004E260000}"/>
    <cellStyle name="標準 3 2 3 2 3 2 2" xfId="11178" xr:uid="{00000000-0005-0000-0000-00004F260000}"/>
    <cellStyle name="標準 3 2 3 2 3 3" xfId="8519" xr:uid="{00000000-0005-0000-0000-000050260000}"/>
    <cellStyle name="標準 3 2 3 2 4" xfId="4070" xr:uid="{00000000-0005-0000-0000-000051260000}"/>
    <cellStyle name="標準 3 2 3 2 4 2" xfId="9618" xr:uid="{00000000-0005-0000-0000-000052260000}"/>
    <cellStyle name="標準 3 2 3 2 5" xfId="7397" xr:uid="{00000000-0005-0000-0000-000053260000}"/>
    <cellStyle name="標準 3 2 3 3" xfId="2338" xr:uid="{00000000-0005-0000-0000-000054260000}"/>
    <cellStyle name="標準 3 2 3 3 2" xfId="5209" xr:uid="{00000000-0005-0000-0000-000055260000}"/>
    <cellStyle name="標準 3 2 3 3 2 2" xfId="10666" xr:uid="{00000000-0005-0000-0000-000056260000}"/>
    <cellStyle name="標準 3 2 3 3 3" xfId="7979" xr:uid="{00000000-0005-0000-0000-000057260000}"/>
    <cellStyle name="標準 3 2 3 4" xfId="2803" xr:uid="{00000000-0005-0000-0000-000058260000}"/>
    <cellStyle name="標準 3 2 3 4 2" xfId="5644" xr:uid="{00000000-0005-0000-0000-000059260000}"/>
    <cellStyle name="標準 3 2 3 4 2 2" xfId="11010" xr:uid="{00000000-0005-0000-0000-00005A260000}"/>
    <cellStyle name="標準 3 2 3 4 3" xfId="8351" xr:uid="{00000000-0005-0000-0000-00005B260000}"/>
    <cellStyle name="標準 3 2 3 5" xfId="4069" xr:uid="{00000000-0005-0000-0000-00005C260000}"/>
    <cellStyle name="標準 3 2 3 5 2" xfId="9617" xr:uid="{00000000-0005-0000-0000-00005D260000}"/>
    <cellStyle name="標準 3 2 3 6" xfId="6387" xr:uid="{00000000-0005-0000-0000-00005E260000}"/>
    <cellStyle name="標準 3 2 4" xfId="1132" xr:uid="{00000000-0005-0000-0000-00005F260000}"/>
    <cellStyle name="標準 3 2 4 2" xfId="2223" xr:uid="{00000000-0005-0000-0000-000060260000}"/>
    <cellStyle name="標準 3 2 4 2 2" xfId="2687" xr:uid="{00000000-0005-0000-0000-000061260000}"/>
    <cellStyle name="標準 3 2 4 2 2 2" xfId="5529" xr:uid="{00000000-0005-0000-0000-000062260000}"/>
    <cellStyle name="標準 3 2 4 2 2 2 2" xfId="10895" xr:uid="{00000000-0005-0000-0000-000063260000}"/>
    <cellStyle name="標準 3 2 4 2 2 3" xfId="8236" xr:uid="{00000000-0005-0000-0000-000064260000}"/>
    <cellStyle name="標準 3 2 4 2 3" xfId="3024" xr:uid="{00000000-0005-0000-0000-000065260000}"/>
    <cellStyle name="標準 3 2 4 2 3 2" xfId="5865" xr:uid="{00000000-0005-0000-0000-000066260000}"/>
    <cellStyle name="標準 3 2 4 2 3 2 2" xfId="11231" xr:uid="{00000000-0005-0000-0000-000067260000}"/>
    <cellStyle name="標準 3 2 4 2 3 3" xfId="8572" xr:uid="{00000000-0005-0000-0000-000068260000}"/>
    <cellStyle name="標準 3 2 4 2 4" xfId="4072" xr:uid="{00000000-0005-0000-0000-000069260000}"/>
    <cellStyle name="標準 3 2 4 2 4 2" xfId="9620" xr:uid="{00000000-0005-0000-0000-00006A260000}"/>
    <cellStyle name="標準 3 2 4 2 5" xfId="7864" xr:uid="{00000000-0005-0000-0000-00006B260000}"/>
    <cellStyle name="標準 3 2 4 3" xfId="2393" xr:uid="{00000000-0005-0000-0000-00006C260000}"/>
    <cellStyle name="標準 3 2 4 3 2" xfId="5263" xr:uid="{00000000-0005-0000-0000-00006D260000}"/>
    <cellStyle name="標準 3 2 4 3 2 2" xfId="10720" xr:uid="{00000000-0005-0000-0000-00006E260000}"/>
    <cellStyle name="標準 3 2 4 3 3" xfId="8034" xr:uid="{00000000-0005-0000-0000-00006F260000}"/>
    <cellStyle name="標準 3 2 4 4" xfId="2857" xr:uid="{00000000-0005-0000-0000-000070260000}"/>
    <cellStyle name="標準 3 2 4 4 2" xfId="5698" xr:uid="{00000000-0005-0000-0000-000071260000}"/>
    <cellStyle name="標準 3 2 4 4 2 2" xfId="11064" xr:uid="{00000000-0005-0000-0000-000072260000}"/>
    <cellStyle name="標準 3 2 4 4 3" xfId="8405" xr:uid="{00000000-0005-0000-0000-000073260000}"/>
    <cellStyle name="標準 3 2 4 5" xfId="4071" xr:uid="{00000000-0005-0000-0000-000074260000}"/>
    <cellStyle name="標準 3 2 4 5 2" xfId="9619" xr:uid="{00000000-0005-0000-0000-000075260000}"/>
    <cellStyle name="標準 3 2 4 6" xfId="6867" xr:uid="{00000000-0005-0000-0000-000076260000}"/>
    <cellStyle name="標準 3 2 5" xfId="1169" xr:uid="{00000000-0005-0000-0000-000077260000}"/>
    <cellStyle name="標準 3 2 5 2" xfId="2518" xr:uid="{00000000-0005-0000-0000-000078260000}"/>
    <cellStyle name="標準 3 2 5 2 2" xfId="5385" xr:uid="{00000000-0005-0000-0000-000079260000}"/>
    <cellStyle name="標準 3 2 5 2 2 2" xfId="10752" xr:uid="{00000000-0005-0000-0000-00007A260000}"/>
    <cellStyle name="標準 3 2 5 2 3" xfId="8068" xr:uid="{00000000-0005-0000-0000-00007B260000}"/>
    <cellStyle name="標準 3 2 5 3" xfId="2885" xr:uid="{00000000-0005-0000-0000-00007C260000}"/>
    <cellStyle name="標準 3 2 5 3 2" xfId="5726" xr:uid="{00000000-0005-0000-0000-00007D260000}"/>
    <cellStyle name="標準 3 2 5 3 2 2" xfId="11092" xr:uid="{00000000-0005-0000-0000-00007E260000}"/>
    <cellStyle name="標準 3 2 5 3 3" xfId="8433" xr:uid="{00000000-0005-0000-0000-00007F260000}"/>
    <cellStyle name="標準 3 2 5 4" xfId="4073" xr:uid="{00000000-0005-0000-0000-000080260000}"/>
    <cellStyle name="標準 3 2 5 4 2" xfId="9621" xr:uid="{00000000-0005-0000-0000-000081260000}"/>
    <cellStyle name="標準 3 2 5 5" xfId="6902" xr:uid="{00000000-0005-0000-0000-000082260000}"/>
    <cellStyle name="標準 3 2 6" xfId="2251" xr:uid="{00000000-0005-0000-0000-000083260000}"/>
    <cellStyle name="標準 3 2 6 2" xfId="5122" xr:uid="{00000000-0005-0000-0000-000084260000}"/>
    <cellStyle name="標準 3 2 6 2 2" xfId="10579" xr:uid="{00000000-0005-0000-0000-000085260000}"/>
    <cellStyle name="標準 3 2 6 3" xfId="7892" xr:uid="{00000000-0005-0000-0000-000086260000}"/>
    <cellStyle name="標準 3 2 7" xfId="2716" xr:uid="{00000000-0005-0000-0000-000087260000}"/>
    <cellStyle name="標準 3 2 7 2" xfId="5557" xr:uid="{00000000-0005-0000-0000-000088260000}"/>
    <cellStyle name="標準 3 2 7 2 2" xfId="10923" xr:uid="{00000000-0005-0000-0000-000089260000}"/>
    <cellStyle name="標準 3 2 7 3" xfId="8264" xr:uid="{00000000-0005-0000-0000-00008A260000}"/>
    <cellStyle name="標準 3 2 8" xfId="4064" xr:uid="{00000000-0005-0000-0000-00008B260000}"/>
    <cellStyle name="標準 3 2 8 2" xfId="9612" xr:uid="{00000000-0005-0000-0000-00008C260000}"/>
    <cellStyle name="標準 3 2 9" xfId="5925" xr:uid="{00000000-0005-0000-0000-00008D260000}"/>
    <cellStyle name="標準 3 3" xfId="133" xr:uid="{00000000-0005-0000-0000-00008E260000}"/>
    <cellStyle name="標準 3 3 2" xfId="622" xr:uid="{00000000-0005-0000-0000-00008F260000}"/>
    <cellStyle name="標準 3 3 2 2" xfId="1728" xr:uid="{00000000-0005-0000-0000-000090260000}"/>
    <cellStyle name="標準 3 3 2 2 2" xfId="2638" xr:uid="{00000000-0005-0000-0000-000091260000}"/>
    <cellStyle name="標準 3 3 2 2 2 2" xfId="5493" xr:uid="{00000000-0005-0000-0000-000092260000}"/>
    <cellStyle name="標準 3 3 2 2 2 2 2" xfId="10859" xr:uid="{00000000-0005-0000-0000-000093260000}"/>
    <cellStyle name="標準 3 3 2 2 2 3" xfId="8187" xr:uid="{00000000-0005-0000-0000-000094260000}"/>
    <cellStyle name="標準 3 3 2 2 3" xfId="2988" xr:uid="{00000000-0005-0000-0000-000095260000}"/>
    <cellStyle name="標準 3 3 2 2 3 2" xfId="5829" xr:uid="{00000000-0005-0000-0000-000096260000}"/>
    <cellStyle name="標準 3 3 2 2 3 2 2" xfId="11195" xr:uid="{00000000-0005-0000-0000-000097260000}"/>
    <cellStyle name="標準 3 3 2 2 3 3" xfId="8536" xr:uid="{00000000-0005-0000-0000-000098260000}"/>
    <cellStyle name="標準 3 3 2 2 4" xfId="4076" xr:uid="{00000000-0005-0000-0000-000099260000}"/>
    <cellStyle name="標準 3 3 2 2 4 2" xfId="9624" xr:uid="{00000000-0005-0000-0000-00009A260000}"/>
    <cellStyle name="標準 3 3 2 2 5" xfId="7415" xr:uid="{00000000-0005-0000-0000-00009B260000}"/>
    <cellStyle name="標準 3 3 2 3" xfId="2356" xr:uid="{00000000-0005-0000-0000-00009C260000}"/>
    <cellStyle name="標準 3 3 2 3 2" xfId="5227" xr:uid="{00000000-0005-0000-0000-00009D260000}"/>
    <cellStyle name="標準 3 3 2 3 2 2" xfId="10684" xr:uid="{00000000-0005-0000-0000-00009E260000}"/>
    <cellStyle name="標準 3 3 2 3 3" xfId="7997" xr:uid="{00000000-0005-0000-0000-00009F260000}"/>
    <cellStyle name="標準 3 3 2 4" xfId="2821" xr:uid="{00000000-0005-0000-0000-0000A0260000}"/>
    <cellStyle name="標準 3 3 2 4 2" xfId="5662" xr:uid="{00000000-0005-0000-0000-0000A1260000}"/>
    <cellStyle name="標準 3 3 2 4 2 2" xfId="11028" xr:uid="{00000000-0005-0000-0000-0000A2260000}"/>
    <cellStyle name="標準 3 3 2 4 3" xfId="8369" xr:uid="{00000000-0005-0000-0000-0000A3260000}"/>
    <cellStyle name="標準 3 3 2 5" xfId="4075" xr:uid="{00000000-0005-0000-0000-0000A4260000}"/>
    <cellStyle name="標準 3 3 2 5 2" xfId="9623" xr:uid="{00000000-0005-0000-0000-0000A5260000}"/>
    <cellStyle name="標準 3 3 2 6" xfId="6406" xr:uid="{00000000-0005-0000-0000-0000A6260000}"/>
    <cellStyle name="標準 3 3 3" xfId="1242" xr:uid="{00000000-0005-0000-0000-0000A7260000}"/>
    <cellStyle name="標準 3 3 3 2" xfId="2574" xr:uid="{00000000-0005-0000-0000-0000A8260000}"/>
    <cellStyle name="標準 3 3 3 2 2" xfId="5439" xr:uid="{00000000-0005-0000-0000-0000A9260000}"/>
    <cellStyle name="標準 3 3 3 2 2 2" xfId="10805" xr:uid="{00000000-0005-0000-0000-0000AA260000}"/>
    <cellStyle name="標準 3 3 3 2 3" xfId="8123" xr:uid="{00000000-0005-0000-0000-0000AB260000}"/>
    <cellStyle name="標準 3 3 3 3" xfId="2934" xr:uid="{00000000-0005-0000-0000-0000AC260000}"/>
    <cellStyle name="標準 3 3 3 3 2" xfId="5775" xr:uid="{00000000-0005-0000-0000-0000AD260000}"/>
    <cellStyle name="標準 3 3 3 3 2 2" xfId="11141" xr:uid="{00000000-0005-0000-0000-0000AE260000}"/>
    <cellStyle name="標準 3 3 3 3 3" xfId="8482" xr:uid="{00000000-0005-0000-0000-0000AF260000}"/>
    <cellStyle name="標準 3 3 3 4" xfId="4077" xr:uid="{00000000-0005-0000-0000-0000B0260000}"/>
    <cellStyle name="標準 3 3 3 4 2" xfId="9625" xr:uid="{00000000-0005-0000-0000-0000B1260000}"/>
    <cellStyle name="標準 3 3 3 5" xfId="6971" xr:uid="{00000000-0005-0000-0000-0000B2260000}"/>
    <cellStyle name="標準 3 3 4" xfId="2301" xr:uid="{00000000-0005-0000-0000-0000B3260000}"/>
    <cellStyle name="標準 3 3 4 2" xfId="5172" xr:uid="{00000000-0005-0000-0000-0000B4260000}"/>
    <cellStyle name="標準 3 3 4 2 2" xfId="10629" xr:uid="{00000000-0005-0000-0000-0000B5260000}"/>
    <cellStyle name="標準 3 3 4 3" xfId="7942" xr:uid="{00000000-0005-0000-0000-0000B6260000}"/>
    <cellStyle name="標準 3 3 5" xfId="2766" xr:uid="{00000000-0005-0000-0000-0000B7260000}"/>
    <cellStyle name="標準 3 3 5 2" xfId="5607" xr:uid="{00000000-0005-0000-0000-0000B8260000}"/>
    <cellStyle name="標準 3 3 5 2 2" xfId="10973" xr:uid="{00000000-0005-0000-0000-0000B9260000}"/>
    <cellStyle name="標準 3 3 5 3" xfId="8314" xr:uid="{00000000-0005-0000-0000-0000BA260000}"/>
    <cellStyle name="標準 3 3 6" xfId="4074" xr:uid="{00000000-0005-0000-0000-0000BB260000}"/>
    <cellStyle name="標準 3 3 6 2" xfId="9622" xr:uid="{00000000-0005-0000-0000-0000BC260000}"/>
    <cellStyle name="標準 3 3 7" xfId="5959" xr:uid="{00000000-0005-0000-0000-0000BD260000}"/>
    <cellStyle name="標準 3 4" xfId="593" xr:uid="{00000000-0005-0000-0000-0000BE260000}"/>
    <cellStyle name="標準 3 4 2" xfId="1700" xr:uid="{00000000-0005-0000-0000-0000BF260000}"/>
    <cellStyle name="標準 3 4 2 2" xfId="2611" xr:uid="{00000000-0005-0000-0000-0000C0260000}"/>
    <cellStyle name="標準 3 4 2 2 2" xfId="5466" xr:uid="{00000000-0005-0000-0000-0000C1260000}"/>
    <cellStyle name="標準 3 4 2 2 2 2" xfId="10832" xr:uid="{00000000-0005-0000-0000-0000C2260000}"/>
    <cellStyle name="標準 3 4 2 2 3" xfId="8160" xr:uid="{00000000-0005-0000-0000-0000C3260000}"/>
    <cellStyle name="標準 3 4 2 3" xfId="2961" xr:uid="{00000000-0005-0000-0000-0000C4260000}"/>
    <cellStyle name="標準 3 4 2 3 2" xfId="5802" xr:uid="{00000000-0005-0000-0000-0000C5260000}"/>
    <cellStyle name="標準 3 4 2 3 2 2" xfId="11168" xr:uid="{00000000-0005-0000-0000-0000C6260000}"/>
    <cellStyle name="標準 3 4 2 3 3" xfId="8509" xr:uid="{00000000-0005-0000-0000-0000C7260000}"/>
    <cellStyle name="標準 3 4 2 4" xfId="4079" xr:uid="{00000000-0005-0000-0000-0000C8260000}"/>
    <cellStyle name="標準 3 4 2 4 2" xfId="9627" xr:uid="{00000000-0005-0000-0000-0000C9260000}"/>
    <cellStyle name="標準 3 4 2 5" xfId="7387" xr:uid="{00000000-0005-0000-0000-0000CA260000}"/>
    <cellStyle name="標準 3 4 3" xfId="2328" xr:uid="{00000000-0005-0000-0000-0000CB260000}"/>
    <cellStyle name="標準 3 4 3 2" xfId="5199" xr:uid="{00000000-0005-0000-0000-0000CC260000}"/>
    <cellStyle name="標準 3 4 3 2 2" xfId="10656" xr:uid="{00000000-0005-0000-0000-0000CD260000}"/>
    <cellStyle name="標準 3 4 3 3" xfId="7969" xr:uid="{00000000-0005-0000-0000-0000CE260000}"/>
    <cellStyle name="標準 3 4 4" xfId="2793" xr:uid="{00000000-0005-0000-0000-0000CF260000}"/>
    <cellStyle name="標準 3 4 4 2" xfId="5634" xr:uid="{00000000-0005-0000-0000-0000D0260000}"/>
    <cellStyle name="標準 3 4 4 2 2" xfId="11000" xr:uid="{00000000-0005-0000-0000-0000D1260000}"/>
    <cellStyle name="標準 3 4 4 3" xfId="8341" xr:uid="{00000000-0005-0000-0000-0000D2260000}"/>
    <cellStyle name="標準 3 4 5" xfId="4078" xr:uid="{00000000-0005-0000-0000-0000D3260000}"/>
    <cellStyle name="標準 3 4 5 2" xfId="9626" xr:uid="{00000000-0005-0000-0000-0000D4260000}"/>
    <cellStyle name="標準 3 4 6" xfId="6377" xr:uid="{00000000-0005-0000-0000-0000D5260000}"/>
    <cellStyle name="標準 3 5" xfId="1098" xr:uid="{00000000-0005-0000-0000-0000D6260000}"/>
    <cellStyle name="標準 3 5 2" xfId="2202" xr:uid="{00000000-0005-0000-0000-0000D7260000}"/>
    <cellStyle name="標準 3 5 2 2" xfId="2672" xr:uid="{00000000-0005-0000-0000-0000D8260000}"/>
    <cellStyle name="標準 3 5 2 2 2" xfId="5515" xr:uid="{00000000-0005-0000-0000-0000D9260000}"/>
    <cellStyle name="標準 3 5 2 2 2 2" xfId="10881" xr:uid="{00000000-0005-0000-0000-0000DA260000}"/>
    <cellStyle name="標準 3 5 2 2 3" xfId="8221" xr:uid="{00000000-0005-0000-0000-0000DB260000}"/>
    <cellStyle name="標準 3 5 2 3" xfId="3010" xr:uid="{00000000-0005-0000-0000-0000DC260000}"/>
    <cellStyle name="標準 3 5 2 3 2" xfId="5851" xr:uid="{00000000-0005-0000-0000-0000DD260000}"/>
    <cellStyle name="標準 3 5 2 3 2 2" xfId="11217" xr:uid="{00000000-0005-0000-0000-0000DE260000}"/>
    <cellStyle name="標準 3 5 2 3 3" xfId="8558" xr:uid="{00000000-0005-0000-0000-0000DF260000}"/>
    <cellStyle name="標準 3 5 2 4" xfId="4081" xr:uid="{00000000-0005-0000-0000-0000E0260000}"/>
    <cellStyle name="標準 3 5 2 4 2" xfId="9629" xr:uid="{00000000-0005-0000-0000-0000E1260000}"/>
    <cellStyle name="標準 3 5 2 5" xfId="7845" xr:uid="{00000000-0005-0000-0000-0000E2260000}"/>
    <cellStyle name="標準 3 5 3" xfId="2378" xr:uid="{00000000-0005-0000-0000-0000E3260000}"/>
    <cellStyle name="標準 3 5 3 2" xfId="5249" xr:uid="{00000000-0005-0000-0000-0000E4260000}"/>
    <cellStyle name="標準 3 5 3 2 2" xfId="10706" xr:uid="{00000000-0005-0000-0000-0000E5260000}"/>
    <cellStyle name="標準 3 5 3 3" xfId="8019" xr:uid="{00000000-0005-0000-0000-0000E6260000}"/>
    <cellStyle name="標準 3 5 4" xfId="2843" xr:uid="{00000000-0005-0000-0000-0000E7260000}"/>
    <cellStyle name="標準 3 5 4 2" xfId="5684" xr:uid="{00000000-0005-0000-0000-0000E8260000}"/>
    <cellStyle name="標準 3 5 4 2 2" xfId="11050" xr:uid="{00000000-0005-0000-0000-0000E9260000}"/>
    <cellStyle name="標準 3 5 4 3" xfId="8391" xr:uid="{00000000-0005-0000-0000-0000EA260000}"/>
    <cellStyle name="標準 3 5 5" xfId="4080" xr:uid="{00000000-0005-0000-0000-0000EB260000}"/>
    <cellStyle name="標準 3 5 5 2" xfId="9628" xr:uid="{00000000-0005-0000-0000-0000EC260000}"/>
    <cellStyle name="標準 3 5 6" xfId="5895" xr:uid="{00000000-0005-0000-0000-0000ED260000}"/>
    <cellStyle name="標準 3 5 6 2" xfId="11261" xr:uid="{00000000-0005-0000-0000-0000EE260000}"/>
    <cellStyle name="標準 3 5 7" xfId="6838" xr:uid="{00000000-0005-0000-0000-0000EF260000}"/>
    <cellStyle name="標準 3 6" xfId="1133" xr:uid="{00000000-0005-0000-0000-0000F0260000}"/>
    <cellStyle name="標準 3 6 2" xfId="2224" xr:uid="{00000000-0005-0000-0000-0000F1260000}"/>
    <cellStyle name="標準 3 6 2 2" xfId="2688" xr:uid="{00000000-0005-0000-0000-0000F2260000}"/>
    <cellStyle name="標準 3 6 2 2 2" xfId="5530" xr:uid="{00000000-0005-0000-0000-0000F3260000}"/>
    <cellStyle name="標準 3 6 2 2 2 2" xfId="10896" xr:uid="{00000000-0005-0000-0000-0000F4260000}"/>
    <cellStyle name="標準 3 6 2 2 3" xfId="8237" xr:uid="{00000000-0005-0000-0000-0000F5260000}"/>
    <cellStyle name="標準 3 6 2 3" xfId="3025" xr:uid="{00000000-0005-0000-0000-0000F6260000}"/>
    <cellStyle name="標準 3 6 2 3 2" xfId="5866" xr:uid="{00000000-0005-0000-0000-0000F7260000}"/>
    <cellStyle name="標準 3 6 2 3 2 2" xfId="11232" xr:uid="{00000000-0005-0000-0000-0000F8260000}"/>
    <cellStyle name="標準 3 6 2 3 3" xfId="8573" xr:uid="{00000000-0005-0000-0000-0000F9260000}"/>
    <cellStyle name="標準 3 6 2 4" xfId="4083" xr:uid="{00000000-0005-0000-0000-0000FA260000}"/>
    <cellStyle name="標準 3 6 2 4 2" xfId="9631" xr:uid="{00000000-0005-0000-0000-0000FB260000}"/>
    <cellStyle name="標準 3 6 2 5" xfId="7865" xr:uid="{00000000-0005-0000-0000-0000FC260000}"/>
    <cellStyle name="標準 3 6 3" xfId="2394" xr:uid="{00000000-0005-0000-0000-0000FD260000}"/>
    <cellStyle name="標準 3 6 3 2" xfId="5264" xr:uid="{00000000-0005-0000-0000-0000FE260000}"/>
    <cellStyle name="標準 3 6 3 2 2" xfId="10721" xr:uid="{00000000-0005-0000-0000-0000FF260000}"/>
    <cellStyle name="標準 3 6 3 3" xfId="8035" xr:uid="{00000000-0005-0000-0000-000000270000}"/>
    <cellStyle name="標準 3 6 4" xfId="2858" xr:uid="{00000000-0005-0000-0000-000001270000}"/>
    <cellStyle name="標準 3 6 4 2" xfId="5699" xr:uid="{00000000-0005-0000-0000-000002270000}"/>
    <cellStyle name="標準 3 6 4 2 2" xfId="11065" xr:uid="{00000000-0005-0000-0000-000003270000}"/>
    <cellStyle name="標準 3 6 4 3" xfId="8406" xr:uid="{00000000-0005-0000-0000-000004270000}"/>
    <cellStyle name="標準 3 6 5" xfId="4082" xr:uid="{00000000-0005-0000-0000-000005270000}"/>
    <cellStyle name="標準 3 6 5 2" xfId="9630" xr:uid="{00000000-0005-0000-0000-000006270000}"/>
    <cellStyle name="標準 3 6 6" xfId="6868" xr:uid="{00000000-0005-0000-0000-000007270000}"/>
    <cellStyle name="標準 3 7" xfId="1168" xr:uid="{00000000-0005-0000-0000-000008270000}"/>
    <cellStyle name="標準 3 7 2" xfId="2517" xr:uid="{00000000-0005-0000-0000-000009270000}"/>
    <cellStyle name="標準 3 7 2 2" xfId="5384" xr:uid="{00000000-0005-0000-0000-00000A270000}"/>
    <cellStyle name="標準 3 7 2 2 2" xfId="10751" xr:uid="{00000000-0005-0000-0000-00000B270000}"/>
    <cellStyle name="標準 3 7 2 3" xfId="8067" xr:uid="{00000000-0005-0000-0000-00000C270000}"/>
    <cellStyle name="標準 3 7 3" xfId="2884" xr:uid="{00000000-0005-0000-0000-00000D270000}"/>
    <cellStyle name="標準 3 7 3 2" xfId="5725" xr:uid="{00000000-0005-0000-0000-00000E270000}"/>
    <cellStyle name="標準 3 7 3 2 2" xfId="11091" xr:uid="{00000000-0005-0000-0000-00000F270000}"/>
    <cellStyle name="標準 3 7 3 3" xfId="8432" xr:uid="{00000000-0005-0000-0000-000010270000}"/>
    <cellStyle name="標準 3 7 4" xfId="4084" xr:uid="{00000000-0005-0000-0000-000011270000}"/>
    <cellStyle name="標準 3 7 4 2" xfId="9632" xr:uid="{00000000-0005-0000-0000-000012270000}"/>
    <cellStyle name="標準 3 7 5" xfId="6901" xr:uid="{00000000-0005-0000-0000-000013270000}"/>
    <cellStyle name="標準 3 8" xfId="2250" xr:uid="{00000000-0005-0000-0000-000014270000}"/>
    <cellStyle name="標準 3 8 2" xfId="5121" xr:uid="{00000000-0005-0000-0000-000015270000}"/>
    <cellStyle name="標準 3 8 2 2" xfId="10578" xr:uid="{00000000-0005-0000-0000-000016270000}"/>
    <cellStyle name="標準 3 8 3" xfId="7891" xr:uid="{00000000-0005-0000-0000-000017270000}"/>
    <cellStyle name="標準 3 9" xfId="2715" xr:uid="{00000000-0005-0000-0000-000018270000}"/>
    <cellStyle name="標準 3 9 2" xfId="5556" xr:uid="{00000000-0005-0000-0000-000019270000}"/>
    <cellStyle name="標準 3 9 2 2" xfId="10922" xr:uid="{00000000-0005-0000-0000-00001A270000}"/>
    <cellStyle name="標準 3 9 3" xfId="8263" xr:uid="{00000000-0005-0000-0000-00001B270000}"/>
    <cellStyle name="標準 4" xfId="45" xr:uid="{00000000-0005-0000-0000-00001C270000}"/>
    <cellStyle name="標準 4 10" xfId="5911" xr:uid="{00000000-0005-0000-0000-00001D270000}"/>
    <cellStyle name="標準 4 2" xfId="97" xr:uid="{00000000-0005-0000-0000-00001E270000}"/>
    <cellStyle name="標準 4 2 2" xfId="144" xr:uid="{00000000-0005-0000-0000-00001F270000}"/>
    <cellStyle name="標準 4 2 2 2" xfId="633" xr:uid="{00000000-0005-0000-0000-000020270000}"/>
    <cellStyle name="標準 4 2 2 2 2" xfId="1739" xr:uid="{00000000-0005-0000-0000-000021270000}"/>
    <cellStyle name="標準 4 2 2 2 2 2" xfId="2649" xr:uid="{00000000-0005-0000-0000-000022270000}"/>
    <cellStyle name="標準 4 2 2 2 2 2 2" xfId="5504" xr:uid="{00000000-0005-0000-0000-000023270000}"/>
    <cellStyle name="標準 4 2 2 2 2 2 2 2" xfId="10870" xr:uid="{00000000-0005-0000-0000-000024270000}"/>
    <cellStyle name="標準 4 2 2 2 2 2 3" xfId="8198" xr:uid="{00000000-0005-0000-0000-000025270000}"/>
    <cellStyle name="標準 4 2 2 2 2 3" xfId="2999" xr:uid="{00000000-0005-0000-0000-000026270000}"/>
    <cellStyle name="標準 4 2 2 2 2 3 2" xfId="5840" xr:uid="{00000000-0005-0000-0000-000027270000}"/>
    <cellStyle name="標準 4 2 2 2 2 3 2 2" xfId="11206" xr:uid="{00000000-0005-0000-0000-000028270000}"/>
    <cellStyle name="標準 4 2 2 2 2 3 3" xfId="8547" xr:uid="{00000000-0005-0000-0000-000029270000}"/>
    <cellStyle name="標準 4 2 2 2 2 4" xfId="4089" xr:uid="{00000000-0005-0000-0000-00002A270000}"/>
    <cellStyle name="標準 4 2 2 2 2 4 2" xfId="9637" xr:uid="{00000000-0005-0000-0000-00002B270000}"/>
    <cellStyle name="標準 4 2 2 2 2 5" xfId="7426" xr:uid="{00000000-0005-0000-0000-00002C270000}"/>
    <cellStyle name="標準 4 2 2 2 3" xfId="2367" xr:uid="{00000000-0005-0000-0000-00002D270000}"/>
    <cellStyle name="標準 4 2 2 2 3 2" xfId="5238" xr:uid="{00000000-0005-0000-0000-00002E270000}"/>
    <cellStyle name="標準 4 2 2 2 3 2 2" xfId="10695" xr:uid="{00000000-0005-0000-0000-00002F270000}"/>
    <cellStyle name="標準 4 2 2 2 3 3" xfId="8008" xr:uid="{00000000-0005-0000-0000-000030270000}"/>
    <cellStyle name="標準 4 2 2 2 4" xfId="2832" xr:uid="{00000000-0005-0000-0000-000031270000}"/>
    <cellStyle name="標準 4 2 2 2 4 2" xfId="5673" xr:uid="{00000000-0005-0000-0000-000032270000}"/>
    <cellStyle name="標準 4 2 2 2 4 2 2" xfId="11039" xr:uid="{00000000-0005-0000-0000-000033270000}"/>
    <cellStyle name="標準 4 2 2 2 4 3" xfId="8380" xr:uid="{00000000-0005-0000-0000-000034270000}"/>
    <cellStyle name="標準 4 2 2 2 5" xfId="4088" xr:uid="{00000000-0005-0000-0000-000035270000}"/>
    <cellStyle name="標準 4 2 2 2 5 2" xfId="9636" xr:uid="{00000000-0005-0000-0000-000036270000}"/>
    <cellStyle name="標準 4 2 2 2 6" xfId="6417" xr:uid="{00000000-0005-0000-0000-000037270000}"/>
    <cellStyle name="標準 4 2 2 3" xfId="1253" xr:uid="{00000000-0005-0000-0000-000038270000}"/>
    <cellStyle name="標準 4 2 2 3 2" xfId="2585" xr:uid="{00000000-0005-0000-0000-000039270000}"/>
    <cellStyle name="標準 4 2 2 3 2 2" xfId="5450" xr:uid="{00000000-0005-0000-0000-00003A270000}"/>
    <cellStyle name="標準 4 2 2 3 2 2 2" xfId="10816" xr:uid="{00000000-0005-0000-0000-00003B270000}"/>
    <cellStyle name="標準 4 2 2 3 2 3" xfId="8134" xr:uid="{00000000-0005-0000-0000-00003C270000}"/>
    <cellStyle name="標準 4 2 2 3 3" xfId="2945" xr:uid="{00000000-0005-0000-0000-00003D270000}"/>
    <cellStyle name="標準 4 2 2 3 3 2" xfId="5786" xr:uid="{00000000-0005-0000-0000-00003E270000}"/>
    <cellStyle name="標準 4 2 2 3 3 2 2" xfId="11152" xr:uid="{00000000-0005-0000-0000-00003F270000}"/>
    <cellStyle name="標準 4 2 2 3 3 3" xfId="8493" xr:uid="{00000000-0005-0000-0000-000040270000}"/>
    <cellStyle name="標準 4 2 2 3 4" xfId="4090" xr:uid="{00000000-0005-0000-0000-000041270000}"/>
    <cellStyle name="標準 4 2 2 3 4 2" xfId="9638" xr:uid="{00000000-0005-0000-0000-000042270000}"/>
    <cellStyle name="標準 4 2 2 3 5" xfId="6982" xr:uid="{00000000-0005-0000-0000-000043270000}"/>
    <cellStyle name="標準 4 2 2 4" xfId="2312" xr:uid="{00000000-0005-0000-0000-000044270000}"/>
    <cellStyle name="標準 4 2 2 4 2" xfId="5183" xr:uid="{00000000-0005-0000-0000-000045270000}"/>
    <cellStyle name="標準 4 2 2 4 2 2" xfId="10640" xr:uid="{00000000-0005-0000-0000-000046270000}"/>
    <cellStyle name="標準 4 2 2 4 3" xfId="7953" xr:uid="{00000000-0005-0000-0000-000047270000}"/>
    <cellStyle name="標準 4 2 2 5" xfId="2777" xr:uid="{00000000-0005-0000-0000-000048270000}"/>
    <cellStyle name="標準 4 2 2 5 2" xfId="5618" xr:uid="{00000000-0005-0000-0000-000049270000}"/>
    <cellStyle name="標準 4 2 2 5 2 2" xfId="10984" xr:uid="{00000000-0005-0000-0000-00004A270000}"/>
    <cellStyle name="標準 4 2 2 5 3" xfId="8325" xr:uid="{00000000-0005-0000-0000-00004B270000}"/>
    <cellStyle name="標準 4 2 2 6" xfId="4087" xr:uid="{00000000-0005-0000-0000-00004C270000}"/>
    <cellStyle name="標準 4 2 2 6 2" xfId="9635" xr:uid="{00000000-0005-0000-0000-00004D270000}"/>
    <cellStyle name="標準 4 2 2 7" xfId="5970" xr:uid="{00000000-0005-0000-0000-00004E270000}"/>
    <cellStyle name="標準 4 2 3" xfId="604" xr:uid="{00000000-0005-0000-0000-00004F270000}"/>
    <cellStyle name="標準 4 2 3 2" xfId="1711" xr:uid="{00000000-0005-0000-0000-000050270000}"/>
    <cellStyle name="標準 4 2 3 2 2" xfId="2622" xr:uid="{00000000-0005-0000-0000-000051270000}"/>
    <cellStyle name="標準 4 2 3 2 2 2" xfId="5477" xr:uid="{00000000-0005-0000-0000-000052270000}"/>
    <cellStyle name="標準 4 2 3 2 2 2 2" xfId="10843" xr:uid="{00000000-0005-0000-0000-000053270000}"/>
    <cellStyle name="標準 4 2 3 2 2 3" xfId="8171" xr:uid="{00000000-0005-0000-0000-000054270000}"/>
    <cellStyle name="標準 4 2 3 2 3" xfId="2972" xr:uid="{00000000-0005-0000-0000-000055270000}"/>
    <cellStyle name="標準 4 2 3 2 3 2" xfId="5813" xr:uid="{00000000-0005-0000-0000-000056270000}"/>
    <cellStyle name="標準 4 2 3 2 3 2 2" xfId="11179" xr:uid="{00000000-0005-0000-0000-000057270000}"/>
    <cellStyle name="標準 4 2 3 2 3 3" xfId="8520" xr:uid="{00000000-0005-0000-0000-000058270000}"/>
    <cellStyle name="標準 4 2 3 2 4" xfId="4092" xr:uid="{00000000-0005-0000-0000-000059270000}"/>
    <cellStyle name="標準 4 2 3 2 4 2" xfId="9640" xr:uid="{00000000-0005-0000-0000-00005A270000}"/>
    <cellStyle name="標準 4 2 3 2 5" xfId="7398" xr:uid="{00000000-0005-0000-0000-00005B270000}"/>
    <cellStyle name="標準 4 2 3 3" xfId="2339" xr:uid="{00000000-0005-0000-0000-00005C270000}"/>
    <cellStyle name="標準 4 2 3 3 2" xfId="5210" xr:uid="{00000000-0005-0000-0000-00005D270000}"/>
    <cellStyle name="標準 4 2 3 3 2 2" xfId="10667" xr:uid="{00000000-0005-0000-0000-00005E270000}"/>
    <cellStyle name="標準 4 2 3 3 3" xfId="7980" xr:uid="{00000000-0005-0000-0000-00005F270000}"/>
    <cellStyle name="標準 4 2 3 4" xfId="2804" xr:uid="{00000000-0005-0000-0000-000060270000}"/>
    <cellStyle name="標準 4 2 3 4 2" xfId="5645" xr:uid="{00000000-0005-0000-0000-000061270000}"/>
    <cellStyle name="標準 4 2 3 4 2 2" xfId="11011" xr:uid="{00000000-0005-0000-0000-000062270000}"/>
    <cellStyle name="標準 4 2 3 4 3" xfId="8352" xr:uid="{00000000-0005-0000-0000-000063270000}"/>
    <cellStyle name="標準 4 2 3 5" xfId="4091" xr:uid="{00000000-0005-0000-0000-000064270000}"/>
    <cellStyle name="標準 4 2 3 5 2" xfId="9639" xr:uid="{00000000-0005-0000-0000-000065270000}"/>
    <cellStyle name="標準 4 2 3 6" xfId="6388" xr:uid="{00000000-0005-0000-0000-000066270000}"/>
    <cellStyle name="標準 4 2 4" xfId="1134" xr:uid="{00000000-0005-0000-0000-000067270000}"/>
    <cellStyle name="標準 4 2 4 2" xfId="2225" xr:uid="{00000000-0005-0000-0000-000068270000}"/>
    <cellStyle name="標準 4 2 4 2 2" xfId="2689" xr:uid="{00000000-0005-0000-0000-000069270000}"/>
    <cellStyle name="標準 4 2 4 2 2 2" xfId="5531" xr:uid="{00000000-0005-0000-0000-00006A270000}"/>
    <cellStyle name="標準 4 2 4 2 2 2 2" xfId="10897" xr:uid="{00000000-0005-0000-0000-00006B270000}"/>
    <cellStyle name="標準 4 2 4 2 2 3" xfId="8238" xr:uid="{00000000-0005-0000-0000-00006C270000}"/>
    <cellStyle name="標準 4 2 4 2 3" xfId="3026" xr:uid="{00000000-0005-0000-0000-00006D270000}"/>
    <cellStyle name="標準 4 2 4 2 3 2" xfId="5867" xr:uid="{00000000-0005-0000-0000-00006E270000}"/>
    <cellStyle name="標準 4 2 4 2 3 2 2" xfId="11233" xr:uid="{00000000-0005-0000-0000-00006F270000}"/>
    <cellStyle name="標準 4 2 4 2 3 3" xfId="8574" xr:uid="{00000000-0005-0000-0000-000070270000}"/>
    <cellStyle name="標準 4 2 4 2 4" xfId="4094" xr:uid="{00000000-0005-0000-0000-000071270000}"/>
    <cellStyle name="標準 4 2 4 2 4 2" xfId="9642" xr:uid="{00000000-0005-0000-0000-000072270000}"/>
    <cellStyle name="標準 4 2 4 2 5" xfId="7866" xr:uid="{00000000-0005-0000-0000-000073270000}"/>
    <cellStyle name="標準 4 2 4 3" xfId="2395" xr:uid="{00000000-0005-0000-0000-000074270000}"/>
    <cellStyle name="標準 4 2 4 3 2" xfId="5265" xr:uid="{00000000-0005-0000-0000-000075270000}"/>
    <cellStyle name="標準 4 2 4 3 2 2" xfId="10722" xr:uid="{00000000-0005-0000-0000-000076270000}"/>
    <cellStyle name="標準 4 2 4 3 3" xfId="8036" xr:uid="{00000000-0005-0000-0000-000077270000}"/>
    <cellStyle name="標準 4 2 4 4" xfId="2859" xr:uid="{00000000-0005-0000-0000-000078270000}"/>
    <cellStyle name="標準 4 2 4 4 2" xfId="5700" xr:uid="{00000000-0005-0000-0000-000079270000}"/>
    <cellStyle name="標準 4 2 4 4 2 2" xfId="11066" xr:uid="{00000000-0005-0000-0000-00007A270000}"/>
    <cellStyle name="標準 4 2 4 4 3" xfId="8407" xr:uid="{00000000-0005-0000-0000-00007B270000}"/>
    <cellStyle name="標準 4 2 4 5" xfId="4093" xr:uid="{00000000-0005-0000-0000-00007C270000}"/>
    <cellStyle name="標準 4 2 4 5 2" xfId="9641" xr:uid="{00000000-0005-0000-0000-00007D270000}"/>
    <cellStyle name="標準 4 2 4 6" xfId="6869" xr:uid="{00000000-0005-0000-0000-00007E270000}"/>
    <cellStyle name="標準 4 2 5" xfId="1171" xr:uid="{00000000-0005-0000-0000-00007F270000}"/>
    <cellStyle name="標準 4 2 5 2" xfId="2520" xr:uid="{00000000-0005-0000-0000-000080270000}"/>
    <cellStyle name="標準 4 2 5 2 2" xfId="5387" xr:uid="{00000000-0005-0000-0000-000081270000}"/>
    <cellStyle name="標準 4 2 5 2 2 2" xfId="10754" xr:uid="{00000000-0005-0000-0000-000082270000}"/>
    <cellStyle name="標準 4 2 5 2 3" xfId="8070" xr:uid="{00000000-0005-0000-0000-000083270000}"/>
    <cellStyle name="標準 4 2 5 3" xfId="2887" xr:uid="{00000000-0005-0000-0000-000084270000}"/>
    <cellStyle name="標準 4 2 5 3 2" xfId="5728" xr:uid="{00000000-0005-0000-0000-000085270000}"/>
    <cellStyle name="標準 4 2 5 3 2 2" xfId="11094" xr:uid="{00000000-0005-0000-0000-000086270000}"/>
    <cellStyle name="標準 4 2 5 3 3" xfId="8435" xr:uid="{00000000-0005-0000-0000-000087270000}"/>
    <cellStyle name="標準 4 2 5 4" xfId="4095" xr:uid="{00000000-0005-0000-0000-000088270000}"/>
    <cellStyle name="標準 4 2 5 4 2" xfId="9643" xr:uid="{00000000-0005-0000-0000-000089270000}"/>
    <cellStyle name="標準 4 2 5 5" xfId="6904" xr:uid="{00000000-0005-0000-0000-00008A270000}"/>
    <cellStyle name="標準 4 2 6" xfId="2253" xr:uid="{00000000-0005-0000-0000-00008B270000}"/>
    <cellStyle name="標準 4 2 6 2" xfId="5124" xr:uid="{00000000-0005-0000-0000-00008C270000}"/>
    <cellStyle name="標準 4 2 6 2 2" xfId="10581" xr:uid="{00000000-0005-0000-0000-00008D270000}"/>
    <cellStyle name="標準 4 2 6 3" xfId="7894" xr:uid="{00000000-0005-0000-0000-00008E270000}"/>
    <cellStyle name="標準 4 2 7" xfId="2718" xr:uid="{00000000-0005-0000-0000-00008F270000}"/>
    <cellStyle name="標準 4 2 7 2" xfId="5559" xr:uid="{00000000-0005-0000-0000-000090270000}"/>
    <cellStyle name="標準 4 2 7 2 2" xfId="10925" xr:uid="{00000000-0005-0000-0000-000091270000}"/>
    <cellStyle name="標準 4 2 7 3" xfId="8266" xr:uid="{00000000-0005-0000-0000-000092270000}"/>
    <cellStyle name="標準 4 2 8" xfId="4086" xr:uid="{00000000-0005-0000-0000-000093270000}"/>
    <cellStyle name="標準 4 2 8 2" xfId="9634" xr:uid="{00000000-0005-0000-0000-000094270000}"/>
    <cellStyle name="標準 4 2 9" xfId="5926" xr:uid="{00000000-0005-0000-0000-000095270000}"/>
    <cellStyle name="標準 4 3" xfId="135" xr:uid="{00000000-0005-0000-0000-000096270000}"/>
    <cellStyle name="標準 4 3 2" xfId="624" xr:uid="{00000000-0005-0000-0000-000097270000}"/>
    <cellStyle name="標準 4 3 2 2" xfId="1730" xr:uid="{00000000-0005-0000-0000-000098270000}"/>
    <cellStyle name="標準 4 3 2 2 2" xfId="2640" xr:uid="{00000000-0005-0000-0000-000099270000}"/>
    <cellStyle name="標準 4 3 2 2 2 2" xfId="5495" xr:uid="{00000000-0005-0000-0000-00009A270000}"/>
    <cellStyle name="標準 4 3 2 2 2 2 2" xfId="10861" xr:uid="{00000000-0005-0000-0000-00009B270000}"/>
    <cellStyle name="標準 4 3 2 2 2 3" xfId="8189" xr:uid="{00000000-0005-0000-0000-00009C270000}"/>
    <cellStyle name="標準 4 3 2 2 3" xfId="2990" xr:uid="{00000000-0005-0000-0000-00009D270000}"/>
    <cellStyle name="標準 4 3 2 2 3 2" xfId="5831" xr:uid="{00000000-0005-0000-0000-00009E270000}"/>
    <cellStyle name="標準 4 3 2 2 3 2 2" xfId="11197" xr:uid="{00000000-0005-0000-0000-00009F270000}"/>
    <cellStyle name="標準 4 3 2 2 3 3" xfId="8538" xr:uid="{00000000-0005-0000-0000-0000A0270000}"/>
    <cellStyle name="標準 4 3 2 2 4" xfId="4098" xr:uid="{00000000-0005-0000-0000-0000A1270000}"/>
    <cellStyle name="標準 4 3 2 2 4 2" xfId="9646" xr:uid="{00000000-0005-0000-0000-0000A2270000}"/>
    <cellStyle name="標準 4 3 2 2 5" xfId="7417" xr:uid="{00000000-0005-0000-0000-0000A3270000}"/>
    <cellStyle name="標準 4 3 2 3" xfId="2358" xr:uid="{00000000-0005-0000-0000-0000A4270000}"/>
    <cellStyle name="標準 4 3 2 3 2" xfId="5229" xr:uid="{00000000-0005-0000-0000-0000A5270000}"/>
    <cellStyle name="標準 4 3 2 3 2 2" xfId="10686" xr:uid="{00000000-0005-0000-0000-0000A6270000}"/>
    <cellStyle name="標準 4 3 2 3 3" xfId="7999" xr:uid="{00000000-0005-0000-0000-0000A7270000}"/>
    <cellStyle name="標準 4 3 2 4" xfId="2823" xr:uid="{00000000-0005-0000-0000-0000A8270000}"/>
    <cellStyle name="標準 4 3 2 4 2" xfId="5664" xr:uid="{00000000-0005-0000-0000-0000A9270000}"/>
    <cellStyle name="標準 4 3 2 4 2 2" xfId="11030" xr:uid="{00000000-0005-0000-0000-0000AA270000}"/>
    <cellStyle name="標準 4 3 2 4 3" xfId="8371" xr:uid="{00000000-0005-0000-0000-0000AB270000}"/>
    <cellStyle name="標準 4 3 2 5" xfId="4097" xr:uid="{00000000-0005-0000-0000-0000AC270000}"/>
    <cellStyle name="標準 4 3 2 5 2" xfId="9645" xr:uid="{00000000-0005-0000-0000-0000AD270000}"/>
    <cellStyle name="標準 4 3 2 6" xfId="6408" xr:uid="{00000000-0005-0000-0000-0000AE270000}"/>
    <cellStyle name="標準 4 3 3" xfId="1244" xr:uid="{00000000-0005-0000-0000-0000AF270000}"/>
    <cellStyle name="標準 4 3 3 2" xfId="2576" xr:uid="{00000000-0005-0000-0000-0000B0270000}"/>
    <cellStyle name="標準 4 3 3 2 2" xfId="5441" xr:uid="{00000000-0005-0000-0000-0000B1270000}"/>
    <cellStyle name="標準 4 3 3 2 2 2" xfId="10807" xr:uid="{00000000-0005-0000-0000-0000B2270000}"/>
    <cellStyle name="標準 4 3 3 2 3" xfId="8125" xr:uid="{00000000-0005-0000-0000-0000B3270000}"/>
    <cellStyle name="標準 4 3 3 3" xfId="2936" xr:uid="{00000000-0005-0000-0000-0000B4270000}"/>
    <cellStyle name="標準 4 3 3 3 2" xfId="5777" xr:uid="{00000000-0005-0000-0000-0000B5270000}"/>
    <cellStyle name="標準 4 3 3 3 2 2" xfId="11143" xr:uid="{00000000-0005-0000-0000-0000B6270000}"/>
    <cellStyle name="標準 4 3 3 3 3" xfId="8484" xr:uid="{00000000-0005-0000-0000-0000B7270000}"/>
    <cellStyle name="標準 4 3 3 4" xfId="4099" xr:uid="{00000000-0005-0000-0000-0000B8270000}"/>
    <cellStyle name="標準 4 3 3 4 2" xfId="9647" xr:uid="{00000000-0005-0000-0000-0000B9270000}"/>
    <cellStyle name="標準 4 3 3 5" xfId="6973" xr:uid="{00000000-0005-0000-0000-0000BA270000}"/>
    <cellStyle name="標準 4 3 4" xfId="2303" xr:uid="{00000000-0005-0000-0000-0000BB270000}"/>
    <cellStyle name="標準 4 3 4 2" xfId="5174" xr:uid="{00000000-0005-0000-0000-0000BC270000}"/>
    <cellStyle name="標準 4 3 4 2 2" xfId="10631" xr:uid="{00000000-0005-0000-0000-0000BD270000}"/>
    <cellStyle name="標準 4 3 4 3" xfId="7944" xr:uid="{00000000-0005-0000-0000-0000BE270000}"/>
    <cellStyle name="標準 4 3 5" xfId="2768" xr:uid="{00000000-0005-0000-0000-0000BF270000}"/>
    <cellStyle name="標準 4 3 5 2" xfId="5609" xr:uid="{00000000-0005-0000-0000-0000C0270000}"/>
    <cellStyle name="標準 4 3 5 2 2" xfId="10975" xr:uid="{00000000-0005-0000-0000-0000C1270000}"/>
    <cellStyle name="標準 4 3 5 3" xfId="8316" xr:uid="{00000000-0005-0000-0000-0000C2270000}"/>
    <cellStyle name="標準 4 3 6" xfId="4096" xr:uid="{00000000-0005-0000-0000-0000C3270000}"/>
    <cellStyle name="標準 4 3 6 2" xfId="9644" xr:uid="{00000000-0005-0000-0000-0000C4270000}"/>
    <cellStyle name="標準 4 3 7" xfId="5961" xr:uid="{00000000-0005-0000-0000-0000C5270000}"/>
    <cellStyle name="標準 4 4" xfId="595" xr:uid="{00000000-0005-0000-0000-0000C6270000}"/>
    <cellStyle name="標準 4 4 2" xfId="1702" xr:uid="{00000000-0005-0000-0000-0000C7270000}"/>
    <cellStyle name="標準 4 4 2 2" xfId="2613" xr:uid="{00000000-0005-0000-0000-0000C8270000}"/>
    <cellStyle name="標準 4 4 2 2 2" xfId="5468" xr:uid="{00000000-0005-0000-0000-0000C9270000}"/>
    <cellStyle name="標準 4 4 2 2 2 2" xfId="10834" xr:uid="{00000000-0005-0000-0000-0000CA270000}"/>
    <cellStyle name="標準 4 4 2 2 3" xfId="8162" xr:uid="{00000000-0005-0000-0000-0000CB270000}"/>
    <cellStyle name="標準 4 4 2 3" xfId="2963" xr:uid="{00000000-0005-0000-0000-0000CC270000}"/>
    <cellStyle name="標準 4 4 2 3 2" xfId="5804" xr:uid="{00000000-0005-0000-0000-0000CD270000}"/>
    <cellStyle name="標準 4 4 2 3 2 2" xfId="11170" xr:uid="{00000000-0005-0000-0000-0000CE270000}"/>
    <cellStyle name="標準 4 4 2 3 3" xfId="8511" xr:uid="{00000000-0005-0000-0000-0000CF270000}"/>
    <cellStyle name="標準 4 4 2 4" xfId="4101" xr:uid="{00000000-0005-0000-0000-0000D0270000}"/>
    <cellStyle name="標準 4 4 2 4 2" xfId="9649" xr:uid="{00000000-0005-0000-0000-0000D1270000}"/>
    <cellStyle name="標準 4 4 2 5" xfId="7389" xr:uid="{00000000-0005-0000-0000-0000D2270000}"/>
    <cellStyle name="標準 4 4 3" xfId="2330" xr:uid="{00000000-0005-0000-0000-0000D3270000}"/>
    <cellStyle name="標準 4 4 3 2" xfId="5201" xr:uid="{00000000-0005-0000-0000-0000D4270000}"/>
    <cellStyle name="標準 4 4 3 2 2" xfId="10658" xr:uid="{00000000-0005-0000-0000-0000D5270000}"/>
    <cellStyle name="標準 4 4 3 3" xfId="7971" xr:uid="{00000000-0005-0000-0000-0000D6270000}"/>
    <cellStyle name="標準 4 4 4" xfId="2795" xr:uid="{00000000-0005-0000-0000-0000D7270000}"/>
    <cellStyle name="標準 4 4 4 2" xfId="5636" xr:uid="{00000000-0005-0000-0000-0000D8270000}"/>
    <cellStyle name="標準 4 4 4 2 2" xfId="11002" xr:uid="{00000000-0005-0000-0000-0000D9270000}"/>
    <cellStyle name="標準 4 4 4 3" xfId="8343" xr:uid="{00000000-0005-0000-0000-0000DA270000}"/>
    <cellStyle name="標準 4 4 5" xfId="4100" xr:uid="{00000000-0005-0000-0000-0000DB270000}"/>
    <cellStyle name="標準 4 4 5 2" xfId="9648" xr:uid="{00000000-0005-0000-0000-0000DC270000}"/>
    <cellStyle name="標準 4 4 6" xfId="6379" xr:uid="{00000000-0005-0000-0000-0000DD270000}"/>
    <cellStyle name="標準 4 5" xfId="1135" xr:uid="{00000000-0005-0000-0000-0000DE270000}"/>
    <cellStyle name="標準 4 5 2" xfId="2226" xr:uid="{00000000-0005-0000-0000-0000DF270000}"/>
    <cellStyle name="標準 4 5 2 2" xfId="2690" xr:uid="{00000000-0005-0000-0000-0000E0270000}"/>
    <cellStyle name="標準 4 5 2 2 2" xfId="5532" xr:uid="{00000000-0005-0000-0000-0000E1270000}"/>
    <cellStyle name="標準 4 5 2 2 2 2" xfId="10898" xr:uid="{00000000-0005-0000-0000-0000E2270000}"/>
    <cellStyle name="標準 4 5 2 2 3" xfId="8239" xr:uid="{00000000-0005-0000-0000-0000E3270000}"/>
    <cellStyle name="標準 4 5 2 3" xfId="3027" xr:uid="{00000000-0005-0000-0000-0000E4270000}"/>
    <cellStyle name="標準 4 5 2 3 2" xfId="5868" xr:uid="{00000000-0005-0000-0000-0000E5270000}"/>
    <cellStyle name="標準 4 5 2 3 2 2" xfId="11234" xr:uid="{00000000-0005-0000-0000-0000E6270000}"/>
    <cellStyle name="標準 4 5 2 3 3" xfId="8575" xr:uid="{00000000-0005-0000-0000-0000E7270000}"/>
    <cellStyle name="標準 4 5 2 4" xfId="4103" xr:uid="{00000000-0005-0000-0000-0000E8270000}"/>
    <cellStyle name="標準 4 5 2 4 2" xfId="9651" xr:uid="{00000000-0005-0000-0000-0000E9270000}"/>
    <cellStyle name="標準 4 5 2 5" xfId="7867" xr:uid="{00000000-0005-0000-0000-0000EA270000}"/>
    <cellStyle name="標準 4 5 3" xfId="2396" xr:uid="{00000000-0005-0000-0000-0000EB270000}"/>
    <cellStyle name="標準 4 5 3 2" xfId="5266" xr:uid="{00000000-0005-0000-0000-0000EC270000}"/>
    <cellStyle name="標準 4 5 3 2 2" xfId="10723" xr:uid="{00000000-0005-0000-0000-0000ED270000}"/>
    <cellStyle name="標準 4 5 3 3" xfId="8037" xr:uid="{00000000-0005-0000-0000-0000EE270000}"/>
    <cellStyle name="標準 4 5 4" xfId="2860" xr:uid="{00000000-0005-0000-0000-0000EF270000}"/>
    <cellStyle name="標準 4 5 4 2" xfId="5701" xr:uid="{00000000-0005-0000-0000-0000F0270000}"/>
    <cellStyle name="標準 4 5 4 2 2" xfId="11067" xr:uid="{00000000-0005-0000-0000-0000F1270000}"/>
    <cellStyle name="標準 4 5 4 3" xfId="8408" xr:uid="{00000000-0005-0000-0000-0000F2270000}"/>
    <cellStyle name="標準 4 5 5" xfId="4102" xr:uid="{00000000-0005-0000-0000-0000F3270000}"/>
    <cellStyle name="標準 4 5 5 2" xfId="9650" xr:uid="{00000000-0005-0000-0000-0000F4270000}"/>
    <cellStyle name="標準 4 5 6" xfId="6870" xr:uid="{00000000-0005-0000-0000-0000F5270000}"/>
    <cellStyle name="標準 4 6" xfId="1170" xr:uid="{00000000-0005-0000-0000-0000F6270000}"/>
    <cellStyle name="標準 4 6 2" xfId="2519" xr:uid="{00000000-0005-0000-0000-0000F7270000}"/>
    <cellStyle name="標準 4 6 2 2" xfId="5386" xr:uid="{00000000-0005-0000-0000-0000F8270000}"/>
    <cellStyle name="標準 4 6 2 2 2" xfId="10753" xr:uid="{00000000-0005-0000-0000-0000F9270000}"/>
    <cellStyle name="標準 4 6 2 3" xfId="8069" xr:uid="{00000000-0005-0000-0000-0000FA270000}"/>
    <cellStyle name="標準 4 6 3" xfId="2886" xr:uid="{00000000-0005-0000-0000-0000FB270000}"/>
    <cellStyle name="標準 4 6 3 2" xfId="5727" xr:uid="{00000000-0005-0000-0000-0000FC270000}"/>
    <cellStyle name="標準 4 6 3 2 2" xfId="11093" xr:uid="{00000000-0005-0000-0000-0000FD270000}"/>
    <cellStyle name="標準 4 6 3 3" xfId="8434" xr:uid="{00000000-0005-0000-0000-0000FE270000}"/>
    <cellStyle name="標準 4 6 4" xfId="4104" xr:uid="{00000000-0005-0000-0000-0000FF270000}"/>
    <cellStyle name="標準 4 6 4 2" xfId="9652" xr:uid="{00000000-0005-0000-0000-000000280000}"/>
    <cellStyle name="標準 4 6 5" xfId="6903" xr:uid="{00000000-0005-0000-0000-000001280000}"/>
    <cellStyle name="標準 4 7" xfId="2252" xr:uid="{00000000-0005-0000-0000-000002280000}"/>
    <cellStyle name="標準 4 7 2" xfId="5123" xr:uid="{00000000-0005-0000-0000-000003280000}"/>
    <cellStyle name="標準 4 7 2 2" xfId="10580" xr:uid="{00000000-0005-0000-0000-000004280000}"/>
    <cellStyle name="標準 4 7 3" xfId="7893" xr:uid="{00000000-0005-0000-0000-000005280000}"/>
    <cellStyle name="標準 4 8" xfId="2717" xr:uid="{00000000-0005-0000-0000-000006280000}"/>
    <cellStyle name="標準 4 8 2" xfId="5558" xr:uid="{00000000-0005-0000-0000-000007280000}"/>
    <cellStyle name="標準 4 8 2 2" xfId="10924" xr:uid="{00000000-0005-0000-0000-000008280000}"/>
    <cellStyle name="標準 4 8 3" xfId="8265" xr:uid="{00000000-0005-0000-0000-000009280000}"/>
    <cellStyle name="標準 4 9" xfId="4085" xr:uid="{00000000-0005-0000-0000-00000A280000}"/>
    <cellStyle name="標準 4 9 2" xfId="9633" xr:uid="{00000000-0005-0000-0000-00000B280000}"/>
    <cellStyle name="標準 5" xfId="46" xr:uid="{00000000-0005-0000-0000-00000C280000}"/>
    <cellStyle name="標準 5 10" xfId="2719" xr:uid="{00000000-0005-0000-0000-00000D280000}"/>
    <cellStyle name="標準 5 10 2" xfId="5560" xr:uid="{00000000-0005-0000-0000-00000E280000}"/>
    <cellStyle name="標準 5 10 2 2" xfId="10926" xr:uid="{00000000-0005-0000-0000-00000F280000}"/>
    <cellStyle name="標準 5 10 3" xfId="8267" xr:uid="{00000000-0005-0000-0000-000010280000}"/>
    <cellStyle name="標準 5 11" xfId="4105" xr:uid="{00000000-0005-0000-0000-000011280000}"/>
    <cellStyle name="標準 5 11 2" xfId="9653" xr:uid="{00000000-0005-0000-0000-000012280000}"/>
    <cellStyle name="標準 5 12" xfId="5880" xr:uid="{00000000-0005-0000-0000-000013280000}"/>
    <cellStyle name="標準 5 12 2" xfId="11246" xr:uid="{00000000-0005-0000-0000-000014280000}"/>
    <cellStyle name="標準 5 13" xfId="5881" xr:uid="{00000000-0005-0000-0000-000015280000}"/>
    <cellStyle name="標準 5 13 2" xfId="11247" xr:uid="{00000000-0005-0000-0000-000016280000}"/>
    <cellStyle name="標準 5 14" xfId="5883" xr:uid="{00000000-0005-0000-0000-000017280000}"/>
    <cellStyle name="標準 5 14 2" xfId="11249" xr:uid="{00000000-0005-0000-0000-000018280000}"/>
    <cellStyle name="標準 5 15" xfId="5885" xr:uid="{00000000-0005-0000-0000-000019280000}"/>
    <cellStyle name="標準 5 15 2" xfId="5887" xr:uid="{00000000-0005-0000-0000-00001A280000}"/>
    <cellStyle name="標準 5 15 2 2" xfId="11253" xr:uid="{00000000-0005-0000-0000-00001B280000}"/>
    <cellStyle name="標準 5 15 3" xfId="11251" xr:uid="{00000000-0005-0000-0000-00001C280000}"/>
    <cellStyle name="標準 5 16" xfId="5912" xr:uid="{00000000-0005-0000-0000-00001D280000}"/>
    <cellStyle name="標準 5 17" xfId="11262" xr:uid="{00000000-0005-0000-0000-00001E280000}"/>
    <cellStyle name="標準 5 18" xfId="11265" xr:uid="{00000000-0005-0000-0000-00001F280000}"/>
    <cellStyle name="標準 5 2" xfId="47" xr:uid="{00000000-0005-0000-0000-000020280000}"/>
    <cellStyle name="標準 5 2 10" xfId="4106" xr:uid="{00000000-0005-0000-0000-000021280000}"/>
    <cellStyle name="標準 5 2 10 2" xfId="9654" xr:uid="{00000000-0005-0000-0000-000022280000}"/>
    <cellStyle name="標準 5 2 11" xfId="5913" xr:uid="{00000000-0005-0000-0000-000023280000}"/>
    <cellStyle name="標準 5 2 2" xfId="98" xr:uid="{00000000-0005-0000-0000-000024280000}"/>
    <cellStyle name="標準 5 2 2 2" xfId="145" xr:uid="{00000000-0005-0000-0000-000025280000}"/>
    <cellStyle name="標準 5 2 2 2 2" xfId="634" xr:uid="{00000000-0005-0000-0000-000026280000}"/>
    <cellStyle name="標準 5 2 2 2 2 2" xfId="1740" xr:uid="{00000000-0005-0000-0000-000027280000}"/>
    <cellStyle name="標準 5 2 2 2 2 2 2" xfId="2650" xr:uid="{00000000-0005-0000-0000-000028280000}"/>
    <cellStyle name="標準 5 2 2 2 2 2 2 2" xfId="5505" xr:uid="{00000000-0005-0000-0000-000029280000}"/>
    <cellStyle name="標準 5 2 2 2 2 2 2 2 2" xfId="10871" xr:uid="{00000000-0005-0000-0000-00002A280000}"/>
    <cellStyle name="標準 5 2 2 2 2 2 2 3" xfId="8199" xr:uid="{00000000-0005-0000-0000-00002B280000}"/>
    <cellStyle name="標準 5 2 2 2 2 2 3" xfId="3000" xr:uid="{00000000-0005-0000-0000-00002C280000}"/>
    <cellStyle name="標準 5 2 2 2 2 2 3 2" xfId="5841" xr:uid="{00000000-0005-0000-0000-00002D280000}"/>
    <cellStyle name="標準 5 2 2 2 2 2 3 2 2" xfId="11207" xr:uid="{00000000-0005-0000-0000-00002E280000}"/>
    <cellStyle name="標準 5 2 2 2 2 2 3 3" xfId="8548" xr:uid="{00000000-0005-0000-0000-00002F280000}"/>
    <cellStyle name="標準 5 2 2 2 2 2 4" xfId="4110" xr:uid="{00000000-0005-0000-0000-000030280000}"/>
    <cellStyle name="標準 5 2 2 2 2 2 4 2" xfId="9658" xr:uid="{00000000-0005-0000-0000-000031280000}"/>
    <cellStyle name="標準 5 2 2 2 2 2 5" xfId="7427" xr:uid="{00000000-0005-0000-0000-000032280000}"/>
    <cellStyle name="標準 5 2 2 2 2 3" xfId="2368" xr:uid="{00000000-0005-0000-0000-000033280000}"/>
    <cellStyle name="標準 5 2 2 2 2 3 2" xfId="5239" xr:uid="{00000000-0005-0000-0000-000034280000}"/>
    <cellStyle name="標準 5 2 2 2 2 3 2 2" xfId="10696" xr:uid="{00000000-0005-0000-0000-000035280000}"/>
    <cellStyle name="標準 5 2 2 2 2 3 3" xfId="8009" xr:uid="{00000000-0005-0000-0000-000036280000}"/>
    <cellStyle name="標準 5 2 2 2 2 4" xfId="2833" xr:uid="{00000000-0005-0000-0000-000037280000}"/>
    <cellStyle name="標準 5 2 2 2 2 4 2" xfId="5674" xr:uid="{00000000-0005-0000-0000-000038280000}"/>
    <cellStyle name="標準 5 2 2 2 2 4 2 2" xfId="11040" xr:uid="{00000000-0005-0000-0000-000039280000}"/>
    <cellStyle name="標準 5 2 2 2 2 4 3" xfId="8381" xr:uid="{00000000-0005-0000-0000-00003A280000}"/>
    <cellStyle name="標準 5 2 2 2 2 5" xfId="4109" xr:uid="{00000000-0005-0000-0000-00003B280000}"/>
    <cellStyle name="標準 5 2 2 2 2 5 2" xfId="9657" xr:uid="{00000000-0005-0000-0000-00003C280000}"/>
    <cellStyle name="標準 5 2 2 2 2 6" xfId="6418" xr:uid="{00000000-0005-0000-0000-00003D280000}"/>
    <cellStyle name="標準 5 2 2 2 3" xfId="1254" xr:uid="{00000000-0005-0000-0000-00003E280000}"/>
    <cellStyle name="標準 5 2 2 2 3 2" xfId="2586" xr:uid="{00000000-0005-0000-0000-00003F280000}"/>
    <cellStyle name="標準 5 2 2 2 3 2 2" xfId="5451" xr:uid="{00000000-0005-0000-0000-000040280000}"/>
    <cellStyle name="標準 5 2 2 2 3 2 2 2" xfId="10817" xr:uid="{00000000-0005-0000-0000-000041280000}"/>
    <cellStyle name="標準 5 2 2 2 3 2 3" xfId="8135" xr:uid="{00000000-0005-0000-0000-000042280000}"/>
    <cellStyle name="標準 5 2 2 2 3 3" xfId="2946" xr:uid="{00000000-0005-0000-0000-000043280000}"/>
    <cellStyle name="標準 5 2 2 2 3 3 2" xfId="5787" xr:uid="{00000000-0005-0000-0000-000044280000}"/>
    <cellStyle name="標準 5 2 2 2 3 3 2 2" xfId="11153" xr:uid="{00000000-0005-0000-0000-000045280000}"/>
    <cellStyle name="標準 5 2 2 2 3 3 3" xfId="8494" xr:uid="{00000000-0005-0000-0000-000046280000}"/>
    <cellStyle name="標準 5 2 2 2 3 4" xfId="4111" xr:uid="{00000000-0005-0000-0000-000047280000}"/>
    <cellStyle name="標準 5 2 2 2 3 4 2" xfId="9659" xr:uid="{00000000-0005-0000-0000-000048280000}"/>
    <cellStyle name="標準 5 2 2 2 3 5" xfId="6983" xr:uid="{00000000-0005-0000-0000-000049280000}"/>
    <cellStyle name="標準 5 2 2 2 4" xfId="2313" xr:uid="{00000000-0005-0000-0000-00004A280000}"/>
    <cellStyle name="標準 5 2 2 2 4 2" xfId="5184" xr:uid="{00000000-0005-0000-0000-00004B280000}"/>
    <cellStyle name="標準 5 2 2 2 4 2 2" xfId="10641" xr:uid="{00000000-0005-0000-0000-00004C280000}"/>
    <cellStyle name="標準 5 2 2 2 4 3" xfId="7954" xr:uid="{00000000-0005-0000-0000-00004D280000}"/>
    <cellStyle name="標準 5 2 2 2 5" xfId="2778" xr:uid="{00000000-0005-0000-0000-00004E280000}"/>
    <cellStyle name="標準 5 2 2 2 5 2" xfId="5619" xr:uid="{00000000-0005-0000-0000-00004F280000}"/>
    <cellStyle name="標準 5 2 2 2 5 2 2" xfId="10985" xr:uid="{00000000-0005-0000-0000-000050280000}"/>
    <cellStyle name="標準 5 2 2 2 5 3" xfId="8326" xr:uid="{00000000-0005-0000-0000-000051280000}"/>
    <cellStyle name="標準 5 2 2 2 6" xfId="4108" xr:uid="{00000000-0005-0000-0000-000052280000}"/>
    <cellStyle name="標準 5 2 2 2 6 2" xfId="9656" xr:uid="{00000000-0005-0000-0000-000053280000}"/>
    <cellStyle name="標準 5 2 2 2 7" xfId="5971" xr:uid="{00000000-0005-0000-0000-000054280000}"/>
    <cellStyle name="標準 5 2 2 3" xfId="605" xr:uid="{00000000-0005-0000-0000-000055280000}"/>
    <cellStyle name="標準 5 2 2 3 2" xfId="1712" xr:uid="{00000000-0005-0000-0000-000056280000}"/>
    <cellStyle name="標準 5 2 2 3 2 2" xfId="2623" xr:uid="{00000000-0005-0000-0000-000057280000}"/>
    <cellStyle name="標準 5 2 2 3 2 2 2" xfId="5478" xr:uid="{00000000-0005-0000-0000-000058280000}"/>
    <cellStyle name="標準 5 2 2 3 2 2 2 2" xfId="10844" xr:uid="{00000000-0005-0000-0000-000059280000}"/>
    <cellStyle name="標準 5 2 2 3 2 2 3" xfId="8172" xr:uid="{00000000-0005-0000-0000-00005A280000}"/>
    <cellStyle name="標準 5 2 2 3 2 3" xfId="2973" xr:uid="{00000000-0005-0000-0000-00005B280000}"/>
    <cellStyle name="標準 5 2 2 3 2 3 2" xfId="5814" xr:uid="{00000000-0005-0000-0000-00005C280000}"/>
    <cellStyle name="標準 5 2 2 3 2 3 2 2" xfId="11180" xr:uid="{00000000-0005-0000-0000-00005D280000}"/>
    <cellStyle name="標準 5 2 2 3 2 3 3" xfId="8521" xr:uid="{00000000-0005-0000-0000-00005E280000}"/>
    <cellStyle name="標準 5 2 2 3 2 4" xfId="4113" xr:uid="{00000000-0005-0000-0000-00005F280000}"/>
    <cellStyle name="標準 5 2 2 3 2 4 2" xfId="9661" xr:uid="{00000000-0005-0000-0000-000060280000}"/>
    <cellStyle name="標準 5 2 2 3 2 5" xfId="7399" xr:uid="{00000000-0005-0000-0000-000061280000}"/>
    <cellStyle name="標準 5 2 2 3 3" xfId="2340" xr:uid="{00000000-0005-0000-0000-000062280000}"/>
    <cellStyle name="標準 5 2 2 3 3 2" xfId="5211" xr:uid="{00000000-0005-0000-0000-000063280000}"/>
    <cellStyle name="標準 5 2 2 3 3 2 2" xfId="10668" xr:uid="{00000000-0005-0000-0000-000064280000}"/>
    <cellStyle name="標準 5 2 2 3 3 3" xfId="7981" xr:uid="{00000000-0005-0000-0000-000065280000}"/>
    <cellStyle name="標準 5 2 2 3 4" xfId="2805" xr:uid="{00000000-0005-0000-0000-000066280000}"/>
    <cellStyle name="標準 5 2 2 3 4 2" xfId="5646" xr:uid="{00000000-0005-0000-0000-000067280000}"/>
    <cellStyle name="標準 5 2 2 3 4 2 2" xfId="11012" xr:uid="{00000000-0005-0000-0000-000068280000}"/>
    <cellStyle name="標準 5 2 2 3 4 3" xfId="8353" xr:uid="{00000000-0005-0000-0000-000069280000}"/>
    <cellStyle name="標準 5 2 2 3 5" xfId="4112" xr:uid="{00000000-0005-0000-0000-00006A280000}"/>
    <cellStyle name="標準 5 2 2 3 5 2" xfId="9660" xr:uid="{00000000-0005-0000-0000-00006B280000}"/>
    <cellStyle name="標準 5 2 2 3 6" xfId="6389" xr:uid="{00000000-0005-0000-0000-00006C280000}"/>
    <cellStyle name="標準 5 2 2 4" xfId="1209" xr:uid="{00000000-0005-0000-0000-00006D280000}"/>
    <cellStyle name="標準 5 2 2 4 2" xfId="2556" xr:uid="{00000000-0005-0000-0000-00006E280000}"/>
    <cellStyle name="標準 5 2 2 4 2 2" xfId="5423" xr:uid="{00000000-0005-0000-0000-00006F280000}"/>
    <cellStyle name="標準 5 2 2 4 2 2 2" xfId="10789" xr:uid="{00000000-0005-0000-0000-000070280000}"/>
    <cellStyle name="標準 5 2 2 4 2 3" xfId="8105" xr:uid="{00000000-0005-0000-0000-000071280000}"/>
    <cellStyle name="標準 5 2 2 4 3" xfId="2918" xr:uid="{00000000-0005-0000-0000-000072280000}"/>
    <cellStyle name="標準 5 2 2 4 3 2" xfId="5759" xr:uid="{00000000-0005-0000-0000-000073280000}"/>
    <cellStyle name="標準 5 2 2 4 3 2 2" xfId="11125" xr:uid="{00000000-0005-0000-0000-000074280000}"/>
    <cellStyle name="標準 5 2 2 4 3 3" xfId="8466" xr:uid="{00000000-0005-0000-0000-000075280000}"/>
    <cellStyle name="標準 5 2 2 4 4" xfId="4114" xr:uid="{00000000-0005-0000-0000-000076280000}"/>
    <cellStyle name="標準 5 2 2 4 4 2" xfId="9662" xr:uid="{00000000-0005-0000-0000-000077280000}"/>
    <cellStyle name="標準 5 2 2 4 5" xfId="6940" xr:uid="{00000000-0005-0000-0000-000078280000}"/>
    <cellStyle name="標準 5 2 2 5" xfId="2285" xr:uid="{00000000-0005-0000-0000-000079280000}"/>
    <cellStyle name="標準 5 2 2 5 2" xfId="5156" xr:uid="{00000000-0005-0000-0000-00007A280000}"/>
    <cellStyle name="標準 5 2 2 5 2 2" xfId="10613" xr:uid="{00000000-0005-0000-0000-00007B280000}"/>
    <cellStyle name="標準 5 2 2 5 3" xfId="7926" xr:uid="{00000000-0005-0000-0000-00007C280000}"/>
    <cellStyle name="標準 5 2 2 6" xfId="2750" xr:uid="{00000000-0005-0000-0000-00007D280000}"/>
    <cellStyle name="標準 5 2 2 6 2" xfId="5591" xr:uid="{00000000-0005-0000-0000-00007E280000}"/>
    <cellStyle name="標準 5 2 2 6 2 2" xfId="10957" xr:uid="{00000000-0005-0000-0000-00007F280000}"/>
    <cellStyle name="標準 5 2 2 6 3" xfId="8298" xr:uid="{00000000-0005-0000-0000-000080280000}"/>
    <cellStyle name="標準 5 2 2 7" xfId="4107" xr:uid="{00000000-0005-0000-0000-000081280000}"/>
    <cellStyle name="標準 5 2 2 7 2" xfId="9655" xr:uid="{00000000-0005-0000-0000-000082280000}"/>
    <cellStyle name="標準 5 2 2 8" xfId="5927" xr:uid="{00000000-0005-0000-0000-000083280000}"/>
    <cellStyle name="標準 5 2 3" xfId="137" xr:uid="{00000000-0005-0000-0000-000084280000}"/>
    <cellStyle name="標準 5 2 3 2" xfId="626" xr:uid="{00000000-0005-0000-0000-000085280000}"/>
    <cellStyle name="標準 5 2 3 2 2" xfId="1732" xr:uid="{00000000-0005-0000-0000-000086280000}"/>
    <cellStyle name="標準 5 2 3 2 2 2" xfId="2642" xr:uid="{00000000-0005-0000-0000-000087280000}"/>
    <cellStyle name="標準 5 2 3 2 2 2 2" xfId="5497" xr:uid="{00000000-0005-0000-0000-000088280000}"/>
    <cellStyle name="標準 5 2 3 2 2 2 2 2" xfId="10863" xr:uid="{00000000-0005-0000-0000-000089280000}"/>
    <cellStyle name="標準 5 2 3 2 2 2 3" xfId="8191" xr:uid="{00000000-0005-0000-0000-00008A280000}"/>
    <cellStyle name="標準 5 2 3 2 2 3" xfId="2992" xr:uid="{00000000-0005-0000-0000-00008B280000}"/>
    <cellStyle name="標準 5 2 3 2 2 3 2" xfId="5833" xr:uid="{00000000-0005-0000-0000-00008C280000}"/>
    <cellStyle name="標準 5 2 3 2 2 3 2 2" xfId="11199" xr:uid="{00000000-0005-0000-0000-00008D280000}"/>
    <cellStyle name="標準 5 2 3 2 2 3 3" xfId="8540" xr:uid="{00000000-0005-0000-0000-00008E280000}"/>
    <cellStyle name="標準 5 2 3 2 2 4" xfId="4117" xr:uid="{00000000-0005-0000-0000-00008F280000}"/>
    <cellStyle name="標準 5 2 3 2 2 4 2" xfId="9665" xr:uid="{00000000-0005-0000-0000-000090280000}"/>
    <cellStyle name="標準 5 2 3 2 2 5" xfId="7419" xr:uid="{00000000-0005-0000-0000-000091280000}"/>
    <cellStyle name="標準 5 2 3 2 3" xfId="2360" xr:uid="{00000000-0005-0000-0000-000092280000}"/>
    <cellStyle name="標準 5 2 3 2 3 2" xfId="5231" xr:uid="{00000000-0005-0000-0000-000093280000}"/>
    <cellStyle name="標準 5 2 3 2 3 2 2" xfId="10688" xr:uid="{00000000-0005-0000-0000-000094280000}"/>
    <cellStyle name="標準 5 2 3 2 3 3" xfId="8001" xr:uid="{00000000-0005-0000-0000-000095280000}"/>
    <cellStyle name="標準 5 2 3 2 4" xfId="2825" xr:uid="{00000000-0005-0000-0000-000096280000}"/>
    <cellStyle name="標準 5 2 3 2 4 2" xfId="5666" xr:uid="{00000000-0005-0000-0000-000097280000}"/>
    <cellStyle name="標準 5 2 3 2 4 2 2" xfId="11032" xr:uid="{00000000-0005-0000-0000-000098280000}"/>
    <cellStyle name="標準 5 2 3 2 4 3" xfId="8373" xr:uid="{00000000-0005-0000-0000-000099280000}"/>
    <cellStyle name="標準 5 2 3 2 5" xfId="4116" xr:uid="{00000000-0005-0000-0000-00009A280000}"/>
    <cellStyle name="標準 5 2 3 2 5 2" xfId="9664" xr:uid="{00000000-0005-0000-0000-00009B280000}"/>
    <cellStyle name="標準 5 2 3 2 6" xfId="6410" xr:uid="{00000000-0005-0000-0000-00009C280000}"/>
    <cellStyle name="標準 5 2 3 3" xfId="1246" xr:uid="{00000000-0005-0000-0000-00009D280000}"/>
    <cellStyle name="標準 5 2 3 3 2" xfId="2578" xr:uid="{00000000-0005-0000-0000-00009E280000}"/>
    <cellStyle name="標準 5 2 3 3 2 2" xfId="5443" xr:uid="{00000000-0005-0000-0000-00009F280000}"/>
    <cellStyle name="標準 5 2 3 3 2 2 2" xfId="10809" xr:uid="{00000000-0005-0000-0000-0000A0280000}"/>
    <cellStyle name="標準 5 2 3 3 2 3" xfId="8127" xr:uid="{00000000-0005-0000-0000-0000A1280000}"/>
    <cellStyle name="標準 5 2 3 3 3" xfId="2938" xr:uid="{00000000-0005-0000-0000-0000A2280000}"/>
    <cellStyle name="標準 5 2 3 3 3 2" xfId="5779" xr:uid="{00000000-0005-0000-0000-0000A3280000}"/>
    <cellStyle name="標準 5 2 3 3 3 2 2" xfId="11145" xr:uid="{00000000-0005-0000-0000-0000A4280000}"/>
    <cellStyle name="標準 5 2 3 3 3 3" xfId="8486" xr:uid="{00000000-0005-0000-0000-0000A5280000}"/>
    <cellStyle name="標準 5 2 3 3 4" xfId="4118" xr:uid="{00000000-0005-0000-0000-0000A6280000}"/>
    <cellStyle name="標準 5 2 3 3 4 2" xfId="9666" xr:uid="{00000000-0005-0000-0000-0000A7280000}"/>
    <cellStyle name="標準 5 2 3 3 5" xfId="6975" xr:uid="{00000000-0005-0000-0000-0000A8280000}"/>
    <cellStyle name="標準 5 2 3 4" xfId="2305" xr:uid="{00000000-0005-0000-0000-0000A9280000}"/>
    <cellStyle name="標準 5 2 3 4 2" xfId="5176" xr:uid="{00000000-0005-0000-0000-0000AA280000}"/>
    <cellStyle name="標準 5 2 3 4 2 2" xfId="10633" xr:uid="{00000000-0005-0000-0000-0000AB280000}"/>
    <cellStyle name="標準 5 2 3 4 3" xfId="7946" xr:uid="{00000000-0005-0000-0000-0000AC280000}"/>
    <cellStyle name="標準 5 2 3 5" xfId="2770" xr:uid="{00000000-0005-0000-0000-0000AD280000}"/>
    <cellStyle name="標準 5 2 3 5 2" xfId="5611" xr:uid="{00000000-0005-0000-0000-0000AE280000}"/>
    <cellStyle name="標準 5 2 3 5 2 2" xfId="10977" xr:uid="{00000000-0005-0000-0000-0000AF280000}"/>
    <cellStyle name="標準 5 2 3 5 3" xfId="8318" xr:uid="{00000000-0005-0000-0000-0000B0280000}"/>
    <cellStyle name="標準 5 2 3 6" xfId="4115" xr:uid="{00000000-0005-0000-0000-0000B1280000}"/>
    <cellStyle name="標準 5 2 3 6 2" xfId="9663" xr:uid="{00000000-0005-0000-0000-0000B2280000}"/>
    <cellStyle name="標準 5 2 3 7" xfId="5963" xr:uid="{00000000-0005-0000-0000-0000B3280000}"/>
    <cellStyle name="標準 5 2 4" xfId="597" xr:uid="{00000000-0005-0000-0000-0000B4280000}"/>
    <cellStyle name="標準 5 2 4 2" xfId="1704" xr:uid="{00000000-0005-0000-0000-0000B5280000}"/>
    <cellStyle name="標準 5 2 4 2 2" xfId="2615" xr:uid="{00000000-0005-0000-0000-0000B6280000}"/>
    <cellStyle name="標準 5 2 4 2 2 2" xfId="5470" xr:uid="{00000000-0005-0000-0000-0000B7280000}"/>
    <cellStyle name="標準 5 2 4 2 2 2 2" xfId="10836" xr:uid="{00000000-0005-0000-0000-0000B8280000}"/>
    <cellStyle name="標準 5 2 4 2 2 3" xfId="8164" xr:uid="{00000000-0005-0000-0000-0000B9280000}"/>
    <cellStyle name="標準 5 2 4 2 3" xfId="2965" xr:uid="{00000000-0005-0000-0000-0000BA280000}"/>
    <cellStyle name="標準 5 2 4 2 3 2" xfId="5806" xr:uid="{00000000-0005-0000-0000-0000BB280000}"/>
    <cellStyle name="標準 5 2 4 2 3 2 2" xfId="11172" xr:uid="{00000000-0005-0000-0000-0000BC280000}"/>
    <cellStyle name="標準 5 2 4 2 3 3" xfId="8513" xr:uid="{00000000-0005-0000-0000-0000BD280000}"/>
    <cellStyle name="標準 5 2 4 2 4" xfId="4120" xr:uid="{00000000-0005-0000-0000-0000BE280000}"/>
    <cellStyle name="標準 5 2 4 2 4 2" xfId="9668" xr:uid="{00000000-0005-0000-0000-0000BF280000}"/>
    <cellStyle name="標準 5 2 4 2 5" xfId="7391" xr:uid="{00000000-0005-0000-0000-0000C0280000}"/>
    <cellStyle name="標準 5 2 4 3" xfId="2332" xr:uid="{00000000-0005-0000-0000-0000C1280000}"/>
    <cellStyle name="標準 5 2 4 3 2" xfId="5203" xr:uid="{00000000-0005-0000-0000-0000C2280000}"/>
    <cellStyle name="標準 5 2 4 3 2 2" xfId="10660" xr:uid="{00000000-0005-0000-0000-0000C3280000}"/>
    <cellStyle name="標準 5 2 4 3 3" xfId="7973" xr:uid="{00000000-0005-0000-0000-0000C4280000}"/>
    <cellStyle name="標準 5 2 4 4" xfId="2797" xr:uid="{00000000-0005-0000-0000-0000C5280000}"/>
    <cellStyle name="標準 5 2 4 4 2" xfId="5638" xr:uid="{00000000-0005-0000-0000-0000C6280000}"/>
    <cellStyle name="標準 5 2 4 4 2 2" xfId="11004" xr:uid="{00000000-0005-0000-0000-0000C7280000}"/>
    <cellStyle name="標準 5 2 4 4 3" xfId="8345" xr:uid="{00000000-0005-0000-0000-0000C8280000}"/>
    <cellStyle name="標準 5 2 4 5" xfId="4119" xr:uid="{00000000-0005-0000-0000-0000C9280000}"/>
    <cellStyle name="標準 5 2 4 5 2" xfId="9667" xr:uid="{00000000-0005-0000-0000-0000CA280000}"/>
    <cellStyle name="標準 5 2 4 6" xfId="6381" xr:uid="{00000000-0005-0000-0000-0000CB280000}"/>
    <cellStyle name="標準 5 2 5" xfId="1096" xr:uid="{00000000-0005-0000-0000-0000CC280000}"/>
    <cellStyle name="標準 5 2 5 2" xfId="2200" xr:uid="{00000000-0005-0000-0000-0000CD280000}"/>
    <cellStyle name="標準 5 2 5 2 2" xfId="2670" xr:uid="{00000000-0005-0000-0000-0000CE280000}"/>
    <cellStyle name="標準 5 2 5 2 2 2" xfId="5513" xr:uid="{00000000-0005-0000-0000-0000CF280000}"/>
    <cellStyle name="標準 5 2 5 2 2 2 2" xfId="10879" xr:uid="{00000000-0005-0000-0000-0000D0280000}"/>
    <cellStyle name="標準 5 2 5 2 2 3" xfId="8219" xr:uid="{00000000-0005-0000-0000-0000D1280000}"/>
    <cellStyle name="標準 5 2 5 2 3" xfId="3008" xr:uid="{00000000-0005-0000-0000-0000D2280000}"/>
    <cellStyle name="標準 5 2 5 2 3 2" xfId="5849" xr:uid="{00000000-0005-0000-0000-0000D3280000}"/>
    <cellStyle name="標準 5 2 5 2 3 2 2" xfId="11215" xr:uid="{00000000-0005-0000-0000-0000D4280000}"/>
    <cellStyle name="標準 5 2 5 2 3 3" xfId="8556" xr:uid="{00000000-0005-0000-0000-0000D5280000}"/>
    <cellStyle name="標準 5 2 5 2 4" xfId="4122" xr:uid="{00000000-0005-0000-0000-0000D6280000}"/>
    <cellStyle name="標準 5 2 5 2 4 2" xfId="9670" xr:uid="{00000000-0005-0000-0000-0000D7280000}"/>
    <cellStyle name="標準 5 2 5 2 5" xfId="7843" xr:uid="{00000000-0005-0000-0000-0000D8280000}"/>
    <cellStyle name="標準 5 2 5 3" xfId="2376" xr:uid="{00000000-0005-0000-0000-0000D9280000}"/>
    <cellStyle name="標準 5 2 5 3 2" xfId="5247" xr:uid="{00000000-0005-0000-0000-0000DA280000}"/>
    <cellStyle name="標準 5 2 5 3 2 2" xfId="10704" xr:uid="{00000000-0005-0000-0000-0000DB280000}"/>
    <cellStyle name="標準 5 2 5 3 3" xfId="8017" xr:uid="{00000000-0005-0000-0000-0000DC280000}"/>
    <cellStyle name="標準 5 2 5 4" xfId="2841" xr:uid="{00000000-0005-0000-0000-0000DD280000}"/>
    <cellStyle name="標準 5 2 5 4 2" xfId="5682" xr:uid="{00000000-0005-0000-0000-0000DE280000}"/>
    <cellStyle name="標準 5 2 5 4 2 2" xfId="11048" xr:uid="{00000000-0005-0000-0000-0000DF280000}"/>
    <cellStyle name="標準 5 2 5 4 3" xfId="8389" xr:uid="{00000000-0005-0000-0000-0000E0280000}"/>
    <cellStyle name="標準 5 2 5 5" xfId="4121" xr:uid="{00000000-0005-0000-0000-0000E1280000}"/>
    <cellStyle name="標準 5 2 5 5 2" xfId="9669" xr:uid="{00000000-0005-0000-0000-0000E2280000}"/>
    <cellStyle name="標準 5 2 5 6" xfId="5892" xr:uid="{00000000-0005-0000-0000-0000E3280000}"/>
    <cellStyle name="標準 5 2 5 6 2" xfId="11258" xr:uid="{00000000-0005-0000-0000-0000E4280000}"/>
    <cellStyle name="標準 5 2 5 7" xfId="6836" xr:uid="{00000000-0005-0000-0000-0000E5280000}"/>
    <cellStyle name="標準 5 2 6" xfId="1136" xr:uid="{00000000-0005-0000-0000-0000E6280000}"/>
    <cellStyle name="標準 5 2 6 2" xfId="2227" xr:uid="{00000000-0005-0000-0000-0000E7280000}"/>
    <cellStyle name="標準 5 2 6 2 2" xfId="2691" xr:uid="{00000000-0005-0000-0000-0000E8280000}"/>
    <cellStyle name="標準 5 2 6 2 2 2" xfId="5533" xr:uid="{00000000-0005-0000-0000-0000E9280000}"/>
    <cellStyle name="標準 5 2 6 2 2 2 2" xfId="10899" xr:uid="{00000000-0005-0000-0000-0000EA280000}"/>
    <cellStyle name="標準 5 2 6 2 2 3" xfId="8240" xr:uid="{00000000-0005-0000-0000-0000EB280000}"/>
    <cellStyle name="標準 5 2 6 2 3" xfId="3028" xr:uid="{00000000-0005-0000-0000-0000EC280000}"/>
    <cellStyle name="標準 5 2 6 2 3 2" xfId="5869" xr:uid="{00000000-0005-0000-0000-0000ED280000}"/>
    <cellStyle name="標準 5 2 6 2 3 2 2" xfId="11235" xr:uid="{00000000-0005-0000-0000-0000EE280000}"/>
    <cellStyle name="標準 5 2 6 2 3 3" xfId="8576" xr:uid="{00000000-0005-0000-0000-0000EF280000}"/>
    <cellStyle name="標準 5 2 6 2 4" xfId="4124" xr:uid="{00000000-0005-0000-0000-0000F0280000}"/>
    <cellStyle name="標準 5 2 6 2 4 2" xfId="9672" xr:uid="{00000000-0005-0000-0000-0000F1280000}"/>
    <cellStyle name="標準 5 2 6 2 5" xfId="7868" xr:uid="{00000000-0005-0000-0000-0000F2280000}"/>
    <cellStyle name="標準 5 2 6 3" xfId="2397" xr:uid="{00000000-0005-0000-0000-0000F3280000}"/>
    <cellStyle name="標準 5 2 6 3 2" xfId="5267" xr:uid="{00000000-0005-0000-0000-0000F4280000}"/>
    <cellStyle name="標準 5 2 6 3 2 2" xfId="10724" xr:uid="{00000000-0005-0000-0000-0000F5280000}"/>
    <cellStyle name="標準 5 2 6 3 3" xfId="8038" xr:uid="{00000000-0005-0000-0000-0000F6280000}"/>
    <cellStyle name="標準 5 2 6 4" xfId="2861" xr:uid="{00000000-0005-0000-0000-0000F7280000}"/>
    <cellStyle name="標準 5 2 6 4 2" xfId="5702" xr:uid="{00000000-0005-0000-0000-0000F8280000}"/>
    <cellStyle name="標準 5 2 6 4 2 2" xfId="11068" xr:uid="{00000000-0005-0000-0000-0000F9280000}"/>
    <cellStyle name="標準 5 2 6 4 3" xfId="8409" xr:uid="{00000000-0005-0000-0000-0000FA280000}"/>
    <cellStyle name="標準 5 2 6 5" xfId="4123" xr:uid="{00000000-0005-0000-0000-0000FB280000}"/>
    <cellStyle name="標準 5 2 6 5 2" xfId="9671" xr:uid="{00000000-0005-0000-0000-0000FC280000}"/>
    <cellStyle name="標準 5 2 6 6" xfId="6871" xr:uid="{00000000-0005-0000-0000-0000FD280000}"/>
    <cellStyle name="標準 5 2 7" xfId="1173" xr:uid="{00000000-0005-0000-0000-0000FE280000}"/>
    <cellStyle name="標準 5 2 7 2" xfId="2522" xr:uid="{00000000-0005-0000-0000-0000FF280000}"/>
    <cellStyle name="標準 5 2 7 2 2" xfId="5389" xr:uid="{00000000-0005-0000-0000-000000290000}"/>
    <cellStyle name="標準 5 2 7 2 2 2" xfId="10756" xr:uid="{00000000-0005-0000-0000-000001290000}"/>
    <cellStyle name="標準 5 2 7 2 3" xfId="8072" xr:uid="{00000000-0005-0000-0000-000002290000}"/>
    <cellStyle name="標準 5 2 7 3" xfId="2889" xr:uid="{00000000-0005-0000-0000-000003290000}"/>
    <cellStyle name="標準 5 2 7 3 2" xfId="5730" xr:uid="{00000000-0005-0000-0000-000004290000}"/>
    <cellStyle name="標準 5 2 7 3 2 2" xfId="11096" xr:uid="{00000000-0005-0000-0000-000005290000}"/>
    <cellStyle name="標準 5 2 7 3 3" xfId="8437" xr:uid="{00000000-0005-0000-0000-000006290000}"/>
    <cellStyle name="標準 5 2 7 4" xfId="4125" xr:uid="{00000000-0005-0000-0000-000007290000}"/>
    <cellStyle name="標準 5 2 7 4 2" xfId="9673" xr:uid="{00000000-0005-0000-0000-000008290000}"/>
    <cellStyle name="標準 5 2 7 5" xfId="6906" xr:uid="{00000000-0005-0000-0000-000009290000}"/>
    <cellStyle name="標準 5 2 8" xfId="2255" xr:uid="{00000000-0005-0000-0000-00000A290000}"/>
    <cellStyle name="標準 5 2 8 2" xfId="5126" xr:uid="{00000000-0005-0000-0000-00000B290000}"/>
    <cellStyle name="標準 5 2 8 2 2" xfId="10583" xr:uid="{00000000-0005-0000-0000-00000C290000}"/>
    <cellStyle name="標準 5 2 8 3" xfId="7896" xr:uid="{00000000-0005-0000-0000-00000D290000}"/>
    <cellStyle name="標準 5 2 9" xfId="2720" xr:uid="{00000000-0005-0000-0000-00000E290000}"/>
    <cellStyle name="標準 5 2 9 2" xfId="5561" xr:uid="{00000000-0005-0000-0000-00000F290000}"/>
    <cellStyle name="標準 5 2 9 2 2" xfId="10927" xr:uid="{00000000-0005-0000-0000-000010290000}"/>
    <cellStyle name="標準 5 2 9 3" xfId="8268" xr:uid="{00000000-0005-0000-0000-000011290000}"/>
    <cellStyle name="標準 5 3" xfId="99" xr:uid="{00000000-0005-0000-0000-000012290000}"/>
    <cellStyle name="標準 5 3 2" xfId="139" xr:uid="{00000000-0005-0000-0000-000013290000}"/>
    <cellStyle name="標準 5 3 2 2" xfId="628" xr:uid="{00000000-0005-0000-0000-000014290000}"/>
    <cellStyle name="標準 5 3 2 2 2" xfId="1734" xr:uid="{00000000-0005-0000-0000-000015290000}"/>
    <cellStyle name="標準 5 3 2 2 2 2" xfId="2644" xr:uid="{00000000-0005-0000-0000-000016290000}"/>
    <cellStyle name="標準 5 3 2 2 2 2 2" xfId="5499" xr:uid="{00000000-0005-0000-0000-000017290000}"/>
    <cellStyle name="標準 5 3 2 2 2 2 2 2" xfId="10865" xr:uid="{00000000-0005-0000-0000-000018290000}"/>
    <cellStyle name="標準 5 3 2 2 2 2 3" xfId="8193" xr:uid="{00000000-0005-0000-0000-000019290000}"/>
    <cellStyle name="標準 5 3 2 2 2 3" xfId="2994" xr:uid="{00000000-0005-0000-0000-00001A290000}"/>
    <cellStyle name="標準 5 3 2 2 2 3 2" xfId="5835" xr:uid="{00000000-0005-0000-0000-00001B290000}"/>
    <cellStyle name="標準 5 3 2 2 2 3 2 2" xfId="11201" xr:uid="{00000000-0005-0000-0000-00001C290000}"/>
    <cellStyle name="標準 5 3 2 2 2 3 3" xfId="8542" xr:uid="{00000000-0005-0000-0000-00001D290000}"/>
    <cellStyle name="標準 5 3 2 2 2 4" xfId="4129" xr:uid="{00000000-0005-0000-0000-00001E290000}"/>
    <cellStyle name="標準 5 3 2 2 2 4 2" xfId="9677" xr:uid="{00000000-0005-0000-0000-00001F290000}"/>
    <cellStyle name="標準 5 3 2 2 2 5" xfId="7421" xr:uid="{00000000-0005-0000-0000-000020290000}"/>
    <cellStyle name="標準 5 3 2 2 3" xfId="2362" xr:uid="{00000000-0005-0000-0000-000021290000}"/>
    <cellStyle name="標準 5 3 2 2 3 2" xfId="5233" xr:uid="{00000000-0005-0000-0000-000022290000}"/>
    <cellStyle name="標準 5 3 2 2 3 2 2" xfId="10690" xr:uid="{00000000-0005-0000-0000-000023290000}"/>
    <cellStyle name="標準 5 3 2 2 3 3" xfId="8003" xr:uid="{00000000-0005-0000-0000-000024290000}"/>
    <cellStyle name="標準 5 3 2 2 4" xfId="2827" xr:uid="{00000000-0005-0000-0000-000025290000}"/>
    <cellStyle name="標準 5 3 2 2 4 2" xfId="5668" xr:uid="{00000000-0005-0000-0000-000026290000}"/>
    <cellStyle name="標準 5 3 2 2 4 2 2" xfId="11034" xr:uid="{00000000-0005-0000-0000-000027290000}"/>
    <cellStyle name="標準 5 3 2 2 4 3" xfId="8375" xr:uid="{00000000-0005-0000-0000-000028290000}"/>
    <cellStyle name="標準 5 3 2 2 5" xfId="4128" xr:uid="{00000000-0005-0000-0000-000029290000}"/>
    <cellStyle name="標準 5 3 2 2 5 2" xfId="9676" xr:uid="{00000000-0005-0000-0000-00002A290000}"/>
    <cellStyle name="標準 5 3 2 2 6" xfId="6412" xr:uid="{00000000-0005-0000-0000-00002B290000}"/>
    <cellStyle name="標準 5 3 2 3" xfId="1248" xr:uid="{00000000-0005-0000-0000-00002C290000}"/>
    <cellStyle name="標準 5 3 2 3 2" xfId="2580" xr:uid="{00000000-0005-0000-0000-00002D290000}"/>
    <cellStyle name="標準 5 3 2 3 2 2" xfId="5445" xr:uid="{00000000-0005-0000-0000-00002E290000}"/>
    <cellStyle name="標準 5 3 2 3 2 2 2" xfId="10811" xr:uid="{00000000-0005-0000-0000-00002F290000}"/>
    <cellStyle name="標準 5 3 2 3 2 3" xfId="8129" xr:uid="{00000000-0005-0000-0000-000030290000}"/>
    <cellStyle name="標準 5 3 2 3 3" xfId="2940" xr:uid="{00000000-0005-0000-0000-000031290000}"/>
    <cellStyle name="標準 5 3 2 3 3 2" xfId="5781" xr:uid="{00000000-0005-0000-0000-000032290000}"/>
    <cellStyle name="標準 5 3 2 3 3 2 2" xfId="11147" xr:uid="{00000000-0005-0000-0000-000033290000}"/>
    <cellStyle name="標準 5 3 2 3 3 3" xfId="8488" xr:uid="{00000000-0005-0000-0000-000034290000}"/>
    <cellStyle name="標準 5 3 2 3 4" xfId="4130" xr:uid="{00000000-0005-0000-0000-000035290000}"/>
    <cellStyle name="標準 5 3 2 3 4 2" xfId="9678" xr:uid="{00000000-0005-0000-0000-000036290000}"/>
    <cellStyle name="標準 5 3 2 3 5" xfId="6977" xr:uid="{00000000-0005-0000-0000-000037290000}"/>
    <cellStyle name="標準 5 3 2 4" xfId="2307" xr:uid="{00000000-0005-0000-0000-000038290000}"/>
    <cellStyle name="標準 5 3 2 4 2" xfId="5178" xr:uid="{00000000-0005-0000-0000-000039290000}"/>
    <cellStyle name="標準 5 3 2 4 2 2" xfId="10635" xr:uid="{00000000-0005-0000-0000-00003A290000}"/>
    <cellStyle name="標準 5 3 2 4 3" xfId="7948" xr:uid="{00000000-0005-0000-0000-00003B290000}"/>
    <cellStyle name="標準 5 3 2 5" xfId="2772" xr:uid="{00000000-0005-0000-0000-00003C290000}"/>
    <cellStyle name="標準 5 3 2 5 2" xfId="5613" xr:uid="{00000000-0005-0000-0000-00003D290000}"/>
    <cellStyle name="標準 5 3 2 5 2 2" xfId="10979" xr:uid="{00000000-0005-0000-0000-00003E290000}"/>
    <cellStyle name="標準 5 3 2 5 3" xfId="8320" xr:uid="{00000000-0005-0000-0000-00003F290000}"/>
    <cellStyle name="標準 5 3 2 6" xfId="4127" xr:uid="{00000000-0005-0000-0000-000040290000}"/>
    <cellStyle name="標準 5 3 2 6 2" xfId="9675" xr:uid="{00000000-0005-0000-0000-000041290000}"/>
    <cellStyle name="標準 5 3 2 7" xfId="5965" xr:uid="{00000000-0005-0000-0000-000042290000}"/>
    <cellStyle name="標準 5 3 3" xfId="599" xr:uid="{00000000-0005-0000-0000-000043290000}"/>
    <cellStyle name="標準 5 3 3 2" xfId="1706" xr:uid="{00000000-0005-0000-0000-000044290000}"/>
    <cellStyle name="標準 5 3 3 2 2" xfId="2617" xr:uid="{00000000-0005-0000-0000-000045290000}"/>
    <cellStyle name="標準 5 3 3 2 2 2" xfId="5472" xr:uid="{00000000-0005-0000-0000-000046290000}"/>
    <cellStyle name="標準 5 3 3 2 2 2 2" xfId="10838" xr:uid="{00000000-0005-0000-0000-000047290000}"/>
    <cellStyle name="標準 5 3 3 2 2 3" xfId="8166" xr:uid="{00000000-0005-0000-0000-000048290000}"/>
    <cellStyle name="標準 5 3 3 2 3" xfId="2967" xr:uid="{00000000-0005-0000-0000-000049290000}"/>
    <cellStyle name="標準 5 3 3 2 3 2" xfId="5808" xr:uid="{00000000-0005-0000-0000-00004A290000}"/>
    <cellStyle name="標準 5 3 3 2 3 2 2" xfId="11174" xr:uid="{00000000-0005-0000-0000-00004B290000}"/>
    <cellStyle name="標準 5 3 3 2 3 3" xfId="8515" xr:uid="{00000000-0005-0000-0000-00004C290000}"/>
    <cellStyle name="標準 5 3 3 2 4" xfId="4132" xr:uid="{00000000-0005-0000-0000-00004D290000}"/>
    <cellStyle name="標準 5 3 3 2 4 2" xfId="9680" xr:uid="{00000000-0005-0000-0000-00004E290000}"/>
    <cellStyle name="標準 5 3 3 2 5" xfId="7393" xr:uid="{00000000-0005-0000-0000-00004F290000}"/>
    <cellStyle name="標準 5 3 3 3" xfId="2334" xr:uid="{00000000-0005-0000-0000-000050290000}"/>
    <cellStyle name="標準 5 3 3 3 2" xfId="5205" xr:uid="{00000000-0005-0000-0000-000051290000}"/>
    <cellStyle name="標準 5 3 3 3 2 2" xfId="10662" xr:uid="{00000000-0005-0000-0000-000052290000}"/>
    <cellStyle name="標準 5 3 3 3 3" xfId="7975" xr:uid="{00000000-0005-0000-0000-000053290000}"/>
    <cellStyle name="標準 5 3 3 4" xfId="2799" xr:uid="{00000000-0005-0000-0000-000054290000}"/>
    <cellStyle name="標準 5 3 3 4 2" xfId="5640" xr:uid="{00000000-0005-0000-0000-000055290000}"/>
    <cellStyle name="標準 5 3 3 4 2 2" xfId="11006" xr:uid="{00000000-0005-0000-0000-000056290000}"/>
    <cellStyle name="標準 5 3 3 4 3" xfId="8347" xr:uid="{00000000-0005-0000-0000-000057290000}"/>
    <cellStyle name="標準 5 3 3 5" xfId="4131" xr:uid="{00000000-0005-0000-0000-000058290000}"/>
    <cellStyle name="標準 5 3 3 5 2" xfId="9679" xr:uid="{00000000-0005-0000-0000-000059290000}"/>
    <cellStyle name="標準 5 3 3 6" xfId="6383" xr:uid="{00000000-0005-0000-0000-00005A290000}"/>
    <cellStyle name="標準 5 3 4" xfId="1210" xr:uid="{00000000-0005-0000-0000-00005B290000}"/>
    <cellStyle name="標準 5 3 4 2" xfId="2557" xr:uid="{00000000-0005-0000-0000-00005C290000}"/>
    <cellStyle name="標準 5 3 4 2 2" xfId="5424" xr:uid="{00000000-0005-0000-0000-00005D290000}"/>
    <cellStyle name="標準 5 3 4 2 2 2" xfId="10790" xr:uid="{00000000-0005-0000-0000-00005E290000}"/>
    <cellStyle name="標準 5 3 4 2 3" xfId="8106" xr:uid="{00000000-0005-0000-0000-00005F290000}"/>
    <cellStyle name="標準 5 3 4 3" xfId="2919" xr:uid="{00000000-0005-0000-0000-000060290000}"/>
    <cellStyle name="標準 5 3 4 3 2" xfId="5760" xr:uid="{00000000-0005-0000-0000-000061290000}"/>
    <cellStyle name="標準 5 3 4 3 2 2" xfId="11126" xr:uid="{00000000-0005-0000-0000-000062290000}"/>
    <cellStyle name="標準 5 3 4 3 3" xfId="8467" xr:uid="{00000000-0005-0000-0000-000063290000}"/>
    <cellStyle name="標準 5 3 4 4" xfId="4133" xr:uid="{00000000-0005-0000-0000-000064290000}"/>
    <cellStyle name="標準 5 3 4 4 2" xfId="9681" xr:uid="{00000000-0005-0000-0000-000065290000}"/>
    <cellStyle name="標準 5 3 4 5" xfId="6941" xr:uid="{00000000-0005-0000-0000-000066290000}"/>
    <cellStyle name="標準 5 3 5" xfId="2286" xr:uid="{00000000-0005-0000-0000-000067290000}"/>
    <cellStyle name="標準 5 3 5 2" xfId="5157" xr:uid="{00000000-0005-0000-0000-000068290000}"/>
    <cellStyle name="標準 5 3 5 2 2" xfId="10614" xr:uid="{00000000-0005-0000-0000-000069290000}"/>
    <cellStyle name="標準 5 3 5 3" xfId="7927" xr:uid="{00000000-0005-0000-0000-00006A290000}"/>
    <cellStyle name="標準 5 3 6" xfId="2751" xr:uid="{00000000-0005-0000-0000-00006B290000}"/>
    <cellStyle name="標準 5 3 6 2" xfId="5592" xr:uid="{00000000-0005-0000-0000-00006C290000}"/>
    <cellStyle name="標準 5 3 6 2 2" xfId="10958" xr:uid="{00000000-0005-0000-0000-00006D290000}"/>
    <cellStyle name="標準 5 3 6 3" xfId="8299" xr:uid="{00000000-0005-0000-0000-00006E290000}"/>
    <cellStyle name="標準 5 3 7" xfId="4126" xr:uid="{00000000-0005-0000-0000-00006F290000}"/>
    <cellStyle name="標準 5 3 7 2" xfId="9674" xr:uid="{00000000-0005-0000-0000-000070290000}"/>
    <cellStyle name="標準 5 3 8" xfId="5928" xr:uid="{00000000-0005-0000-0000-000071290000}"/>
    <cellStyle name="標準 5 4" xfId="136" xr:uid="{00000000-0005-0000-0000-000072290000}"/>
    <cellStyle name="標準 5 4 2" xfId="625" xr:uid="{00000000-0005-0000-0000-000073290000}"/>
    <cellStyle name="標準 5 4 2 2" xfId="1731" xr:uid="{00000000-0005-0000-0000-000074290000}"/>
    <cellStyle name="標準 5 4 2 2 2" xfId="2641" xr:uid="{00000000-0005-0000-0000-000075290000}"/>
    <cellStyle name="標準 5 4 2 2 2 2" xfId="5496" xr:uid="{00000000-0005-0000-0000-000076290000}"/>
    <cellStyle name="標準 5 4 2 2 2 2 2" xfId="10862" xr:uid="{00000000-0005-0000-0000-000077290000}"/>
    <cellStyle name="標準 5 4 2 2 2 3" xfId="8190" xr:uid="{00000000-0005-0000-0000-000078290000}"/>
    <cellStyle name="標準 5 4 2 2 3" xfId="2991" xr:uid="{00000000-0005-0000-0000-000079290000}"/>
    <cellStyle name="標準 5 4 2 2 3 2" xfId="5832" xr:uid="{00000000-0005-0000-0000-00007A290000}"/>
    <cellStyle name="標準 5 4 2 2 3 2 2" xfId="11198" xr:uid="{00000000-0005-0000-0000-00007B290000}"/>
    <cellStyle name="標準 5 4 2 2 3 3" xfId="8539" xr:uid="{00000000-0005-0000-0000-00007C290000}"/>
    <cellStyle name="標準 5 4 2 2 4" xfId="4136" xr:uid="{00000000-0005-0000-0000-00007D290000}"/>
    <cellStyle name="標準 5 4 2 2 4 2" xfId="9684" xr:uid="{00000000-0005-0000-0000-00007E290000}"/>
    <cellStyle name="標準 5 4 2 2 5" xfId="7418" xr:uid="{00000000-0005-0000-0000-00007F290000}"/>
    <cellStyle name="標準 5 4 2 3" xfId="2359" xr:uid="{00000000-0005-0000-0000-000080290000}"/>
    <cellStyle name="標準 5 4 2 3 2" xfId="5230" xr:uid="{00000000-0005-0000-0000-000081290000}"/>
    <cellStyle name="標準 5 4 2 3 2 2" xfId="10687" xr:uid="{00000000-0005-0000-0000-000082290000}"/>
    <cellStyle name="標準 5 4 2 3 3" xfId="8000" xr:uid="{00000000-0005-0000-0000-000083290000}"/>
    <cellStyle name="標準 5 4 2 4" xfId="2824" xr:uid="{00000000-0005-0000-0000-000084290000}"/>
    <cellStyle name="標準 5 4 2 4 2" xfId="5665" xr:uid="{00000000-0005-0000-0000-000085290000}"/>
    <cellStyle name="標準 5 4 2 4 2 2" xfId="11031" xr:uid="{00000000-0005-0000-0000-000086290000}"/>
    <cellStyle name="標準 5 4 2 4 3" xfId="8372" xr:uid="{00000000-0005-0000-0000-000087290000}"/>
    <cellStyle name="標準 5 4 2 5" xfId="4135" xr:uid="{00000000-0005-0000-0000-000088290000}"/>
    <cellStyle name="標準 5 4 2 5 2" xfId="9683" xr:uid="{00000000-0005-0000-0000-000089290000}"/>
    <cellStyle name="標準 5 4 2 6" xfId="6409" xr:uid="{00000000-0005-0000-0000-00008A290000}"/>
    <cellStyle name="標準 5 4 3" xfId="1245" xr:uid="{00000000-0005-0000-0000-00008B290000}"/>
    <cellStyle name="標準 5 4 3 2" xfId="2577" xr:uid="{00000000-0005-0000-0000-00008C290000}"/>
    <cellStyle name="標準 5 4 3 2 2" xfId="5442" xr:uid="{00000000-0005-0000-0000-00008D290000}"/>
    <cellStyle name="標準 5 4 3 2 2 2" xfId="10808" xr:uid="{00000000-0005-0000-0000-00008E290000}"/>
    <cellStyle name="標準 5 4 3 2 3" xfId="8126" xr:uid="{00000000-0005-0000-0000-00008F290000}"/>
    <cellStyle name="標準 5 4 3 3" xfId="2937" xr:uid="{00000000-0005-0000-0000-000090290000}"/>
    <cellStyle name="標準 5 4 3 3 2" xfId="5778" xr:uid="{00000000-0005-0000-0000-000091290000}"/>
    <cellStyle name="標準 5 4 3 3 2 2" xfId="11144" xr:uid="{00000000-0005-0000-0000-000092290000}"/>
    <cellStyle name="標準 5 4 3 3 3" xfId="8485" xr:uid="{00000000-0005-0000-0000-000093290000}"/>
    <cellStyle name="標準 5 4 3 4" xfId="4137" xr:uid="{00000000-0005-0000-0000-000094290000}"/>
    <cellStyle name="標準 5 4 3 4 2" xfId="9685" xr:uid="{00000000-0005-0000-0000-000095290000}"/>
    <cellStyle name="標準 5 4 3 5" xfId="6974" xr:uid="{00000000-0005-0000-0000-000096290000}"/>
    <cellStyle name="標準 5 4 4" xfId="2304" xr:uid="{00000000-0005-0000-0000-000097290000}"/>
    <cellStyle name="標準 5 4 4 2" xfId="5175" xr:uid="{00000000-0005-0000-0000-000098290000}"/>
    <cellStyle name="標準 5 4 4 2 2" xfId="10632" xr:uid="{00000000-0005-0000-0000-000099290000}"/>
    <cellStyle name="標準 5 4 4 3" xfId="7945" xr:uid="{00000000-0005-0000-0000-00009A290000}"/>
    <cellStyle name="標準 5 4 5" xfId="2769" xr:uid="{00000000-0005-0000-0000-00009B290000}"/>
    <cellStyle name="標準 5 4 5 2" xfId="5610" xr:uid="{00000000-0005-0000-0000-00009C290000}"/>
    <cellStyle name="標準 5 4 5 2 2" xfId="10976" xr:uid="{00000000-0005-0000-0000-00009D290000}"/>
    <cellStyle name="標準 5 4 5 3" xfId="8317" xr:uid="{00000000-0005-0000-0000-00009E290000}"/>
    <cellStyle name="標準 5 4 6" xfId="4134" xr:uid="{00000000-0005-0000-0000-00009F290000}"/>
    <cellStyle name="標準 5 4 6 2" xfId="9682" xr:uid="{00000000-0005-0000-0000-0000A0290000}"/>
    <cellStyle name="標準 5 4 7" xfId="5962" xr:uid="{00000000-0005-0000-0000-0000A1290000}"/>
    <cellStyle name="標準 5 5" xfId="596" xr:uid="{00000000-0005-0000-0000-0000A2290000}"/>
    <cellStyle name="標準 5 5 2" xfId="1703" xr:uid="{00000000-0005-0000-0000-0000A3290000}"/>
    <cellStyle name="標準 5 5 2 2" xfId="2614" xr:uid="{00000000-0005-0000-0000-0000A4290000}"/>
    <cellStyle name="標準 5 5 2 2 2" xfId="5469" xr:uid="{00000000-0005-0000-0000-0000A5290000}"/>
    <cellStyle name="標準 5 5 2 2 2 2" xfId="10835" xr:uid="{00000000-0005-0000-0000-0000A6290000}"/>
    <cellStyle name="標準 5 5 2 2 3" xfId="8163" xr:uid="{00000000-0005-0000-0000-0000A7290000}"/>
    <cellStyle name="標準 5 5 2 3" xfId="2964" xr:uid="{00000000-0005-0000-0000-0000A8290000}"/>
    <cellStyle name="標準 5 5 2 3 2" xfId="5805" xr:uid="{00000000-0005-0000-0000-0000A9290000}"/>
    <cellStyle name="標準 5 5 2 3 2 2" xfId="11171" xr:uid="{00000000-0005-0000-0000-0000AA290000}"/>
    <cellStyle name="標準 5 5 2 3 3" xfId="8512" xr:uid="{00000000-0005-0000-0000-0000AB290000}"/>
    <cellStyle name="標準 5 5 2 4" xfId="4139" xr:uid="{00000000-0005-0000-0000-0000AC290000}"/>
    <cellStyle name="標準 5 5 2 4 2" xfId="9687" xr:uid="{00000000-0005-0000-0000-0000AD290000}"/>
    <cellStyle name="標準 5 5 2 5" xfId="7390" xr:uid="{00000000-0005-0000-0000-0000AE290000}"/>
    <cellStyle name="標準 5 5 3" xfId="2331" xr:uid="{00000000-0005-0000-0000-0000AF290000}"/>
    <cellStyle name="標準 5 5 3 2" xfId="5202" xr:uid="{00000000-0005-0000-0000-0000B0290000}"/>
    <cellStyle name="標準 5 5 3 2 2" xfId="10659" xr:uid="{00000000-0005-0000-0000-0000B1290000}"/>
    <cellStyle name="標準 5 5 3 3" xfId="7972" xr:uid="{00000000-0005-0000-0000-0000B2290000}"/>
    <cellStyle name="標準 5 5 4" xfId="2796" xr:uid="{00000000-0005-0000-0000-0000B3290000}"/>
    <cellStyle name="標準 5 5 4 2" xfId="5637" xr:uid="{00000000-0005-0000-0000-0000B4290000}"/>
    <cellStyle name="標準 5 5 4 2 2" xfId="11003" xr:uid="{00000000-0005-0000-0000-0000B5290000}"/>
    <cellStyle name="標準 5 5 4 3" xfId="8344" xr:uid="{00000000-0005-0000-0000-0000B6290000}"/>
    <cellStyle name="標準 5 5 5" xfId="4138" xr:uid="{00000000-0005-0000-0000-0000B7290000}"/>
    <cellStyle name="標準 5 5 5 2" xfId="9686" xr:uid="{00000000-0005-0000-0000-0000B8290000}"/>
    <cellStyle name="標準 5 5 6" xfId="6380" xr:uid="{00000000-0005-0000-0000-0000B9290000}"/>
    <cellStyle name="標準 5 6" xfId="1094" xr:uid="{00000000-0005-0000-0000-0000BA290000}"/>
    <cellStyle name="標準 5 6 2" xfId="2198" xr:uid="{00000000-0005-0000-0000-0000BB290000}"/>
    <cellStyle name="標準 5 6 2 2" xfId="2668" xr:uid="{00000000-0005-0000-0000-0000BC290000}"/>
    <cellStyle name="標準 5 6 2 2 2" xfId="5511" xr:uid="{00000000-0005-0000-0000-0000BD290000}"/>
    <cellStyle name="標準 5 6 2 2 2 2" xfId="10877" xr:uid="{00000000-0005-0000-0000-0000BE290000}"/>
    <cellStyle name="標準 5 6 2 2 3" xfId="8217" xr:uid="{00000000-0005-0000-0000-0000BF290000}"/>
    <cellStyle name="標準 5 6 2 3" xfId="3006" xr:uid="{00000000-0005-0000-0000-0000C0290000}"/>
    <cellStyle name="標準 5 6 2 3 2" xfId="5847" xr:uid="{00000000-0005-0000-0000-0000C1290000}"/>
    <cellStyle name="標準 5 6 2 3 2 2" xfId="11213" xr:uid="{00000000-0005-0000-0000-0000C2290000}"/>
    <cellStyle name="標準 5 6 2 3 3" xfId="8554" xr:uid="{00000000-0005-0000-0000-0000C3290000}"/>
    <cellStyle name="標準 5 6 2 4" xfId="4141" xr:uid="{00000000-0005-0000-0000-0000C4290000}"/>
    <cellStyle name="標準 5 6 2 4 2" xfId="9689" xr:uid="{00000000-0005-0000-0000-0000C5290000}"/>
    <cellStyle name="標準 5 6 2 5" xfId="7841" xr:uid="{00000000-0005-0000-0000-0000C6290000}"/>
    <cellStyle name="標準 5 6 3" xfId="2374" xr:uid="{00000000-0005-0000-0000-0000C7290000}"/>
    <cellStyle name="標準 5 6 3 2" xfId="5245" xr:uid="{00000000-0005-0000-0000-0000C8290000}"/>
    <cellStyle name="標準 5 6 3 2 2" xfId="10702" xr:uid="{00000000-0005-0000-0000-0000C9290000}"/>
    <cellStyle name="標準 5 6 3 3" xfId="8015" xr:uid="{00000000-0005-0000-0000-0000CA290000}"/>
    <cellStyle name="標準 5 6 4" xfId="2839" xr:uid="{00000000-0005-0000-0000-0000CB290000}"/>
    <cellStyle name="標準 5 6 4 2" xfId="5680" xr:uid="{00000000-0005-0000-0000-0000CC290000}"/>
    <cellStyle name="標準 5 6 4 2 2" xfId="11046" xr:uid="{00000000-0005-0000-0000-0000CD290000}"/>
    <cellStyle name="標準 5 6 4 3" xfId="8387" xr:uid="{00000000-0005-0000-0000-0000CE290000}"/>
    <cellStyle name="標準 5 6 5" xfId="4140" xr:uid="{00000000-0005-0000-0000-0000CF290000}"/>
    <cellStyle name="標準 5 6 5 2" xfId="9688" xr:uid="{00000000-0005-0000-0000-0000D0290000}"/>
    <cellStyle name="標準 5 6 6" xfId="5890" xr:uid="{00000000-0005-0000-0000-0000D1290000}"/>
    <cellStyle name="標準 5 6 6 2" xfId="11256" xr:uid="{00000000-0005-0000-0000-0000D2290000}"/>
    <cellStyle name="標準 5 6 7" xfId="6834" xr:uid="{00000000-0005-0000-0000-0000D3290000}"/>
    <cellStyle name="標準 5 7" xfId="1137" xr:uid="{00000000-0005-0000-0000-0000D4290000}"/>
    <cellStyle name="標準 5 7 2" xfId="2228" xr:uid="{00000000-0005-0000-0000-0000D5290000}"/>
    <cellStyle name="標準 5 7 2 2" xfId="2692" xr:uid="{00000000-0005-0000-0000-0000D6290000}"/>
    <cellStyle name="標準 5 7 2 2 2" xfId="5534" xr:uid="{00000000-0005-0000-0000-0000D7290000}"/>
    <cellStyle name="標準 5 7 2 2 2 2" xfId="10900" xr:uid="{00000000-0005-0000-0000-0000D8290000}"/>
    <cellStyle name="標準 5 7 2 2 3" xfId="8241" xr:uid="{00000000-0005-0000-0000-0000D9290000}"/>
    <cellStyle name="標準 5 7 2 3" xfId="3029" xr:uid="{00000000-0005-0000-0000-0000DA290000}"/>
    <cellStyle name="標準 5 7 2 3 2" xfId="5870" xr:uid="{00000000-0005-0000-0000-0000DB290000}"/>
    <cellStyle name="標準 5 7 2 3 2 2" xfId="11236" xr:uid="{00000000-0005-0000-0000-0000DC290000}"/>
    <cellStyle name="標準 5 7 2 3 3" xfId="8577" xr:uid="{00000000-0005-0000-0000-0000DD290000}"/>
    <cellStyle name="標準 5 7 2 4" xfId="4143" xr:uid="{00000000-0005-0000-0000-0000DE290000}"/>
    <cellStyle name="標準 5 7 2 4 2" xfId="9691" xr:uid="{00000000-0005-0000-0000-0000DF290000}"/>
    <cellStyle name="標準 5 7 2 5" xfId="7869" xr:uid="{00000000-0005-0000-0000-0000E0290000}"/>
    <cellStyle name="標準 5 7 3" xfId="2398" xr:uid="{00000000-0005-0000-0000-0000E1290000}"/>
    <cellStyle name="標準 5 7 3 2" xfId="5268" xr:uid="{00000000-0005-0000-0000-0000E2290000}"/>
    <cellStyle name="標準 5 7 3 2 2" xfId="10725" xr:uid="{00000000-0005-0000-0000-0000E3290000}"/>
    <cellStyle name="標準 5 7 3 3" xfId="8039" xr:uid="{00000000-0005-0000-0000-0000E4290000}"/>
    <cellStyle name="標準 5 7 4" xfId="2862" xr:uid="{00000000-0005-0000-0000-0000E5290000}"/>
    <cellStyle name="標準 5 7 4 2" xfId="5703" xr:uid="{00000000-0005-0000-0000-0000E6290000}"/>
    <cellStyle name="標準 5 7 4 2 2" xfId="11069" xr:uid="{00000000-0005-0000-0000-0000E7290000}"/>
    <cellStyle name="標準 5 7 4 3" xfId="8410" xr:uid="{00000000-0005-0000-0000-0000E8290000}"/>
    <cellStyle name="標準 5 7 5" xfId="4142" xr:uid="{00000000-0005-0000-0000-0000E9290000}"/>
    <cellStyle name="標準 5 7 5 2" xfId="9690" xr:uid="{00000000-0005-0000-0000-0000EA290000}"/>
    <cellStyle name="標準 5 7 6" xfId="6872" xr:uid="{00000000-0005-0000-0000-0000EB290000}"/>
    <cellStyle name="標準 5 8" xfId="1172" xr:uid="{00000000-0005-0000-0000-0000EC290000}"/>
    <cellStyle name="標準 5 8 2" xfId="2521" xr:uid="{00000000-0005-0000-0000-0000ED290000}"/>
    <cellStyle name="標準 5 8 2 2" xfId="5388" xr:uid="{00000000-0005-0000-0000-0000EE290000}"/>
    <cellStyle name="標準 5 8 2 2 2" xfId="10755" xr:uid="{00000000-0005-0000-0000-0000EF290000}"/>
    <cellStyle name="標準 5 8 2 3" xfId="8071" xr:uid="{00000000-0005-0000-0000-0000F0290000}"/>
    <cellStyle name="標準 5 8 3" xfId="2888" xr:uid="{00000000-0005-0000-0000-0000F1290000}"/>
    <cellStyle name="標準 5 8 3 2" xfId="5729" xr:uid="{00000000-0005-0000-0000-0000F2290000}"/>
    <cellStyle name="標準 5 8 3 2 2" xfId="11095" xr:uid="{00000000-0005-0000-0000-0000F3290000}"/>
    <cellStyle name="標準 5 8 3 3" xfId="8436" xr:uid="{00000000-0005-0000-0000-0000F4290000}"/>
    <cellStyle name="標準 5 8 4" xfId="4144" xr:uid="{00000000-0005-0000-0000-0000F5290000}"/>
    <cellStyle name="標準 5 8 4 2" xfId="9692" xr:uid="{00000000-0005-0000-0000-0000F6290000}"/>
    <cellStyle name="標準 5 8 5" xfId="6905" xr:uid="{00000000-0005-0000-0000-0000F7290000}"/>
    <cellStyle name="標準 5 9" xfId="2254" xr:uid="{00000000-0005-0000-0000-0000F8290000}"/>
    <cellStyle name="標準 5 9 2" xfId="5125" xr:uid="{00000000-0005-0000-0000-0000F9290000}"/>
    <cellStyle name="標準 5 9 2 2" xfId="10582" xr:uid="{00000000-0005-0000-0000-0000FA290000}"/>
    <cellStyle name="標準 5 9 3" xfId="7895" xr:uid="{00000000-0005-0000-0000-0000FB290000}"/>
    <cellStyle name="標準 6" xfId="49" xr:uid="{00000000-0005-0000-0000-0000FC290000}"/>
    <cellStyle name="標準 6 2" xfId="156" xr:uid="{00000000-0005-0000-0000-0000FD290000}"/>
    <cellStyle name="標準 6 2 2" xfId="606" xr:uid="{00000000-0005-0000-0000-0000FE290000}"/>
    <cellStyle name="標準 6 2 2 2" xfId="1138" xr:uid="{00000000-0005-0000-0000-0000FF290000}"/>
    <cellStyle name="標準 6 2 2 2 2" xfId="2229" xr:uid="{00000000-0005-0000-0000-0000002A0000}"/>
    <cellStyle name="標準 6 2 2 2 2 2" xfId="2693" xr:uid="{00000000-0005-0000-0000-0000012A0000}"/>
    <cellStyle name="標準 6 2 2 2 2 2 2" xfId="5535" xr:uid="{00000000-0005-0000-0000-0000022A0000}"/>
    <cellStyle name="標準 6 2 2 2 2 2 2 2" xfId="10901" xr:uid="{00000000-0005-0000-0000-0000032A0000}"/>
    <cellStyle name="標準 6 2 2 2 2 2 3" xfId="8242" xr:uid="{00000000-0005-0000-0000-0000042A0000}"/>
    <cellStyle name="標準 6 2 2 2 2 3" xfId="3030" xr:uid="{00000000-0005-0000-0000-0000052A0000}"/>
    <cellStyle name="標準 6 2 2 2 2 3 2" xfId="5871" xr:uid="{00000000-0005-0000-0000-0000062A0000}"/>
    <cellStyle name="標準 6 2 2 2 2 3 2 2" xfId="11237" xr:uid="{00000000-0005-0000-0000-0000072A0000}"/>
    <cellStyle name="標準 6 2 2 2 2 3 3" xfId="8578" xr:uid="{00000000-0005-0000-0000-0000082A0000}"/>
    <cellStyle name="標準 6 2 2 2 2 4" xfId="4149" xr:uid="{00000000-0005-0000-0000-0000092A0000}"/>
    <cellStyle name="標準 6 2 2 2 2 4 2" xfId="9697" xr:uid="{00000000-0005-0000-0000-00000A2A0000}"/>
    <cellStyle name="標準 6 2 2 2 2 5" xfId="7870" xr:uid="{00000000-0005-0000-0000-00000B2A0000}"/>
    <cellStyle name="標準 6 2 2 2 3" xfId="2399" xr:uid="{00000000-0005-0000-0000-00000C2A0000}"/>
    <cellStyle name="標準 6 2 2 2 3 2" xfId="5269" xr:uid="{00000000-0005-0000-0000-00000D2A0000}"/>
    <cellStyle name="標準 6 2 2 2 3 2 2" xfId="10726" xr:uid="{00000000-0005-0000-0000-00000E2A0000}"/>
    <cellStyle name="標準 6 2 2 2 3 3" xfId="8040" xr:uid="{00000000-0005-0000-0000-00000F2A0000}"/>
    <cellStyle name="標準 6 2 2 2 4" xfId="2863" xr:uid="{00000000-0005-0000-0000-0000102A0000}"/>
    <cellStyle name="標準 6 2 2 2 4 2" xfId="5704" xr:uid="{00000000-0005-0000-0000-0000112A0000}"/>
    <cellStyle name="標準 6 2 2 2 4 2 2" xfId="11070" xr:uid="{00000000-0005-0000-0000-0000122A0000}"/>
    <cellStyle name="標準 6 2 2 2 4 3" xfId="8411" xr:uid="{00000000-0005-0000-0000-0000132A0000}"/>
    <cellStyle name="標準 6 2 2 2 5" xfId="4148" xr:uid="{00000000-0005-0000-0000-0000142A0000}"/>
    <cellStyle name="標準 6 2 2 2 5 2" xfId="9696" xr:uid="{00000000-0005-0000-0000-0000152A0000}"/>
    <cellStyle name="標準 6 2 2 2 6" xfId="6873" xr:uid="{00000000-0005-0000-0000-0000162A0000}"/>
    <cellStyle name="標準 6 2 2 3" xfId="1176" xr:uid="{00000000-0005-0000-0000-0000172A0000}"/>
    <cellStyle name="標準 6 2 2 3 2" xfId="2525" xr:uid="{00000000-0005-0000-0000-0000182A0000}"/>
    <cellStyle name="標準 6 2 2 3 2 2" xfId="5392" xr:uid="{00000000-0005-0000-0000-0000192A0000}"/>
    <cellStyle name="標準 6 2 2 3 2 2 2" xfId="10759" xr:uid="{00000000-0005-0000-0000-00001A2A0000}"/>
    <cellStyle name="標準 6 2 2 3 2 3" xfId="8075" xr:uid="{00000000-0005-0000-0000-00001B2A0000}"/>
    <cellStyle name="標準 6 2 2 3 3" xfId="2892" xr:uid="{00000000-0005-0000-0000-00001C2A0000}"/>
    <cellStyle name="標準 6 2 2 3 3 2" xfId="5733" xr:uid="{00000000-0005-0000-0000-00001D2A0000}"/>
    <cellStyle name="標準 6 2 2 3 3 2 2" xfId="11099" xr:uid="{00000000-0005-0000-0000-00001E2A0000}"/>
    <cellStyle name="標準 6 2 2 3 3 3" xfId="8440" xr:uid="{00000000-0005-0000-0000-00001F2A0000}"/>
    <cellStyle name="標準 6 2 2 3 4" xfId="4150" xr:uid="{00000000-0005-0000-0000-0000202A0000}"/>
    <cellStyle name="標準 6 2 2 3 4 2" xfId="9698" xr:uid="{00000000-0005-0000-0000-0000212A0000}"/>
    <cellStyle name="標準 6 2 2 3 5" xfId="6909" xr:uid="{00000000-0005-0000-0000-0000222A0000}"/>
    <cellStyle name="標準 6 2 2 4" xfId="2258" xr:uid="{00000000-0005-0000-0000-0000232A0000}"/>
    <cellStyle name="標準 6 2 2 4 2" xfId="5129" xr:uid="{00000000-0005-0000-0000-0000242A0000}"/>
    <cellStyle name="標準 6 2 2 4 2 2" xfId="10586" xr:uid="{00000000-0005-0000-0000-0000252A0000}"/>
    <cellStyle name="標準 6 2 2 4 3" xfId="7899" xr:uid="{00000000-0005-0000-0000-0000262A0000}"/>
    <cellStyle name="標準 6 2 2 5" xfId="2723" xr:uid="{00000000-0005-0000-0000-0000272A0000}"/>
    <cellStyle name="標準 6 2 2 5 2" xfId="5564" xr:uid="{00000000-0005-0000-0000-0000282A0000}"/>
    <cellStyle name="標準 6 2 2 5 2 2" xfId="10930" xr:uid="{00000000-0005-0000-0000-0000292A0000}"/>
    <cellStyle name="標準 6 2 2 5 3" xfId="8271" xr:uid="{00000000-0005-0000-0000-00002A2A0000}"/>
    <cellStyle name="標準 6 2 2 6" xfId="4147" xr:uid="{00000000-0005-0000-0000-00002B2A0000}"/>
    <cellStyle name="標準 6 2 2 6 2" xfId="9695" xr:uid="{00000000-0005-0000-0000-00002C2A0000}"/>
    <cellStyle name="標準 6 2 2 7" xfId="6390" xr:uid="{00000000-0005-0000-0000-00002D2A0000}"/>
    <cellStyle name="標準 6 2 3" xfId="1091" xr:uid="{00000000-0005-0000-0000-00002E2A0000}"/>
    <cellStyle name="標準 6 2 3 2" xfId="2196" xr:uid="{00000000-0005-0000-0000-00002F2A0000}"/>
    <cellStyle name="標準 6 2 3 2 2" xfId="2666" xr:uid="{00000000-0005-0000-0000-0000302A0000}"/>
    <cellStyle name="標準 6 2 3 2 2 2" xfId="5509" xr:uid="{00000000-0005-0000-0000-0000312A0000}"/>
    <cellStyle name="標準 6 2 3 2 2 2 2" xfId="10875" xr:uid="{00000000-0005-0000-0000-0000322A0000}"/>
    <cellStyle name="標準 6 2 3 2 2 3" xfId="8215" xr:uid="{00000000-0005-0000-0000-0000332A0000}"/>
    <cellStyle name="標準 6 2 3 2 3" xfId="3004" xr:uid="{00000000-0005-0000-0000-0000342A0000}"/>
    <cellStyle name="標準 6 2 3 2 3 2" xfId="5845" xr:uid="{00000000-0005-0000-0000-0000352A0000}"/>
    <cellStyle name="標準 6 2 3 2 3 2 2" xfId="11211" xr:uid="{00000000-0005-0000-0000-0000362A0000}"/>
    <cellStyle name="標準 6 2 3 2 3 3" xfId="8552" xr:uid="{00000000-0005-0000-0000-0000372A0000}"/>
    <cellStyle name="標準 6 2 3 2 4" xfId="4152" xr:uid="{00000000-0005-0000-0000-0000382A0000}"/>
    <cellStyle name="標準 6 2 3 2 4 2" xfId="9700" xr:uid="{00000000-0005-0000-0000-0000392A0000}"/>
    <cellStyle name="標準 6 2 3 2 5" xfId="7839" xr:uid="{00000000-0005-0000-0000-00003A2A0000}"/>
    <cellStyle name="標準 6 2 3 3" xfId="2372" xr:uid="{00000000-0005-0000-0000-00003B2A0000}"/>
    <cellStyle name="標準 6 2 3 3 2" xfId="5243" xr:uid="{00000000-0005-0000-0000-00003C2A0000}"/>
    <cellStyle name="標準 6 2 3 3 2 2" xfId="10700" xr:uid="{00000000-0005-0000-0000-00003D2A0000}"/>
    <cellStyle name="標準 6 2 3 3 3" xfId="8013" xr:uid="{00000000-0005-0000-0000-00003E2A0000}"/>
    <cellStyle name="標準 6 2 3 4" xfId="2837" xr:uid="{00000000-0005-0000-0000-00003F2A0000}"/>
    <cellStyle name="標準 6 2 3 4 2" xfId="5678" xr:uid="{00000000-0005-0000-0000-0000402A0000}"/>
    <cellStyle name="標準 6 2 3 4 2 2" xfId="11044" xr:uid="{00000000-0005-0000-0000-0000412A0000}"/>
    <cellStyle name="標準 6 2 3 4 3" xfId="8385" xr:uid="{00000000-0005-0000-0000-0000422A0000}"/>
    <cellStyle name="標準 6 2 3 5" xfId="4151" xr:uid="{00000000-0005-0000-0000-0000432A0000}"/>
    <cellStyle name="標準 6 2 3 5 2" xfId="9699" xr:uid="{00000000-0005-0000-0000-0000442A0000}"/>
    <cellStyle name="標準 6 2 3 6" xfId="6831" xr:uid="{00000000-0005-0000-0000-0000452A0000}"/>
    <cellStyle name="標準 6 2 4" xfId="1175" xr:uid="{00000000-0005-0000-0000-0000462A0000}"/>
    <cellStyle name="標準 6 2 4 2" xfId="2524" xr:uid="{00000000-0005-0000-0000-0000472A0000}"/>
    <cellStyle name="標準 6 2 4 2 2" xfId="5391" xr:uid="{00000000-0005-0000-0000-0000482A0000}"/>
    <cellStyle name="標準 6 2 4 2 2 2" xfId="10758" xr:uid="{00000000-0005-0000-0000-0000492A0000}"/>
    <cellStyle name="標準 6 2 4 2 3" xfId="8074" xr:uid="{00000000-0005-0000-0000-00004A2A0000}"/>
    <cellStyle name="標準 6 2 4 3" xfId="2891" xr:uid="{00000000-0005-0000-0000-00004B2A0000}"/>
    <cellStyle name="標準 6 2 4 3 2" xfId="5732" xr:uid="{00000000-0005-0000-0000-00004C2A0000}"/>
    <cellStyle name="標準 6 2 4 3 2 2" xfId="11098" xr:uid="{00000000-0005-0000-0000-00004D2A0000}"/>
    <cellStyle name="標準 6 2 4 3 3" xfId="8439" xr:uid="{00000000-0005-0000-0000-00004E2A0000}"/>
    <cellStyle name="標準 6 2 4 4" xfId="4153" xr:uid="{00000000-0005-0000-0000-00004F2A0000}"/>
    <cellStyle name="標準 6 2 4 4 2" xfId="9701" xr:uid="{00000000-0005-0000-0000-0000502A0000}"/>
    <cellStyle name="標準 6 2 4 5" xfId="6908" xr:uid="{00000000-0005-0000-0000-0000512A0000}"/>
    <cellStyle name="標準 6 2 5" xfId="2257" xr:uid="{00000000-0005-0000-0000-0000522A0000}"/>
    <cellStyle name="標準 6 2 5 2" xfId="5128" xr:uid="{00000000-0005-0000-0000-0000532A0000}"/>
    <cellStyle name="標準 6 2 5 2 2" xfId="10585" xr:uid="{00000000-0005-0000-0000-0000542A0000}"/>
    <cellStyle name="標準 6 2 5 3" xfId="7898" xr:uid="{00000000-0005-0000-0000-0000552A0000}"/>
    <cellStyle name="標準 6 2 6" xfId="2722" xr:uid="{00000000-0005-0000-0000-0000562A0000}"/>
    <cellStyle name="標準 6 2 6 2" xfId="5563" xr:uid="{00000000-0005-0000-0000-0000572A0000}"/>
    <cellStyle name="標準 6 2 6 2 2" xfId="10929" xr:uid="{00000000-0005-0000-0000-0000582A0000}"/>
    <cellStyle name="標準 6 2 6 3" xfId="8270" xr:uid="{00000000-0005-0000-0000-0000592A0000}"/>
    <cellStyle name="標準 6 2 7" xfId="4146" xr:uid="{00000000-0005-0000-0000-00005A2A0000}"/>
    <cellStyle name="標準 6 2 7 2" xfId="9694" xr:uid="{00000000-0005-0000-0000-00005B2A0000}"/>
    <cellStyle name="標準 6 2 8" xfId="5981" xr:uid="{00000000-0005-0000-0000-00005C2A0000}"/>
    <cellStyle name="標準 6 3" xfId="131" xr:uid="{00000000-0005-0000-0000-00005D2A0000}"/>
    <cellStyle name="標準 6 3 2" xfId="1139" xr:uid="{00000000-0005-0000-0000-00005E2A0000}"/>
    <cellStyle name="標準 6 3 2 2" xfId="2230" xr:uid="{00000000-0005-0000-0000-00005F2A0000}"/>
    <cellStyle name="標準 6 3 2 2 2" xfId="2694" xr:uid="{00000000-0005-0000-0000-0000602A0000}"/>
    <cellStyle name="標準 6 3 2 2 2 2" xfId="5536" xr:uid="{00000000-0005-0000-0000-0000612A0000}"/>
    <cellStyle name="標準 6 3 2 2 2 2 2" xfId="10902" xr:uid="{00000000-0005-0000-0000-0000622A0000}"/>
    <cellStyle name="標準 6 3 2 2 2 3" xfId="8243" xr:uid="{00000000-0005-0000-0000-0000632A0000}"/>
    <cellStyle name="標準 6 3 2 2 3" xfId="3031" xr:uid="{00000000-0005-0000-0000-0000642A0000}"/>
    <cellStyle name="標準 6 3 2 2 3 2" xfId="5872" xr:uid="{00000000-0005-0000-0000-0000652A0000}"/>
    <cellStyle name="標準 6 3 2 2 3 2 2" xfId="11238" xr:uid="{00000000-0005-0000-0000-0000662A0000}"/>
    <cellStyle name="標準 6 3 2 2 3 3" xfId="8579" xr:uid="{00000000-0005-0000-0000-0000672A0000}"/>
    <cellStyle name="標準 6 3 2 2 4" xfId="4156" xr:uid="{00000000-0005-0000-0000-0000682A0000}"/>
    <cellStyle name="標準 6 3 2 2 4 2" xfId="9704" xr:uid="{00000000-0005-0000-0000-0000692A0000}"/>
    <cellStyle name="標準 6 3 2 2 5" xfId="7871" xr:uid="{00000000-0005-0000-0000-00006A2A0000}"/>
    <cellStyle name="標準 6 3 2 3" xfId="2400" xr:uid="{00000000-0005-0000-0000-00006B2A0000}"/>
    <cellStyle name="標準 6 3 2 3 2" xfId="5270" xr:uid="{00000000-0005-0000-0000-00006C2A0000}"/>
    <cellStyle name="標準 6 3 2 3 2 2" xfId="10727" xr:uid="{00000000-0005-0000-0000-00006D2A0000}"/>
    <cellStyle name="標準 6 3 2 3 3" xfId="8041" xr:uid="{00000000-0005-0000-0000-00006E2A0000}"/>
    <cellStyle name="標準 6 3 2 4" xfId="2864" xr:uid="{00000000-0005-0000-0000-00006F2A0000}"/>
    <cellStyle name="標準 6 3 2 4 2" xfId="5705" xr:uid="{00000000-0005-0000-0000-0000702A0000}"/>
    <cellStyle name="標準 6 3 2 4 2 2" xfId="11071" xr:uid="{00000000-0005-0000-0000-0000712A0000}"/>
    <cellStyle name="標準 6 3 2 4 3" xfId="8412" xr:uid="{00000000-0005-0000-0000-0000722A0000}"/>
    <cellStyle name="標準 6 3 2 5" xfId="4155" xr:uid="{00000000-0005-0000-0000-0000732A0000}"/>
    <cellStyle name="標準 6 3 2 5 2" xfId="9703" xr:uid="{00000000-0005-0000-0000-0000742A0000}"/>
    <cellStyle name="標準 6 3 2 6" xfId="6874" xr:uid="{00000000-0005-0000-0000-0000752A0000}"/>
    <cellStyle name="標準 6 3 3" xfId="1140" xr:uid="{00000000-0005-0000-0000-0000762A0000}"/>
    <cellStyle name="標準 6 3 3 2" xfId="2231" xr:uid="{00000000-0005-0000-0000-0000772A0000}"/>
    <cellStyle name="標準 6 3 3 2 2" xfId="2695" xr:uid="{00000000-0005-0000-0000-0000782A0000}"/>
    <cellStyle name="標準 6 3 3 2 2 2" xfId="5537" xr:uid="{00000000-0005-0000-0000-0000792A0000}"/>
    <cellStyle name="標準 6 3 3 2 2 2 2" xfId="10903" xr:uid="{00000000-0005-0000-0000-00007A2A0000}"/>
    <cellStyle name="標準 6 3 3 2 2 3" xfId="8244" xr:uid="{00000000-0005-0000-0000-00007B2A0000}"/>
    <cellStyle name="標準 6 3 3 2 3" xfId="3032" xr:uid="{00000000-0005-0000-0000-00007C2A0000}"/>
    <cellStyle name="標準 6 3 3 2 3 2" xfId="5873" xr:uid="{00000000-0005-0000-0000-00007D2A0000}"/>
    <cellStyle name="標準 6 3 3 2 3 2 2" xfId="11239" xr:uid="{00000000-0005-0000-0000-00007E2A0000}"/>
    <cellStyle name="標準 6 3 3 2 3 3" xfId="8580" xr:uid="{00000000-0005-0000-0000-00007F2A0000}"/>
    <cellStyle name="標準 6 3 3 2 4" xfId="4158" xr:uid="{00000000-0005-0000-0000-0000802A0000}"/>
    <cellStyle name="標準 6 3 3 2 4 2" xfId="9706" xr:uid="{00000000-0005-0000-0000-0000812A0000}"/>
    <cellStyle name="標準 6 3 3 2 5" xfId="7872" xr:uid="{00000000-0005-0000-0000-0000822A0000}"/>
    <cellStyle name="標準 6 3 3 3" xfId="2401" xr:uid="{00000000-0005-0000-0000-0000832A0000}"/>
    <cellStyle name="標準 6 3 3 3 2" xfId="5271" xr:uid="{00000000-0005-0000-0000-0000842A0000}"/>
    <cellStyle name="標準 6 3 3 3 2 2" xfId="10728" xr:uid="{00000000-0005-0000-0000-0000852A0000}"/>
    <cellStyle name="標準 6 3 3 3 3" xfId="8042" xr:uid="{00000000-0005-0000-0000-0000862A0000}"/>
    <cellStyle name="標準 6 3 3 4" xfId="2865" xr:uid="{00000000-0005-0000-0000-0000872A0000}"/>
    <cellStyle name="標準 6 3 3 4 2" xfId="5706" xr:uid="{00000000-0005-0000-0000-0000882A0000}"/>
    <cellStyle name="標準 6 3 3 4 2 2" xfId="11072" xr:uid="{00000000-0005-0000-0000-0000892A0000}"/>
    <cellStyle name="標準 6 3 3 4 3" xfId="8413" xr:uid="{00000000-0005-0000-0000-00008A2A0000}"/>
    <cellStyle name="標準 6 3 3 5" xfId="4157" xr:uid="{00000000-0005-0000-0000-00008B2A0000}"/>
    <cellStyle name="標準 6 3 3 5 2" xfId="9705" xr:uid="{00000000-0005-0000-0000-00008C2A0000}"/>
    <cellStyle name="標準 6 3 3 6" xfId="6875" xr:uid="{00000000-0005-0000-0000-00008D2A0000}"/>
    <cellStyle name="標準 6 3 4" xfId="1240" xr:uid="{00000000-0005-0000-0000-00008E2A0000}"/>
    <cellStyle name="標準 6 3 5" xfId="1177" xr:uid="{00000000-0005-0000-0000-00008F2A0000}"/>
    <cellStyle name="標準 6 3 5 2" xfId="2526" xr:uid="{00000000-0005-0000-0000-0000902A0000}"/>
    <cellStyle name="標準 6 3 5 2 2" xfId="5393" xr:uid="{00000000-0005-0000-0000-0000912A0000}"/>
    <cellStyle name="標準 6 3 5 2 2 2" xfId="10760" xr:uid="{00000000-0005-0000-0000-0000922A0000}"/>
    <cellStyle name="標準 6 3 5 2 3" xfId="8076" xr:uid="{00000000-0005-0000-0000-0000932A0000}"/>
    <cellStyle name="標準 6 3 5 3" xfId="2893" xr:uid="{00000000-0005-0000-0000-0000942A0000}"/>
    <cellStyle name="標準 6 3 5 3 2" xfId="5734" xr:uid="{00000000-0005-0000-0000-0000952A0000}"/>
    <cellStyle name="標準 6 3 5 3 2 2" xfId="11100" xr:uid="{00000000-0005-0000-0000-0000962A0000}"/>
    <cellStyle name="標準 6 3 5 3 3" xfId="8441" xr:uid="{00000000-0005-0000-0000-0000972A0000}"/>
    <cellStyle name="標準 6 3 5 4" xfId="4159" xr:uid="{00000000-0005-0000-0000-0000982A0000}"/>
    <cellStyle name="標準 6 3 5 4 2" xfId="9707" xr:uid="{00000000-0005-0000-0000-0000992A0000}"/>
    <cellStyle name="標準 6 3 5 5" xfId="6910" xr:uid="{00000000-0005-0000-0000-00009A2A0000}"/>
    <cellStyle name="標準 6 3 6" xfId="2259" xr:uid="{00000000-0005-0000-0000-00009B2A0000}"/>
    <cellStyle name="標準 6 3 6 2" xfId="5130" xr:uid="{00000000-0005-0000-0000-00009C2A0000}"/>
    <cellStyle name="標準 6 3 6 2 2" xfId="10587" xr:uid="{00000000-0005-0000-0000-00009D2A0000}"/>
    <cellStyle name="標準 6 3 6 3" xfId="7900" xr:uid="{00000000-0005-0000-0000-00009E2A0000}"/>
    <cellStyle name="標準 6 3 7" xfId="2724" xr:uid="{00000000-0005-0000-0000-00009F2A0000}"/>
    <cellStyle name="標準 6 3 7 2" xfId="5565" xr:uid="{00000000-0005-0000-0000-0000A02A0000}"/>
    <cellStyle name="標準 6 3 7 2 2" xfId="10931" xr:uid="{00000000-0005-0000-0000-0000A12A0000}"/>
    <cellStyle name="標準 6 3 7 3" xfId="8272" xr:uid="{00000000-0005-0000-0000-0000A22A0000}"/>
    <cellStyle name="標準 6 3 8" xfId="4154" xr:uid="{00000000-0005-0000-0000-0000A32A0000}"/>
    <cellStyle name="標準 6 3 8 2" xfId="9702" xr:uid="{00000000-0005-0000-0000-0000A42A0000}"/>
    <cellStyle name="標準 6 4" xfId="1087" xr:uid="{00000000-0005-0000-0000-0000A52A0000}"/>
    <cellStyle name="標準 6 4 2" xfId="2193" xr:uid="{00000000-0005-0000-0000-0000A62A0000}"/>
    <cellStyle name="標準 6 4 2 2" xfId="2663" xr:uid="{00000000-0005-0000-0000-0000A72A0000}"/>
    <cellStyle name="標準 6 4 2 2 2" xfId="5506" xr:uid="{00000000-0005-0000-0000-0000A82A0000}"/>
    <cellStyle name="標準 6 4 2 2 2 2" xfId="10872" xr:uid="{00000000-0005-0000-0000-0000A92A0000}"/>
    <cellStyle name="標準 6 4 2 2 3" xfId="8212" xr:uid="{00000000-0005-0000-0000-0000AA2A0000}"/>
    <cellStyle name="標準 6 4 2 3" xfId="3001" xr:uid="{00000000-0005-0000-0000-0000AB2A0000}"/>
    <cellStyle name="標準 6 4 2 3 2" xfId="5842" xr:uid="{00000000-0005-0000-0000-0000AC2A0000}"/>
    <cellStyle name="標準 6 4 2 3 2 2" xfId="11208" xr:uid="{00000000-0005-0000-0000-0000AD2A0000}"/>
    <cellStyle name="標準 6 4 2 3 3" xfId="8549" xr:uid="{00000000-0005-0000-0000-0000AE2A0000}"/>
    <cellStyle name="標準 6 4 2 4" xfId="4160" xr:uid="{00000000-0005-0000-0000-0000AF2A0000}"/>
    <cellStyle name="標準 6 4 2 4 2" xfId="9708" xr:uid="{00000000-0005-0000-0000-0000B02A0000}"/>
    <cellStyle name="標準 6 4 2 5" xfId="7836" xr:uid="{00000000-0005-0000-0000-0000B12A0000}"/>
    <cellStyle name="標準 6 4 3" xfId="2369" xr:uid="{00000000-0005-0000-0000-0000B22A0000}"/>
    <cellStyle name="標準 6 4 3 2" xfId="5240" xr:uid="{00000000-0005-0000-0000-0000B32A0000}"/>
    <cellStyle name="標準 6 4 3 2 2" xfId="10697" xr:uid="{00000000-0005-0000-0000-0000B42A0000}"/>
    <cellStyle name="標準 6 4 3 3" xfId="8010" xr:uid="{00000000-0005-0000-0000-0000B52A0000}"/>
    <cellStyle name="標準 6 4 4" xfId="2834" xr:uid="{00000000-0005-0000-0000-0000B62A0000}"/>
    <cellStyle name="標準 6 4 4 2" xfId="5675" xr:uid="{00000000-0005-0000-0000-0000B72A0000}"/>
    <cellStyle name="標準 6 4 4 2 2" xfId="11041" xr:uid="{00000000-0005-0000-0000-0000B82A0000}"/>
    <cellStyle name="標準 6 4 4 3" xfId="8382" xr:uid="{00000000-0005-0000-0000-0000B92A0000}"/>
    <cellStyle name="標準 6 4 5" xfId="3052" xr:uid="{00000000-0005-0000-0000-0000BA2A0000}"/>
    <cellStyle name="標準 6 4 5 2" xfId="8600" xr:uid="{00000000-0005-0000-0000-0000BB2A0000}"/>
    <cellStyle name="標準 6 4 6" xfId="6827" xr:uid="{00000000-0005-0000-0000-0000BC2A0000}"/>
    <cellStyle name="標準 6 5" xfId="1174" xr:uid="{00000000-0005-0000-0000-0000BD2A0000}"/>
    <cellStyle name="標準 6 5 2" xfId="2523" xr:uid="{00000000-0005-0000-0000-0000BE2A0000}"/>
    <cellStyle name="標準 6 5 2 2" xfId="5390" xr:uid="{00000000-0005-0000-0000-0000BF2A0000}"/>
    <cellStyle name="標準 6 5 2 2 2" xfId="10757" xr:uid="{00000000-0005-0000-0000-0000C02A0000}"/>
    <cellStyle name="標準 6 5 2 3" xfId="8073" xr:uid="{00000000-0005-0000-0000-0000C12A0000}"/>
    <cellStyle name="標準 6 5 3" xfId="2890" xr:uid="{00000000-0005-0000-0000-0000C22A0000}"/>
    <cellStyle name="標準 6 5 3 2" xfId="5731" xr:uid="{00000000-0005-0000-0000-0000C32A0000}"/>
    <cellStyle name="標準 6 5 3 2 2" xfId="11097" xr:uid="{00000000-0005-0000-0000-0000C42A0000}"/>
    <cellStyle name="標準 6 5 3 3" xfId="8438" xr:uid="{00000000-0005-0000-0000-0000C52A0000}"/>
    <cellStyle name="標準 6 5 4" xfId="4161" xr:uid="{00000000-0005-0000-0000-0000C62A0000}"/>
    <cellStyle name="標準 6 5 4 2" xfId="9709" xr:uid="{00000000-0005-0000-0000-0000C72A0000}"/>
    <cellStyle name="標準 6 5 5" xfId="6907" xr:uid="{00000000-0005-0000-0000-0000C82A0000}"/>
    <cellStyle name="標準 6 6" xfId="2256" xr:uid="{00000000-0005-0000-0000-0000C92A0000}"/>
    <cellStyle name="標準 6 6 2" xfId="5127" xr:uid="{00000000-0005-0000-0000-0000CA2A0000}"/>
    <cellStyle name="標準 6 6 2 2" xfId="10584" xr:uid="{00000000-0005-0000-0000-0000CB2A0000}"/>
    <cellStyle name="標準 6 6 3" xfId="7897" xr:uid="{00000000-0005-0000-0000-0000CC2A0000}"/>
    <cellStyle name="標準 6 7" xfId="2721" xr:uid="{00000000-0005-0000-0000-0000CD2A0000}"/>
    <cellStyle name="標準 6 7 2" xfId="5562" xr:uid="{00000000-0005-0000-0000-0000CE2A0000}"/>
    <cellStyle name="標準 6 7 2 2" xfId="10928" xr:uid="{00000000-0005-0000-0000-0000CF2A0000}"/>
    <cellStyle name="標準 6 7 3" xfId="8269" xr:uid="{00000000-0005-0000-0000-0000D02A0000}"/>
    <cellStyle name="標準 6 8" xfId="4145" xr:uid="{00000000-0005-0000-0000-0000D12A0000}"/>
    <cellStyle name="標準 6 8 2" xfId="9693" xr:uid="{00000000-0005-0000-0000-0000D22A0000}"/>
    <cellStyle name="標準 6 9" xfId="5915" xr:uid="{00000000-0005-0000-0000-0000D32A0000}"/>
    <cellStyle name="標準 7" xfId="101" xr:uid="{00000000-0005-0000-0000-0000D42A0000}"/>
    <cellStyle name="標準 7 2" xfId="607" xr:uid="{00000000-0005-0000-0000-0000D52A0000}"/>
    <cellStyle name="標準 7 2 2" xfId="1141" xr:uid="{00000000-0005-0000-0000-0000D62A0000}"/>
    <cellStyle name="標準 7 2 3" xfId="1713" xr:uid="{00000000-0005-0000-0000-0000D72A0000}"/>
    <cellStyle name="標準 7 2 3 2" xfId="2341" xr:uid="{00000000-0005-0000-0000-0000D82A0000}"/>
    <cellStyle name="標準 7 2 3 2 2" xfId="5212" xr:uid="{00000000-0005-0000-0000-0000D92A0000}"/>
    <cellStyle name="標準 7 2 3 2 2 2" xfId="10669" xr:uid="{00000000-0005-0000-0000-0000DA2A0000}"/>
    <cellStyle name="標準 7 2 3 2 3" xfId="7982" xr:uid="{00000000-0005-0000-0000-0000DB2A0000}"/>
    <cellStyle name="標準 7 2 3 3" xfId="2806" xr:uid="{00000000-0005-0000-0000-0000DC2A0000}"/>
    <cellStyle name="標準 7 2 3 3 2" xfId="5647" xr:uid="{00000000-0005-0000-0000-0000DD2A0000}"/>
    <cellStyle name="標準 7 2 3 3 2 2" xfId="11013" xr:uid="{00000000-0005-0000-0000-0000DE2A0000}"/>
    <cellStyle name="標準 7 2 3 3 3" xfId="8354" xr:uid="{00000000-0005-0000-0000-0000DF2A0000}"/>
    <cellStyle name="標準 7 2 3 4" xfId="4163" xr:uid="{00000000-0005-0000-0000-0000E02A0000}"/>
    <cellStyle name="標準 7 2 3 4 2" xfId="9711" xr:uid="{00000000-0005-0000-0000-0000E12A0000}"/>
    <cellStyle name="標準 7 2 3 5" xfId="7400" xr:uid="{00000000-0005-0000-0000-0000E22A0000}"/>
    <cellStyle name="標準 7 2 4" xfId="6391" xr:uid="{00000000-0005-0000-0000-0000E32A0000}"/>
    <cellStyle name="標準 7 3" xfId="1090" xr:uid="{00000000-0005-0000-0000-0000E42A0000}"/>
    <cellStyle name="標準 7 3 2" xfId="1142" xr:uid="{00000000-0005-0000-0000-0000E52A0000}"/>
    <cellStyle name="標準 7 3 2 2" xfId="2232" xr:uid="{00000000-0005-0000-0000-0000E62A0000}"/>
    <cellStyle name="標準 7 3 2 2 2" xfId="2696" xr:uid="{00000000-0005-0000-0000-0000E72A0000}"/>
    <cellStyle name="標準 7 3 2 2 2 2" xfId="5538" xr:uid="{00000000-0005-0000-0000-0000E82A0000}"/>
    <cellStyle name="標準 7 3 2 2 2 2 2" xfId="10904" xr:uid="{00000000-0005-0000-0000-0000E92A0000}"/>
    <cellStyle name="標準 7 3 2 2 2 3" xfId="8245" xr:uid="{00000000-0005-0000-0000-0000EA2A0000}"/>
    <cellStyle name="標準 7 3 2 2 3" xfId="3033" xr:uid="{00000000-0005-0000-0000-0000EB2A0000}"/>
    <cellStyle name="標準 7 3 2 2 3 2" xfId="5874" xr:uid="{00000000-0005-0000-0000-0000EC2A0000}"/>
    <cellStyle name="標準 7 3 2 2 3 2 2" xfId="11240" xr:uid="{00000000-0005-0000-0000-0000ED2A0000}"/>
    <cellStyle name="標準 7 3 2 2 3 3" xfId="8581" xr:uid="{00000000-0005-0000-0000-0000EE2A0000}"/>
    <cellStyle name="標準 7 3 2 2 4" xfId="4166" xr:uid="{00000000-0005-0000-0000-0000EF2A0000}"/>
    <cellStyle name="標準 7 3 2 2 4 2" xfId="9714" xr:uid="{00000000-0005-0000-0000-0000F02A0000}"/>
    <cellStyle name="標準 7 3 2 2 5" xfId="7873" xr:uid="{00000000-0005-0000-0000-0000F12A0000}"/>
    <cellStyle name="標準 7 3 2 3" xfId="2402" xr:uid="{00000000-0005-0000-0000-0000F22A0000}"/>
    <cellStyle name="標準 7 3 2 3 2" xfId="5272" xr:uid="{00000000-0005-0000-0000-0000F32A0000}"/>
    <cellStyle name="標準 7 3 2 3 2 2" xfId="10729" xr:uid="{00000000-0005-0000-0000-0000F42A0000}"/>
    <cellStyle name="標準 7 3 2 3 3" xfId="8043" xr:uid="{00000000-0005-0000-0000-0000F52A0000}"/>
    <cellStyle name="標準 7 3 2 4" xfId="2866" xr:uid="{00000000-0005-0000-0000-0000F62A0000}"/>
    <cellStyle name="標準 7 3 2 4 2" xfId="5707" xr:uid="{00000000-0005-0000-0000-0000F72A0000}"/>
    <cellStyle name="標準 7 3 2 4 2 2" xfId="11073" xr:uid="{00000000-0005-0000-0000-0000F82A0000}"/>
    <cellStyle name="標準 7 3 2 4 3" xfId="8414" xr:uid="{00000000-0005-0000-0000-0000F92A0000}"/>
    <cellStyle name="標準 7 3 2 5" xfId="4165" xr:uid="{00000000-0005-0000-0000-0000FA2A0000}"/>
    <cellStyle name="標準 7 3 2 5 2" xfId="9713" xr:uid="{00000000-0005-0000-0000-0000FB2A0000}"/>
    <cellStyle name="標準 7 3 2 6" xfId="6876" xr:uid="{00000000-0005-0000-0000-0000FC2A0000}"/>
    <cellStyle name="標準 7 3 3" xfId="1179" xr:uid="{00000000-0005-0000-0000-0000FD2A0000}"/>
    <cellStyle name="標準 7 3 3 2" xfId="2528" xr:uid="{00000000-0005-0000-0000-0000FE2A0000}"/>
    <cellStyle name="標準 7 3 3 2 2" xfId="5395" xr:uid="{00000000-0005-0000-0000-0000FF2A0000}"/>
    <cellStyle name="標準 7 3 3 2 2 2" xfId="10762" xr:uid="{00000000-0005-0000-0000-0000002B0000}"/>
    <cellStyle name="標準 7 3 3 2 3" xfId="8078" xr:uid="{00000000-0005-0000-0000-0000012B0000}"/>
    <cellStyle name="標準 7 3 3 3" xfId="2895" xr:uid="{00000000-0005-0000-0000-0000022B0000}"/>
    <cellStyle name="標準 7 3 3 3 2" xfId="5736" xr:uid="{00000000-0005-0000-0000-0000032B0000}"/>
    <cellStyle name="標準 7 3 3 3 2 2" xfId="11102" xr:uid="{00000000-0005-0000-0000-0000042B0000}"/>
    <cellStyle name="標準 7 3 3 3 3" xfId="8443" xr:uid="{00000000-0005-0000-0000-0000052B0000}"/>
    <cellStyle name="標準 7 3 3 4" xfId="4167" xr:uid="{00000000-0005-0000-0000-0000062B0000}"/>
    <cellStyle name="標準 7 3 3 4 2" xfId="9715" xr:uid="{00000000-0005-0000-0000-0000072B0000}"/>
    <cellStyle name="標準 7 3 3 5" xfId="6912" xr:uid="{00000000-0005-0000-0000-0000082B0000}"/>
    <cellStyle name="標準 7 3 4" xfId="2261" xr:uid="{00000000-0005-0000-0000-0000092B0000}"/>
    <cellStyle name="標準 7 3 4 2" xfId="5132" xr:uid="{00000000-0005-0000-0000-00000A2B0000}"/>
    <cellStyle name="標準 7 3 4 2 2" xfId="10589" xr:uid="{00000000-0005-0000-0000-00000B2B0000}"/>
    <cellStyle name="標準 7 3 4 3" xfId="7902" xr:uid="{00000000-0005-0000-0000-00000C2B0000}"/>
    <cellStyle name="標準 7 3 5" xfId="2726" xr:uid="{00000000-0005-0000-0000-00000D2B0000}"/>
    <cellStyle name="標準 7 3 5 2" xfId="5567" xr:uid="{00000000-0005-0000-0000-00000E2B0000}"/>
    <cellStyle name="標準 7 3 5 2 2" xfId="10933" xr:uid="{00000000-0005-0000-0000-00000F2B0000}"/>
    <cellStyle name="標準 7 3 5 3" xfId="8274" xr:uid="{00000000-0005-0000-0000-0000102B0000}"/>
    <cellStyle name="標準 7 3 6" xfId="4164" xr:uid="{00000000-0005-0000-0000-0000112B0000}"/>
    <cellStyle name="標準 7 3 6 2" xfId="9712" xr:uid="{00000000-0005-0000-0000-0000122B0000}"/>
    <cellStyle name="標準 7 3 7" xfId="6830" xr:uid="{00000000-0005-0000-0000-0000132B0000}"/>
    <cellStyle name="標準 7 4" xfId="1143" xr:uid="{00000000-0005-0000-0000-0000142B0000}"/>
    <cellStyle name="標準 7 4 2" xfId="2233" xr:uid="{00000000-0005-0000-0000-0000152B0000}"/>
    <cellStyle name="標準 7 4 2 2" xfId="2697" xr:uid="{00000000-0005-0000-0000-0000162B0000}"/>
    <cellStyle name="標準 7 4 2 2 2" xfId="5539" xr:uid="{00000000-0005-0000-0000-0000172B0000}"/>
    <cellStyle name="標準 7 4 2 2 2 2" xfId="10905" xr:uid="{00000000-0005-0000-0000-0000182B0000}"/>
    <cellStyle name="標準 7 4 2 2 3" xfId="8246" xr:uid="{00000000-0005-0000-0000-0000192B0000}"/>
    <cellStyle name="標準 7 4 2 3" xfId="3034" xr:uid="{00000000-0005-0000-0000-00001A2B0000}"/>
    <cellStyle name="標準 7 4 2 3 2" xfId="5875" xr:uid="{00000000-0005-0000-0000-00001B2B0000}"/>
    <cellStyle name="標準 7 4 2 3 2 2" xfId="11241" xr:uid="{00000000-0005-0000-0000-00001C2B0000}"/>
    <cellStyle name="標準 7 4 2 3 3" xfId="8582" xr:uid="{00000000-0005-0000-0000-00001D2B0000}"/>
    <cellStyle name="標準 7 4 2 4" xfId="4169" xr:uid="{00000000-0005-0000-0000-00001E2B0000}"/>
    <cellStyle name="標準 7 4 2 4 2" xfId="9717" xr:uid="{00000000-0005-0000-0000-00001F2B0000}"/>
    <cellStyle name="標準 7 4 2 5" xfId="7874" xr:uid="{00000000-0005-0000-0000-0000202B0000}"/>
    <cellStyle name="標準 7 4 3" xfId="2403" xr:uid="{00000000-0005-0000-0000-0000212B0000}"/>
    <cellStyle name="標準 7 4 3 2" xfId="5273" xr:uid="{00000000-0005-0000-0000-0000222B0000}"/>
    <cellStyle name="標準 7 4 3 2 2" xfId="10730" xr:uid="{00000000-0005-0000-0000-0000232B0000}"/>
    <cellStyle name="標準 7 4 3 3" xfId="8044" xr:uid="{00000000-0005-0000-0000-0000242B0000}"/>
    <cellStyle name="標準 7 4 4" xfId="2867" xr:uid="{00000000-0005-0000-0000-0000252B0000}"/>
    <cellStyle name="標準 7 4 4 2" xfId="5708" xr:uid="{00000000-0005-0000-0000-0000262B0000}"/>
    <cellStyle name="標準 7 4 4 2 2" xfId="11074" xr:uid="{00000000-0005-0000-0000-0000272B0000}"/>
    <cellStyle name="標準 7 4 4 3" xfId="8415" xr:uid="{00000000-0005-0000-0000-0000282B0000}"/>
    <cellStyle name="標準 7 4 5" xfId="4168" xr:uid="{00000000-0005-0000-0000-0000292B0000}"/>
    <cellStyle name="標準 7 4 5 2" xfId="9716" xr:uid="{00000000-0005-0000-0000-00002A2B0000}"/>
    <cellStyle name="標準 7 4 6" xfId="6877" xr:uid="{00000000-0005-0000-0000-00002B2B0000}"/>
    <cellStyle name="標準 7 5" xfId="1178" xr:uid="{00000000-0005-0000-0000-00002C2B0000}"/>
    <cellStyle name="標準 7 5 2" xfId="2527" xr:uid="{00000000-0005-0000-0000-00002D2B0000}"/>
    <cellStyle name="標準 7 5 2 2" xfId="5394" xr:uid="{00000000-0005-0000-0000-00002E2B0000}"/>
    <cellStyle name="標準 7 5 2 2 2" xfId="10761" xr:uid="{00000000-0005-0000-0000-00002F2B0000}"/>
    <cellStyle name="標準 7 5 2 3" xfId="8077" xr:uid="{00000000-0005-0000-0000-0000302B0000}"/>
    <cellStyle name="標準 7 5 3" xfId="2894" xr:uid="{00000000-0005-0000-0000-0000312B0000}"/>
    <cellStyle name="標準 7 5 3 2" xfId="5735" xr:uid="{00000000-0005-0000-0000-0000322B0000}"/>
    <cellStyle name="標準 7 5 3 2 2" xfId="11101" xr:uid="{00000000-0005-0000-0000-0000332B0000}"/>
    <cellStyle name="標準 7 5 3 3" xfId="8442" xr:uid="{00000000-0005-0000-0000-0000342B0000}"/>
    <cellStyle name="標準 7 5 4" xfId="4170" xr:uid="{00000000-0005-0000-0000-0000352B0000}"/>
    <cellStyle name="標準 7 5 4 2" xfId="9718" xr:uid="{00000000-0005-0000-0000-0000362B0000}"/>
    <cellStyle name="標準 7 5 5" xfId="6911" xr:uid="{00000000-0005-0000-0000-0000372B0000}"/>
    <cellStyle name="標準 7 6" xfId="2260" xr:uid="{00000000-0005-0000-0000-0000382B0000}"/>
    <cellStyle name="標準 7 6 2" xfId="5131" xr:uid="{00000000-0005-0000-0000-0000392B0000}"/>
    <cellStyle name="標準 7 6 2 2" xfId="10588" xr:uid="{00000000-0005-0000-0000-00003A2B0000}"/>
    <cellStyle name="標準 7 6 3" xfId="7901" xr:uid="{00000000-0005-0000-0000-00003B2B0000}"/>
    <cellStyle name="標準 7 7" xfId="2725" xr:uid="{00000000-0005-0000-0000-00003C2B0000}"/>
    <cellStyle name="標準 7 7 2" xfId="5566" xr:uid="{00000000-0005-0000-0000-00003D2B0000}"/>
    <cellStyle name="標準 7 7 2 2" xfId="10932" xr:uid="{00000000-0005-0000-0000-00003E2B0000}"/>
    <cellStyle name="標準 7 7 3" xfId="8273" xr:uid="{00000000-0005-0000-0000-00003F2B0000}"/>
    <cellStyle name="標準 7 8" xfId="4162" xr:uid="{00000000-0005-0000-0000-0000402B0000}"/>
    <cellStyle name="標準 7 8 2" xfId="9710" xr:uid="{00000000-0005-0000-0000-0000412B0000}"/>
    <cellStyle name="標準 7 9" xfId="5929" xr:uid="{00000000-0005-0000-0000-0000422B0000}"/>
    <cellStyle name="標準 8" xfId="578" xr:uid="{00000000-0005-0000-0000-0000432B0000}"/>
    <cellStyle name="標準 8 2" xfId="1093" xr:uid="{00000000-0005-0000-0000-0000442B0000}"/>
    <cellStyle name="標準 8 2 2" xfId="1144" xr:uid="{00000000-0005-0000-0000-0000452B0000}"/>
    <cellStyle name="標準 8 2 2 2" xfId="2234" xr:uid="{00000000-0005-0000-0000-0000462B0000}"/>
    <cellStyle name="標準 8 2 2 2 2" xfId="2698" xr:uid="{00000000-0005-0000-0000-0000472B0000}"/>
    <cellStyle name="標準 8 2 2 2 2 2" xfId="5540" xr:uid="{00000000-0005-0000-0000-0000482B0000}"/>
    <cellStyle name="標準 8 2 2 2 2 2 2" xfId="10906" xr:uid="{00000000-0005-0000-0000-0000492B0000}"/>
    <cellStyle name="標準 8 2 2 2 2 3" xfId="8247" xr:uid="{00000000-0005-0000-0000-00004A2B0000}"/>
    <cellStyle name="標準 8 2 2 2 3" xfId="3035" xr:uid="{00000000-0005-0000-0000-00004B2B0000}"/>
    <cellStyle name="標準 8 2 2 2 3 2" xfId="5876" xr:uid="{00000000-0005-0000-0000-00004C2B0000}"/>
    <cellStyle name="標準 8 2 2 2 3 2 2" xfId="11242" xr:uid="{00000000-0005-0000-0000-00004D2B0000}"/>
    <cellStyle name="標準 8 2 2 2 3 3" xfId="8583" xr:uid="{00000000-0005-0000-0000-00004E2B0000}"/>
    <cellStyle name="標準 8 2 2 2 4" xfId="4174" xr:uid="{00000000-0005-0000-0000-00004F2B0000}"/>
    <cellStyle name="標準 8 2 2 2 4 2" xfId="9722" xr:uid="{00000000-0005-0000-0000-0000502B0000}"/>
    <cellStyle name="標準 8 2 2 2 5" xfId="7875" xr:uid="{00000000-0005-0000-0000-0000512B0000}"/>
    <cellStyle name="標準 8 2 2 3" xfId="2404" xr:uid="{00000000-0005-0000-0000-0000522B0000}"/>
    <cellStyle name="標準 8 2 2 3 2" xfId="5274" xr:uid="{00000000-0005-0000-0000-0000532B0000}"/>
    <cellStyle name="標準 8 2 2 3 2 2" xfId="10731" xr:uid="{00000000-0005-0000-0000-0000542B0000}"/>
    <cellStyle name="標準 8 2 2 3 3" xfId="8045" xr:uid="{00000000-0005-0000-0000-0000552B0000}"/>
    <cellStyle name="標準 8 2 2 4" xfId="2868" xr:uid="{00000000-0005-0000-0000-0000562B0000}"/>
    <cellStyle name="標準 8 2 2 4 2" xfId="5709" xr:uid="{00000000-0005-0000-0000-0000572B0000}"/>
    <cellStyle name="標準 8 2 2 4 2 2" xfId="11075" xr:uid="{00000000-0005-0000-0000-0000582B0000}"/>
    <cellStyle name="標準 8 2 2 4 3" xfId="8416" xr:uid="{00000000-0005-0000-0000-0000592B0000}"/>
    <cellStyle name="標準 8 2 2 5" xfId="4173" xr:uid="{00000000-0005-0000-0000-00005A2B0000}"/>
    <cellStyle name="標準 8 2 2 5 2" xfId="9721" xr:uid="{00000000-0005-0000-0000-00005B2B0000}"/>
    <cellStyle name="標準 8 2 2 6" xfId="6878" xr:uid="{00000000-0005-0000-0000-00005C2B0000}"/>
    <cellStyle name="標準 8 2 3" xfId="1181" xr:uid="{00000000-0005-0000-0000-00005D2B0000}"/>
    <cellStyle name="標準 8 2 3 2" xfId="2530" xr:uid="{00000000-0005-0000-0000-00005E2B0000}"/>
    <cellStyle name="標準 8 2 3 2 2" xfId="5397" xr:uid="{00000000-0005-0000-0000-00005F2B0000}"/>
    <cellStyle name="標準 8 2 3 2 2 2" xfId="10764" xr:uid="{00000000-0005-0000-0000-0000602B0000}"/>
    <cellStyle name="標準 8 2 3 2 3" xfId="8080" xr:uid="{00000000-0005-0000-0000-0000612B0000}"/>
    <cellStyle name="標準 8 2 3 3" xfId="2897" xr:uid="{00000000-0005-0000-0000-0000622B0000}"/>
    <cellStyle name="標準 8 2 3 3 2" xfId="5738" xr:uid="{00000000-0005-0000-0000-0000632B0000}"/>
    <cellStyle name="標準 8 2 3 3 2 2" xfId="11104" xr:uid="{00000000-0005-0000-0000-0000642B0000}"/>
    <cellStyle name="標準 8 2 3 3 3" xfId="8445" xr:uid="{00000000-0005-0000-0000-0000652B0000}"/>
    <cellStyle name="標準 8 2 3 4" xfId="4175" xr:uid="{00000000-0005-0000-0000-0000662B0000}"/>
    <cellStyle name="標準 8 2 3 4 2" xfId="9723" xr:uid="{00000000-0005-0000-0000-0000672B0000}"/>
    <cellStyle name="標準 8 2 3 5" xfId="6914" xr:uid="{00000000-0005-0000-0000-0000682B0000}"/>
    <cellStyle name="標準 8 2 4" xfId="2263" xr:uid="{00000000-0005-0000-0000-0000692B0000}"/>
    <cellStyle name="標準 8 2 4 2" xfId="5134" xr:uid="{00000000-0005-0000-0000-00006A2B0000}"/>
    <cellStyle name="標準 8 2 4 2 2" xfId="10591" xr:uid="{00000000-0005-0000-0000-00006B2B0000}"/>
    <cellStyle name="標準 8 2 4 3" xfId="7904" xr:uid="{00000000-0005-0000-0000-00006C2B0000}"/>
    <cellStyle name="標準 8 2 5" xfId="2728" xr:uid="{00000000-0005-0000-0000-00006D2B0000}"/>
    <cellStyle name="標準 8 2 5 2" xfId="5569" xr:uid="{00000000-0005-0000-0000-00006E2B0000}"/>
    <cellStyle name="標準 8 2 5 2 2" xfId="10935" xr:uid="{00000000-0005-0000-0000-00006F2B0000}"/>
    <cellStyle name="標準 8 2 5 3" xfId="8276" xr:uid="{00000000-0005-0000-0000-0000702B0000}"/>
    <cellStyle name="標準 8 2 6" xfId="4172" xr:uid="{00000000-0005-0000-0000-0000712B0000}"/>
    <cellStyle name="標準 8 2 6 2" xfId="9720" xr:uid="{00000000-0005-0000-0000-0000722B0000}"/>
    <cellStyle name="標準 8 2 7" xfId="6833" xr:uid="{00000000-0005-0000-0000-0000732B0000}"/>
    <cellStyle name="標準 8 3" xfId="1145" xr:uid="{00000000-0005-0000-0000-0000742B0000}"/>
    <cellStyle name="標準 8 3 2" xfId="2235" xr:uid="{00000000-0005-0000-0000-0000752B0000}"/>
    <cellStyle name="標準 8 3 2 2" xfId="2699" xr:uid="{00000000-0005-0000-0000-0000762B0000}"/>
    <cellStyle name="標準 8 3 2 2 2" xfId="5541" xr:uid="{00000000-0005-0000-0000-0000772B0000}"/>
    <cellStyle name="標準 8 3 2 2 2 2" xfId="10907" xr:uid="{00000000-0005-0000-0000-0000782B0000}"/>
    <cellStyle name="標準 8 3 2 2 3" xfId="8248" xr:uid="{00000000-0005-0000-0000-0000792B0000}"/>
    <cellStyle name="標準 8 3 2 3" xfId="3036" xr:uid="{00000000-0005-0000-0000-00007A2B0000}"/>
    <cellStyle name="標準 8 3 2 3 2" xfId="5877" xr:uid="{00000000-0005-0000-0000-00007B2B0000}"/>
    <cellStyle name="標準 8 3 2 3 2 2" xfId="11243" xr:uid="{00000000-0005-0000-0000-00007C2B0000}"/>
    <cellStyle name="標準 8 3 2 3 3" xfId="8584" xr:uid="{00000000-0005-0000-0000-00007D2B0000}"/>
    <cellStyle name="標準 8 3 2 4" xfId="4177" xr:uid="{00000000-0005-0000-0000-00007E2B0000}"/>
    <cellStyle name="標準 8 3 2 4 2" xfId="9725" xr:uid="{00000000-0005-0000-0000-00007F2B0000}"/>
    <cellStyle name="標準 8 3 2 5" xfId="7876" xr:uid="{00000000-0005-0000-0000-0000802B0000}"/>
    <cellStyle name="標準 8 3 3" xfId="2405" xr:uid="{00000000-0005-0000-0000-0000812B0000}"/>
    <cellStyle name="標準 8 3 3 2" xfId="5275" xr:uid="{00000000-0005-0000-0000-0000822B0000}"/>
    <cellStyle name="標準 8 3 3 2 2" xfId="10732" xr:uid="{00000000-0005-0000-0000-0000832B0000}"/>
    <cellStyle name="標準 8 3 3 3" xfId="8046" xr:uid="{00000000-0005-0000-0000-0000842B0000}"/>
    <cellStyle name="標準 8 3 4" xfId="2869" xr:uid="{00000000-0005-0000-0000-0000852B0000}"/>
    <cellStyle name="標準 8 3 4 2" xfId="5710" xr:uid="{00000000-0005-0000-0000-0000862B0000}"/>
    <cellStyle name="標準 8 3 4 2 2" xfId="11076" xr:uid="{00000000-0005-0000-0000-0000872B0000}"/>
    <cellStyle name="標準 8 3 4 3" xfId="8417" xr:uid="{00000000-0005-0000-0000-0000882B0000}"/>
    <cellStyle name="標準 8 3 5" xfId="4176" xr:uid="{00000000-0005-0000-0000-0000892B0000}"/>
    <cellStyle name="標準 8 3 5 2" xfId="9724" xr:uid="{00000000-0005-0000-0000-00008A2B0000}"/>
    <cellStyle name="標準 8 3 6" xfId="6879" xr:uid="{00000000-0005-0000-0000-00008B2B0000}"/>
    <cellStyle name="標準 8 4" xfId="1180" xr:uid="{00000000-0005-0000-0000-00008C2B0000}"/>
    <cellStyle name="標準 8 4 2" xfId="2529" xr:uid="{00000000-0005-0000-0000-00008D2B0000}"/>
    <cellStyle name="標準 8 4 2 2" xfId="5396" xr:uid="{00000000-0005-0000-0000-00008E2B0000}"/>
    <cellStyle name="標準 8 4 2 2 2" xfId="10763" xr:uid="{00000000-0005-0000-0000-00008F2B0000}"/>
    <cellStyle name="標準 8 4 2 3" xfId="8079" xr:uid="{00000000-0005-0000-0000-0000902B0000}"/>
    <cellStyle name="標準 8 4 3" xfId="2896" xr:uid="{00000000-0005-0000-0000-0000912B0000}"/>
    <cellStyle name="標準 8 4 3 2" xfId="5737" xr:uid="{00000000-0005-0000-0000-0000922B0000}"/>
    <cellStyle name="標準 8 4 3 2 2" xfId="11103" xr:uid="{00000000-0005-0000-0000-0000932B0000}"/>
    <cellStyle name="標準 8 4 3 3" xfId="8444" xr:uid="{00000000-0005-0000-0000-0000942B0000}"/>
    <cellStyle name="標準 8 4 4" xfId="4178" xr:uid="{00000000-0005-0000-0000-0000952B0000}"/>
    <cellStyle name="標準 8 4 4 2" xfId="9726" xr:uid="{00000000-0005-0000-0000-0000962B0000}"/>
    <cellStyle name="標準 8 4 5" xfId="6913" xr:uid="{00000000-0005-0000-0000-0000972B0000}"/>
    <cellStyle name="標準 8 5" xfId="2262" xr:uid="{00000000-0005-0000-0000-0000982B0000}"/>
    <cellStyle name="標準 8 5 2" xfId="5133" xr:uid="{00000000-0005-0000-0000-0000992B0000}"/>
    <cellStyle name="標準 8 5 2 2" xfId="10590" xr:uid="{00000000-0005-0000-0000-00009A2B0000}"/>
    <cellStyle name="標準 8 5 3" xfId="7903" xr:uid="{00000000-0005-0000-0000-00009B2B0000}"/>
    <cellStyle name="標準 8 6" xfId="2727" xr:uid="{00000000-0005-0000-0000-00009C2B0000}"/>
    <cellStyle name="標準 8 6 2" xfId="5568" xr:uid="{00000000-0005-0000-0000-00009D2B0000}"/>
    <cellStyle name="標準 8 6 2 2" xfId="10934" xr:uid="{00000000-0005-0000-0000-00009E2B0000}"/>
    <cellStyle name="標準 8 6 3" xfId="8275" xr:uid="{00000000-0005-0000-0000-00009F2B0000}"/>
    <cellStyle name="標準 8 7" xfId="4171" xr:uid="{00000000-0005-0000-0000-0000A02B0000}"/>
    <cellStyle name="標準 8 7 2" xfId="9719" xr:uid="{00000000-0005-0000-0000-0000A12B0000}"/>
    <cellStyle name="標準 8 8" xfId="6362" xr:uid="{00000000-0005-0000-0000-0000A22B0000}"/>
    <cellStyle name="標準 9" xfId="1146" xr:uid="{00000000-0005-0000-0000-0000A32B0000}"/>
    <cellStyle name="標準 9 2" xfId="1147" xr:uid="{00000000-0005-0000-0000-0000A42B0000}"/>
    <cellStyle name="標準 9 2 2" xfId="1148" xr:uid="{00000000-0005-0000-0000-0000A52B0000}"/>
    <cellStyle name="標準 9 2 2 2" xfId="2236" xr:uid="{00000000-0005-0000-0000-0000A62B0000}"/>
    <cellStyle name="標準 9 2 2 2 2" xfId="2700" xr:uid="{00000000-0005-0000-0000-0000A72B0000}"/>
    <cellStyle name="標準 9 2 2 2 2 2" xfId="5542" xr:uid="{00000000-0005-0000-0000-0000A82B0000}"/>
    <cellStyle name="標準 9 2 2 2 2 2 2" xfId="10908" xr:uid="{00000000-0005-0000-0000-0000A92B0000}"/>
    <cellStyle name="標準 9 2 2 2 2 3" xfId="8249" xr:uid="{00000000-0005-0000-0000-0000AA2B0000}"/>
    <cellStyle name="標準 9 2 2 2 3" xfId="3037" xr:uid="{00000000-0005-0000-0000-0000AB2B0000}"/>
    <cellStyle name="標準 9 2 2 2 3 2" xfId="5878" xr:uid="{00000000-0005-0000-0000-0000AC2B0000}"/>
    <cellStyle name="標準 9 2 2 2 3 2 2" xfId="11244" xr:uid="{00000000-0005-0000-0000-0000AD2B0000}"/>
    <cellStyle name="標準 9 2 2 2 3 3" xfId="8585" xr:uid="{00000000-0005-0000-0000-0000AE2B0000}"/>
    <cellStyle name="標準 9 2 2 2 4" xfId="4182" xr:uid="{00000000-0005-0000-0000-0000AF2B0000}"/>
    <cellStyle name="標準 9 2 2 2 4 2" xfId="9730" xr:uid="{00000000-0005-0000-0000-0000B02B0000}"/>
    <cellStyle name="標準 9 2 2 2 5" xfId="7877" xr:uid="{00000000-0005-0000-0000-0000B12B0000}"/>
    <cellStyle name="標準 9 2 2 3" xfId="2406" xr:uid="{00000000-0005-0000-0000-0000B22B0000}"/>
    <cellStyle name="標準 9 2 2 3 2" xfId="5276" xr:uid="{00000000-0005-0000-0000-0000B32B0000}"/>
    <cellStyle name="標準 9 2 2 3 2 2" xfId="10733" xr:uid="{00000000-0005-0000-0000-0000B42B0000}"/>
    <cellStyle name="標準 9 2 2 3 3" xfId="8047" xr:uid="{00000000-0005-0000-0000-0000B52B0000}"/>
    <cellStyle name="標準 9 2 2 4" xfId="2870" xr:uid="{00000000-0005-0000-0000-0000B62B0000}"/>
    <cellStyle name="標準 9 2 2 4 2" xfId="5711" xr:uid="{00000000-0005-0000-0000-0000B72B0000}"/>
    <cellStyle name="標準 9 2 2 4 2 2" xfId="11077" xr:uid="{00000000-0005-0000-0000-0000B82B0000}"/>
    <cellStyle name="標準 9 2 2 4 3" xfId="8418" xr:uid="{00000000-0005-0000-0000-0000B92B0000}"/>
    <cellStyle name="標準 9 2 2 5" xfId="4181" xr:uid="{00000000-0005-0000-0000-0000BA2B0000}"/>
    <cellStyle name="標準 9 2 2 5 2" xfId="9729" xr:uid="{00000000-0005-0000-0000-0000BB2B0000}"/>
    <cellStyle name="標準 9 2 2 6" xfId="6882" xr:uid="{00000000-0005-0000-0000-0000BC2B0000}"/>
    <cellStyle name="標準 9 2 3" xfId="1183" xr:uid="{00000000-0005-0000-0000-0000BD2B0000}"/>
    <cellStyle name="標準 9 2 3 2" xfId="2532" xr:uid="{00000000-0005-0000-0000-0000BE2B0000}"/>
    <cellStyle name="標準 9 2 3 2 2" xfId="5399" xr:uid="{00000000-0005-0000-0000-0000BF2B0000}"/>
    <cellStyle name="標準 9 2 3 2 2 2" xfId="10766" xr:uid="{00000000-0005-0000-0000-0000C02B0000}"/>
    <cellStyle name="標準 9 2 3 2 3" xfId="8082" xr:uid="{00000000-0005-0000-0000-0000C12B0000}"/>
    <cellStyle name="標準 9 2 3 3" xfId="2899" xr:uid="{00000000-0005-0000-0000-0000C22B0000}"/>
    <cellStyle name="標準 9 2 3 3 2" xfId="5740" xr:uid="{00000000-0005-0000-0000-0000C32B0000}"/>
    <cellStyle name="標準 9 2 3 3 2 2" xfId="11106" xr:uid="{00000000-0005-0000-0000-0000C42B0000}"/>
    <cellStyle name="標準 9 2 3 3 3" xfId="8447" xr:uid="{00000000-0005-0000-0000-0000C52B0000}"/>
    <cellStyle name="標準 9 2 3 4" xfId="4183" xr:uid="{00000000-0005-0000-0000-0000C62B0000}"/>
    <cellStyle name="標準 9 2 3 4 2" xfId="9731" xr:uid="{00000000-0005-0000-0000-0000C72B0000}"/>
    <cellStyle name="標準 9 2 3 5" xfId="6916" xr:uid="{00000000-0005-0000-0000-0000C82B0000}"/>
    <cellStyle name="標準 9 2 4" xfId="2265" xr:uid="{00000000-0005-0000-0000-0000C92B0000}"/>
    <cellStyle name="標準 9 2 4 2" xfId="5136" xr:uid="{00000000-0005-0000-0000-0000CA2B0000}"/>
    <cellStyle name="標準 9 2 4 2 2" xfId="10593" xr:uid="{00000000-0005-0000-0000-0000CB2B0000}"/>
    <cellStyle name="標準 9 2 4 3" xfId="7906" xr:uid="{00000000-0005-0000-0000-0000CC2B0000}"/>
    <cellStyle name="標準 9 2 5" xfId="2730" xr:uid="{00000000-0005-0000-0000-0000CD2B0000}"/>
    <cellStyle name="標準 9 2 5 2" xfId="5571" xr:uid="{00000000-0005-0000-0000-0000CE2B0000}"/>
    <cellStyle name="標準 9 2 5 2 2" xfId="10937" xr:uid="{00000000-0005-0000-0000-0000CF2B0000}"/>
    <cellStyle name="標準 9 2 5 3" xfId="8278" xr:uid="{00000000-0005-0000-0000-0000D02B0000}"/>
    <cellStyle name="標準 9 2 6" xfId="4180" xr:uid="{00000000-0005-0000-0000-0000D12B0000}"/>
    <cellStyle name="標準 9 2 6 2" xfId="9728" xr:uid="{00000000-0005-0000-0000-0000D22B0000}"/>
    <cellStyle name="標準 9 2 7" xfId="6881" xr:uid="{00000000-0005-0000-0000-0000D32B0000}"/>
    <cellStyle name="標準 9 3" xfId="1149" xr:uid="{00000000-0005-0000-0000-0000D42B0000}"/>
    <cellStyle name="標準 9 3 2" xfId="2237" xr:uid="{00000000-0005-0000-0000-0000D52B0000}"/>
    <cellStyle name="標準 9 3 2 2" xfId="2701" xr:uid="{00000000-0005-0000-0000-0000D62B0000}"/>
    <cellStyle name="標準 9 3 2 2 2" xfId="5543" xr:uid="{00000000-0005-0000-0000-0000D72B0000}"/>
    <cellStyle name="標準 9 3 2 2 2 2" xfId="10909" xr:uid="{00000000-0005-0000-0000-0000D82B0000}"/>
    <cellStyle name="標準 9 3 2 2 3" xfId="8250" xr:uid="{00000000-0005-0000-0000-0000D92B0000}"/>
    <cellStyle name="標準 9 3 2 3" xfId="3038" xr:uid="{00000000-0005-0000-0000-0000DA2B0000}"/>
    <cellStyle name="標準 9 3 2 3 2" xfId="5879" xr:uid="{00000000-0005-0000-0000-0000DB2B0000}"/>
    <cellStyle name="標準 9 3 2 3 2 2" xfId="11245" xr:uid="{00000000-0005-0000-0000-0000DC2B0000}"/>
    <cellStyle name="標準 9 3 2 3 3" xfId="8586" xr:uid="{00000000-0005-0000-0000-0000DD2B0000}"/>
    <cellStyle name="標準 9 3 2 4" xfId="4185" xr:uid="{00000000-0005-0000-0000-0000DE2B0000}"/>
    <cellStyle name="標準 9 3 2 4 2" xfId="9733" xr:uid="{00000000-0005-0000-0000-0000DF2B0000}"/>
    <cellStyle name="標準 9 3 2 5" xfId="7878" xr:uid="{00000000-0005-0000-0000-0000E02B0000}"/>
    <cellStyle name="標準 9 3 3" xfId="2407" xr:uid="{00000000-0005-0000-0000-0000E12B0000}"/>
    <cellStyle name="標準 9 3 3 2" xfId="5277" xr:uid="{00000000-0005-0000-0000-0000E22B0000}"/>
    <cellStyle name="標準 9 3 3 2 2" xfId="10734" xr:uid="{00000000-0005-0000-0000-0000E32B0000}"/>
    <cellStyle name="標準 9 3 3 3" xfId="8048" xr:uid="{00000000-0005-0000-0000-0000E42B0000}"/>
    <cellStyle name="標準 9 3 4" xfId="2871" xr:uid="{00000000-0005-0000-0000-0000E52B0000}"/>
    <cellStyle name="標準 9 3 4 2" xfId="5712" xr:uid="{00000000-0005-0000-0000-0000E62B0000}"/>
    <cellStyle name="標準 9 3 4 2 2" xfId="11078" xr:uid="{00000000-0005-0000-0000-0000E72B0000}"/>
    <cellStyle name="標準 9 3 4 3" xfId="8419" xr:uid="{00000000-0005-0000-0000-0000E82B0000}"/>
    <cellStyle name="標準 9 3 5" xfId="4184" xr:uid="{00000000-0005-0000-0000-0000E92B0000}"/>
    <cellStyle name="標準 9 3 5 2" xfId="9732" xr:uid="{00000000-0005-0000-0000-0000EA2B0000}"/>
    <cellStyle name="標準 9 3 6" xfId="6883" xr:uid="{00000000-0005-0000-0000-0000EB2B0000}"/>
    <cellStyle name="標準 9 4" xfId="1182" xr:uid="{00000000-0005-0000-0000-0000EC2B0000}"/>
    <cellStyle name="標準 9 4 2" xfId="2531" xr:uid="{00000000-0005-0000-0000-0000ED2B0000}"/>
    <cellStyle name="標準 9 4 2 2" xfId="5398" xr:uid="{00000000-0005-0000-0000-0000EE2B0000}"/>
    <cellStyle name="標準 9 4 2 2 2" xfId="10765" xr:uid="{00000000-0005-0000-0000-0000EF2B0000}"/>
    <cellStyle name="標準 9 4 2 3" xfId="8081" xr:uid="{00000000-0005-0000-0000-0000F02B0000}"/>
    <cellStyle name="標準 9 4 3" xfId="2898" xr:uid="{00000000-0005-0000-0000-0000F12B0000}"/>
    <cellStyle name="標準 9 4 3 2" xfId="5739" xr:uid="{00000000-0005-0000-0000-0000F22B0000}"/>
    <cellStyle name="標準 9 4 3 2 2" xfId="11105" xr:uid="{00000000-0005-0000-0000-0000F32B0000}"/>
    <cellStyle name="標準 9 4 3 3" xfId="8446" xr:uid="{00000000-0005-0000-0000-0000F42B0000}"/>
    <cellStyle name="標準 9 4 4" xfId="4186" xr:uid="{00000000-0005-0000-0000-0000F52B0000}"/>
    <cellStyle name="標準 9 4 4 2" xfId="9734" xr:uid="{00000000-0005-0000-0000-0000F62B0000}"/>
    <cellStyle name="標準 9 4 5" xfId="6915" xr:uid="{00000000-0005-0000-0000-0000F72B0000}"/>
    <cellStyle name="標準 9 5" xfId="2264" xr:uid="{00000000-0005-0000-0000-0000F82B0000}"/>
    <cellStyle name="標準 9 5 2" xfId="5135" xr:uid="{00000000-0005-0000-0000-0000F92B0000}"/>
    <cellStyle name="標準 9 5 2 2" xfId="10592" xr:uid="{00000000-0005-0000-0000-0000FA2B0000}"/>
    <cellStyle name="標準 9 5 3" xfId="7905" xr:uid="{00000000-0005-0000-0000-0000FB2B0000}"/>
    <cellStyle name="標準 9 6" xfId="2729" xr:uid="{00000000-0005-0000-0000-0000FC2B0000}"/>
    <cellStyle name="標準 9 6 2" xfId="5570" xr:uid="{00000000-0005-0000-0000-0000FD2B0000}"/>
    <cellStyle name="標準 9 6 2 2" xfId="10936" xr:uid="{00000000-0005-0000-0000-0000FE2B0000}"/>
    <cellStyle name="標準 9 6 3" xfId="8277" xr:uid="{00000000-0005-0000-0000-0000FF2B0000}"/>
    <cellStyle name="標準 9 7" xfId="4179" xr:uid="{00000000-0005-0000-0000-0000002C0000}"/>
    <cellStyle name="標準 9 7 2" xfId="9727" xr:uid="{00000000-0005-0000-0000-0000012C0000}"/>
    <cellStyle name="標準 9 8" xfId="6880" xr:uid="{00000000-0005-0000-0000-0000022C0000}"/>
    <cellStyle name="良い" xfId="7" builtinId="26" customBuiltin="1"/>
    <cellStyle name="良い 2" xfId="100" xr:uid="{00000000-0005-0000-0000-0000042C0000}"/>
  </cellStyles>
  <dxfs count="100">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fgColor indexed="64"/>
          <bgColor rgb="FFCCFF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9966FF"/>
        </patternFill>
      </fill>
    </dxf>
    <dxf>
      <fill>
        <patternFill>
          <bgColor rgb="FFCCCCFF"/>
        </patternFill>
      </fill>
    </dxf>
    <dxf>
      <fill>
        <patternFill>
          <bgColor rgb="FF9966FF"/>
        </patternFill>
      </fill>
    </dxf>
    <dxf>
      <fill>
        <patternFill>
          <bgColor rgb="FFCCCC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00FFFF"/>
        </patternFill>
      </fill>
    </dxf>
    <dxf>
      <fill>
        <patternFill>
          <bgColor rgb="FF00FFFF"/>
        </patternFill>
      </fill>
    </dxf>
    <dxf>
      <fill>
        <patternFill>
          <bgColor rgb="FF00CCFF"/>
        </patternFill>
      </fill>
    </dxf>
    <dxf>
      <fill>
        <patternFill>
          <bgColor rgb="FF00FFFF"/>
        </patternFill>
      </fill>
    </dxf>
    <dxf>
      <fill>
        <patternFill>
          <bgColor rgb="FF0099FF"/>
        </patternFill>
      </fill>
    </dxf>
    <dxf>
      <fill>
        <patternFill>
          <bgColor rgb="FF00FFFF"/>
        </patternFill>
      </fill>
    </dxf>
    <dxf>
      <fill>
        <patternFill>
          <bgColor rgb="FF0000FF"/>
        </patternFill>
      </fill>
    </dxf>
    <dxf>
      <fill>
        <patternFill>
          <bgColor rgb="FF00FFFF"/>
        </patternFill>
      </fill>
    </dxf>
    <dxf>
      <fill>
        <patternFill>
          <bgColor rgb="FF800080"/>
        </patternFill>
      </fill>
    </dxf>
    <dxf>
      <fill>
        <patternFill>
          <bgColor rgb="FF800080"/>
        </patternFill>
      </fill>
    </dxf>
    <dxf>
      <fill>
        <patternFill>
          <bgColor rgb="FFFF00FF"/>
        </patternFill>
      </fill>
    </dxf>
    <dxf>
      <fill>
        <patternFill>
          <bgColor rgb="FFFF00FF"/>
        </patternFill>
      </fill>
    </dxf>
    <dxf>
      <fill>
        <patternFill>
          <bgColor rgb="FFCC99FF"/>
        </patternFill>
      </fill>
    </dxf>
    <dxf>
      <fill>
        <patternFill>
          <bgColor rgb="FFCC99FF"/>
        </patternFill>
      </fill>
    </dxf>
    <dxf>
      <fill>
        <patternFill>
          <bgColor rgb="FF800000"/>
        </patternFill>
      </fill>
    </dxf>
    <dxf>
      <fill>
        <patternFill>
          <bgColor rgb="FF800000"/>
        </patternFill>
      </fill>
    </dxf>
    <dxf>
      <fill>
        <patternFill>
          <bgColor rgb="FFFF9900"/>
        </patternFill>
      </fill>
    </dxf>
    <dxf>
      <fill>
        <patternFill>
          <bgColor rgb="FFFF9900"/>
        </patternFill>
      </fill>
    </dxf>
    <dxf>
      <fill>
        <patternFill>
          <bgColor rgb="FF000080"/>
        </patternFill>
      </fill>
    </dxf>
    <dxf>
      <fill>
        <patternFill>
          <bgColor rgb="FFFF9900"/>
        </patternFill>
      </fill>
    </dxf>
    <dxf>
      <fill>
        <patternFill>
          <bgColor rgb="FFCCCCFF"/>
        </patternFill>
      </fill>
    </dxf>
    <dxf>
      <fill>
        <patternFill>
          <bgColor rgb="FFCCCCFF"/>
        </patternFill>
      </fill>
    </dxf>
    <dxf>
      <fill>
        <patternFill>
          <bgColor rgb="FF0066CC"/>
        </patternFill>
      </fill>
    </dxf>
    <dxf>
      <fill>
        <patternFill>
          <bgColor rgb="FFCCCCFF"/>
        </patternFill>
      </fill>
    </dxf>
    <dxf>
      <fill>
        <patternFill>
          <bgColor rgb="FFFFCCCC"/>
        </patternFill>
      </fill>
    </dxf>
    <dxf>
      <fill>
        <patternFill>
          <bgColor rgb="FFFF8080"/>
        </patternFill>
      </fill>
    </dxf>
    <dxf>
      <fill>
        <patternFill>
          <bgColor rgb="FFFF8080"/>
        </patternFill>
      </fill>
    </dxf>
    <dxf>
      <fill>
        <patternFill>
          <bgColor rgb="FFFF8080"/>
        </patternFill>
      </fill>
    </dxf>
    <dxf>
      <fill>
        <patternFill>
          <bgColor rgb="FFCCFF99"/>
        </patternFill>
      </fill>
    </dxf>
    <dxf>
      <fill>
        <patternFill>
          <bgColor rgb="FFFF8080"/>
        </patternFill>
      </fill>
    </dxf>
    <dxf>
      <fill>
        <patternFill>
          <bgColor rgb="FF00FF00"/>
        </patternFill>
      </fill>
    </dxf>
    <dxf>
      <fill>
        <patternFill>
          <bgColor rgb="FFFF8080"/>
        </patternFill>
      </fill>
    </dxf>
    <dxf>
      <fill>
        <patternFill>
          <bgColor rgb="FFFF0000"/>
        </patternFill>
      </fill>
    </dxf>
    <dxf>
      <fill>
        <patternFill>
          <bgColor rgb="FFFF8080"/>
        </patternFill>
      </fill>
    </dxf>
    <dxf>
      <fill>
        <patternFill>
          <bgColor rgb="FF006600"/>
        </patternFill>
      </fill>
    </dxf>
    <dxf>
      <fill>
        <patternFill>
          <bgColor rgb="FFFF8080"/>
        </patternFill>
      </fill>
    </dxf>
    <dxf>
      <fill>
        <patternFill>
          <bgColor rgb="FFFFCCFF"/>
        </patternFill>
      </fill>
    </dxf>
    <dxf>
      <fill>
        <patternFill>
          <bgColor rgb="FFFF99FF"/>
        </patternFill>
      </fill>
    </dxf>
    <dxf>
      <fill>
        <patternFill>
          <bgColor rgb="FFFF99FF"/>
        </patternFill>
      </fill>
    </dxf>
    <dxf>
      <fill>
        <patternFill>
          <bgColor rgb="FFFF99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499984740745262"/>
      </font>
    </dxf>
    <dxf>
      <fill>
        <patternFill>
          <bgColor theme="0" tint="-0.14996795556505021"/>
        </patternFill>
      </fill>
    </dxf>
    <dxf>
      <font>
        <color theme="0" tint="-0.499984740745262"/>
      </font>
    </dxf>
    <dxf>
      <font>
        <color theme="0" tint="-0.499984740745262"/>
      </font>
    </dxf>
    <dxf>
      <fill>
        <patternFill>
          <bgColor theme="0" tint="-0.14996795556505021"/>
        </patternFill>
      </fill>
    </dxf>
    <dxf>
      <fill>
        <patternFill>
          <bgColor theme="0" tint="-0.14996795556505021"/>
        </patternFill>
      </fill>
    </dxf>
  </dxfs>
  <tableStyles count="0" defaultTableStyle="TableStyleMedium2" defaultPivotStyle="PivotStyleMedium9"/>
  <colors>
    <mruColors>
      <color rgb="FF0070C0"/>
      <color rgb="FF0000FF"/>
      <color rgb="FF660033"/>
      <color rgb="FFFF9999"/>
      <color rgb="FFCCCCFF"/>
      <color rgb="FF9966FF"/>
      <color rgb="FFFFCCFF"/>
      <color rgb="FFFF99FF"/>
      <color rgb="FF00FFFF"/>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Statistics</a:t>
            </a:r>
            <a:endParaRPr lang="ja-JP" altLang="en-US" sz="1200"/>
          </a:p>
        </c:rich>
      </c:tx>
      <c:overlay val="0"/>
    </c:title>
    <c:autoTitleDeleted val="0"/>
    <c:plotArea>
      <c:layout>
        <c:manualLayout>
          <c:layoutTarget val="inner"/>
          <c:xMode val="edge"/>
          <c:yMode val="edge"/>
          <c:x val="0.25026724852896298"/>
          <c:y val="0.12419279605715336"/>
          <c:w val="0.6061105270744368"/>
          <c:h val="0.65312928625857236"/>
        </c:manualLayout>
      </c:layout>
      <c:barChart>
        <c:barDir val="col"/>
        <c:grouping val="clustered"/>
        <c:varyColors val="0"/>
        <c:ser>
          <c:idx val="2"/>
          <c:order val="0"/>
          <c:tx>
            <c:strRef>
              <c:f>data!$TL$28</c:f>
              <c:strCache>
                <c:ptCount val="1"/>
                <c:pt idx="0">
                  <c:v>SIMD instruction ratio
(/Effective instruction)</c:v>
                </c:pt>
              </c:strCache>
            </c:strRef>
          </c:tx>
          <c:spPr>
            <a:solidFill>
              <a:srgbClr val="00CCFF"/>
            </a:solidFill>
            <a:ln>
              <a:solidFill>
                <a:schemeClr val="tx1"/>
              </a:solidFill>
            </a:ln>
          </c:spPr>
          <c:invertIfNegative val="0"/>
          <c:cat>
            <c:strRef>
              <c:f>data!$TK$31</c:f>
              <c:strCache>
                <c:ptCount val="1"/>
                <c:pt idx="0">
                  <c:v>CMG</c:v>
                </c:pt>
              </c:strCache>
            </c:strRef>
          </c:cat>
          <c:val>
            <c:numRef>
              <c:f>data!$TL$31</c:f>
              <c:numCache>
                <c:formatCode>0.00%</c:formatCode>
                <c:ptCount val="1"/>
                <c:pt idx="0">
                  <c:v>0.80523472263252283</c:v>
                </c:pt>
              </c:numCache>
            </c:numRef>
          </c:val>
          <c:extLst>
            <c:ext xmlns:c16="http://schemas.microsoft.com/office/drawing/2014/chart" uri="{C3380CC4-5D6E-409C-BE32-E72D297353CC}">
              <c16:uniqueId val="{00000000-EFED-40F6-BA8A-9F9A5CEE6974}"/>
            </c:ext>
          </c:extLst>
        </c:ser>
        <c:ser>
          <c:idx val="1"/>
          <c:order val="1"/>
          <c:tx>
            <c:strRef>
              <c:f>data!$TM$28</c:f>
              <c:strCache>
                <c:ptCount val="1"/>
                <c:pt idx="0">
                  <c:v>Floating-point  operation peak ratio</c:v>
                </c:pt>
              </c:strCache>
            </c:strRef>
          </c:tx>
          <c:spPr>
            <a:solidFill>
              <a:srgbClr val="0070C0"/>
            </a:solidFill>
            <a:ln>
              <a:solidFill>
                <a:schemeClr val="tx1"/>
              </a:solidFill>
            </a:ln>
          </c:spPr>
          <c:invertIfNegative val="0"/>
          <c:dPt>
            <c:idx val="0"/>
            <c:invertIfNegative val="0"/>
            <c:bubble3D val="0"/>
            <c:extLst>
              <c:ext xmlns:c16="http://schemas.microsoft.com/office/drawing/2014/chart" uri="{C3380CC4-5D6E-409C-BE32-E72D297353CC}">
                <c16:uniqueId val="{00000001-EFED-40F6-BA8A-9F9A5CEE6974}"/>
              </c:ext>
            </c:extLst>
          </c:dPt>
          <c:cat>
            <c:strRef>
              <c:f>data!$TK$31</c:f>
              <c:strCache>
                <c:ptCount val="1"/>
                <c:pt idx="0">
                  <c:v>CMG</c:v>
                </c:pt>
              </c:strCache>
            </c:strRef>
          </c:cat>
          <c:val>
            <c:numRef>
              <c:f>data!$TM$31</c:f>
              <c:numCache>
                <c:formatCode>0.00%</c:formatCode>
                <c:ptCount val="1"/>
                <c:pt idx="0">
                  <c:v>3.3821170568625346E-2</c:v>
                </c:pt>
              </c:numCache>
            </c:numRef>
          </c:val>
          <c:extLst>
            <c:ext xmlns:c16="http://schemas.microsoft.com/office/drawing/2014/chart" uri="{C3380CC4-5D6E-409C-BE32-E72D297353CC}">
              <c16:uniqueId val="{00000002-EFED-40F6-BA8A-9F9A5CEE6974}"/>
            </c:ext>
          </c:extLst>
        </c:ser>
        <c:ser>
          <c:idx val="0"/>
          <c:order val="2"/>
          <c:tx>
            <c:strRef>
              <c:f>data!$TN$28</c:f>
              <c:strCache>
                <c:ptCount val="1"/>
                <c:pt idx="0">
                  <c:v>Memory throughput peak ratio</c:v>
                </c:pt>
              </c:strCache>
            </c:strRef>
          </c:tx>
          <c:spPr>
            <a:solidFill>
              <a:srgbClr val="FF0000"/>
            </a:solidFill>
            <a:ln>
              <a:solidFill>
                <a:schemeClr val="tx1"/>
              </a:solidFill>
            </a:ln>
          </c:spPr>
          <c:invertIfNegative val="0"/>
          <c:dPt>
            <c:idx val="0"/>
            <c:invertIfNegative val="0"/>
            <c:bubble3D val="0"/>
            <c:extLst>
              <c:ext xmlns:c16="http://schemas.microsoft.com/office/drawing/2014/chart" uri="{C3380CC4-5D6E-409C-BE32-E72D297353CC}">
                <c16:uniqueId val="{00000003-EFED-40F6-BA8A-9F9A5CEE6974}"/>
              </c:ext>
            </c:extLst>
          </c:dPt>
          <c:cat>
            <c:strRef>
              <c:f>data!$TK$31</c:f>
              <c:strCache>
                <c:ptCount val="1"/>
                <c:pt idx="0">
                  <c:v>CMG</c:v>
                </c:pt>
              </c:strCache>
            </c:strRef>
          </c:cat>
          <c:val>
            <c:numRef>
              <c:f>data!$TN$31</c:f>
              <c:numCache>
                <c:formatCode>0.00%</c:formatCode>
                <c:ptCount val="1"/>
                <c:pt idx="0">
                  <c:v>0.27995655745761033</c:v>
                </c:pt>
              </c:numCache>
            </c:numRef>
          </c:val>
          <c:extLst>
            <c:ext xmlns:c16="http://schemas.microsoft.com/office/drawing/2014/chart" uri="{C3380CC4-5D6E-409C-BE32-E72D297353CC}">
              <c16:uniqueId val="{00000004-EFED-40F6-BA8A-9F9A5CEE6974}"/>
            </c:ext>
          </c:extLst>
        </c:ser>
        <c:dLbls>
          <c:showLegendKey val="0"/>
          <c:showVal val="0"/>
          <c:showCatName val="0"/>
          <c:showSerName val="0"/>
          <c:showPercent val="0"/>
          <c:showBubbleSize val="0"/>
        </c:dLbls>
        <c:gapWidth val="150"/>
        <c:axId val="472860656"/>
        <c:axId val="472861048"/>
      </c:barChart>
      <c:catAx>
        <c:axId val="472860656"/>
        <c:scaling>
          <c:orientation val="minMax"/>
        </c:scaling>
        <c:delete val="0"/>
        <c:axPos val="b"/>
        <c:numFmt formatCode="General" sourceLinked="1"/>
        <c:majorTickMark val="out"/>
        <c:minorTickMark val="none"/>
        <c:tickLblPos val="nextTo"/>
        <c:txPr>
          <a:bodyPr/>
          <a:lstStyle/>
          <a:p>
            <a:pPr>
              <a:defRPr lang="ja-JP"/>
            </a:pPr>
            <a:endParaRPr lang="ja-JP"/>
          </a:p>
        </c:txPr>
        <c:crossAx val="472861048"/>
        <c:crosses val="autoZero"/>
        <c:auto val="1"/>
        <c:lblAlgn val="ctr"/>
        <c:lblOffset val="100"/>
        <c:noMultiLvlLbl val="0"/>
      </c:catAx>
      <c:valAx>
        <c:axId val="472861048"/>
        <c:scaling>
          <c:orientation val="minMax"/>
          <c:max val="1"/>
          <c:min val="0"/>
        </c:scaling>
        <c:delete val="0"/>
        <c:axPos val="l"/>
        <c:majorGridlines/>
        <c:numFmt formatCode="0%" sourceLinked="0"/>
        <c:majorTickMark val="out"/>
        <c:minorTickMark val="none"/>
        <c:tickLblPos val="nextTo"/>
        <c:txPr>
          <a:bodyPr/>
          <a:lstStyle/>
          <a:p>
            <a:pPr>
              <a:defRPr lang="ja-JP"/>
            </a:pPr>
            <a:endParaRPr lang="ja-JP"/>
          </a:p>
        </c:txPr>
        <c:crossAx val="472860656"/>
        <c:crosses val="autoZero"/>
        <c:crossBetween val="between"/>
        <c:majorUnit val="0.1"/>
      </c:valAx>
      <c:spPr>
        <a:ln>
          <a:solidFill>
            <a:schemeClr val="tx1"/>
          </a:solidFill>
        </a:ln>
      </c:spPr>
    </c:plotArea>
    <c:legend>
      <c:legendPos val="b"/>
      <c:layout>
        <c:manualLayout>
          <c:xMode val="edge"/>
          <c:yMode val="edge"/>
          <c:x val="1.0870431121498218E-2"/>
          <c:y val="0.82519783993949603"/>
          <c:w val="0.97032437283991735"/>
          <c:h val="0.14973387797603868"/>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Power Consumption</a:t>
            </a:r>
            <a:endParaRPr lang="ja-JP" altLang="en-US" sz="1200"/>
          </a:p>
        </c:rich>
      </c:tx>
      <c:overlay val="0"/>
    </c:title>
    <c:autoTitleDeleted val="0"/>
    <c:plotArea>
      <c:layout>
        <c:manualLayout>
          <c:layoutTarget val="inner"/>
          <c:xMode val="edge"/>
          <c:yMode val="edge"/>
          <c:x val="0.27028092261959275"/>
          <c:y val="0.13847800040321959"/>
          <c:w val="0.25028231775072013"/>
          <c:h val="0.76257274671661424"/>
        </c:manualLayout>
      </c:layout>
      <c:barChart>
        <c:barDir val="col"/>
        <c:grouping val="stacked"/>
        <c:varyColors val="0"/>
        <c:ser>
          <c:idx val="0"/>
          <c:order val="0"/>
          <c:tx>
            <c:strRef>
              <c:f>data!$VW$28</c:f>
              <c:strCache>
                <c:ptCount val="1"/>
                <c:pt idx="0">
                  <c:v>used by core</c:v>
                </c:pt>
              </c:strCache>
            </c:strRef>
          </c:tx>
          <c:spPr>
            <a:solidFill>
              <a:srgbClr val="0000FF"/>
            </a:solidFill>
            <a:ln>
              <a:solidFill>
                <a:schemeClr val="tx1"/>
              </a:solidFill>
            </a:ln>
          </c:spPr>
          <c:invertIfNegative val="0"/>
          <c:cat>
            <c:strRef>
              <c:f>data!$VV$31</c:f>
              <c:strCache>
                <c:ptCount val="1"/>
                <c:pt idx="0">
                  <c:v>1 CMG</c:v>
                </c:pt>
              </c:strCache>
            </c:strRef>
          </c:cat>
          <c:val>
            <c:numRef>
              <c:f>data!$VW$31</c:f>
              <c:numCache>
                <c:formatCode>0.00E+00</c:formatCode>
                <c:ptCount val="1"/>
                <c:pt idx="0">
                  <c:v>21.061871724369617</c:v>
                </c:pt>
              </c:numCache>
            </c:numRef>
          </c:val>
          <c:extLst>
            <c:ext xmlns:c16="http://schemas.microsoft.com/office/drawing/2014/chart" uri="{C3380CC4-5D6E-409C-BE32-E72D297353CC}">
              <c16:uniqueId val="{00000000-8AA3-403D-96C6-87F0E3CE7BA3}"/>
            </c:ext>
          </c:extLst>
        </c:ser>
        <c:ser>
          <c:idx val="1"/>
          <c:order val="1"/>
          <c:tx>
            <c:strRef>
              <c:f>data!$VX$28</c:f>
              <c:strCache>
                <c:ptCount val="1"/>
                <c:pt idx="0">
                  <c:v>used by L2 cache</c:v>
                </c:pt>
              </c:strCache>
            </c:strRef>
          </c:tx>
          <c:spPr>
            <a:solidFill>
              <a:srgbClr val="FF9999"/>
            </a:solidFill>
            <a:ln>
              <a:solidFill>
                <a:schemeClr val="tx1"/>
              </a:solidFill>
            </a:ln>
          </c:spPr>
          <c:invertIfNegative val="0"/>
          <c:cat>
            <c:strRef>
              <c:f>data!$VV$31</c:f>
              <c:strCache>
                <c:ptCount val="1"/>
                <c:pt idx="0">
                  <c:v>1 CMG</c:v>
                </c:pt>
              </c:strCache>
            </c:strRef>
          </c:cat>
          <c:val>
            <c:numRef>
              <c:f>data!$VX$31</c:f>
              <c:numCache>
                <c:formatCode>0.00E+00</c:formatCode>
                <c:ptCount val="1"/>
                <c:pt idx="0">
                  <c:v>2.0992464077683683</c:v>
                </c:pt>
              </c:numCache>
            </c:numRef>
          </c:val>
          <c:extLst>
            <c:ext xmlns:c16="http://schemas.microsoft.com/office/drawing/2014/chart" uri="{C3380CC4-5D6E-409C-BE32-E72D297353CC}">
              <c16:uniqueId val="{00000001-8AA3-403D-96C6-87F0E3CE7BA3}"/>
            </c:ext>
          </c:extLst>
        </c:ser>
        <c:ser>
          <c:idx val="2"/>
          <c:order val="2"/>
          <c:tx>
            <c:strRef>
              <c:f>data!$VY$28</c:f>
              <c:strCache>
                <c:ptCount val="1"/>
                <c:pt idx="0">
                  <c:v>used by memory</c:v>
                </c:pt>
              </c:strCache>
            </c:strRef>
          </c:tx>
          <c:spPr>
            <a:solidFill>
              <a:srgbClr val="FF0000"/>
            </a:solidFill>
            <a:ln>
              <a:solidFill>
                <a:schemeClr val="tx1"/>
              </a:solidFill>
            </a:ln>
          </c:spPr>
          <c:invertIfNegative val="0"/>
          <c:cat>
            <c:strRef>
              <c:f>data!$VV$31</c:f>
              <c:strCache>
                <c:ptCount val="1"/>
                <c:pt idx="0">
                  <c:v>1 CMG</c:v>
                </c:pt>
              </c:strCache>
            </c:strRef>
          </c:cat>
          <c:val>
            <c:numRef>
              <c:f>data!$VY$31</c:f>
              <c:numCache>
                <c:formatCode>0.00E+00</c:formatCode>
                <c:ptCount val="1"/>
                <c:pt idx="0">
                  <c:v>5.9431564470508471</c:v>
                </c:pt>
              </c:numCache>
            </c:numRef>
          </c:val>
          <c:extLst>
            <c:ext xmlns:c16="http://schemas.microsoft.com/office/drawing/2014/chart" uri="{C3380CC4-5D6E-409C-BE32-E72D297353CC}">
              <c16:uniqueId val="{00000002-8AA3-403D-96C6-87F0E3CE7BA3}"/>
            </c:ext>
          </c:extLst>
        </c:ser>
        <c:dLbls>
          <c:showLegendKey val="0"/>
          <c:showVal val="0"/>
          <c:showCatName val="0"/>
          <c:showSerName val="0"/>
          <c:showPercent val="0"/>
          <c:showBubbleSize val="0"/>
        </c:dLbls>
        <c:gapWidth val="60"/>
        <c:overlap val="100"/>
        <c:axId val="475563224"/>
        <c:axId val="475563616"/>
      </c:barChart>
      <c:catAx>
        <c:axId val="475563224"/>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563616"/>
        <c:crosses val="autoZero"/>
        <c:auto val="1"/>
        <c:lblAlgn val="ctr"/>
        <c:lblOffset val="100"/>
        <c:noMultiLvlLbl val="0"/>
      </c:catAx>
      <c:valAx>
        <c:axId val="475563616"/>
        <c:scaling>
          <c:orientation val="minMax"/>
          <c:min val="0"/>
        </c:scaling>
        <c:delete val="0"/>
        <c:axPos val="l"/>
        <c:majorGridlines/>
        <c:title>
          <c:tx>
            <c:rich>
              <a:bodyPr rot="0" vert="horz"/>
              <a:lstStyle/>
              <a:p>
                <a:pPr>
                  <a:defRPr lang="ja-JP"/>
                </a:pPr>
                <a:r>
                  <a:rPr lang="en-US"/>
                  <a:t>(W)</a:t>
                </a:r>
              </a:p>
            </c:rich>
          </c:tx>
          <c:layout>
            <c:manualLayout>
              <c:xMode val="edge"/>
              <c:yMode val="edge"/>
              <c:x val="2.4096385542168676E-2"/>
              <c:y val="2.23166375036454E-2"/>
            </c:manualLayout>
          </c:layout>
          <c:overlay val="0"/>
        </c:title>
        <c:numFmt formatCode="0.0E+00" sourceLinked="0"/>
        <c:majorTickMark val="out"/>
        <c:minorTickMark val="none"/>
        <c:tickLblPos val="nextTo"/>
        <c:txPr>
          <a:bodyPr/>
          <a:lstStyle/>
          <a:p>
            <a:pPr>
              <a:defRPr lang="ja-JP"/>
            </a:pPr>
            <a:endParaRPr lang="ja-JP"/>
          </a:p>
        </c:txPr>
        <c:crossAx val="475563224"/>
        <c:crosses val="autoZero"/>
        <c:crossBetween val="between"/>
      </c:valAx>
    </c:plotArea>
    <c:legend>
      <c:legendPos val="r"/>
      <c:layout>
        <c:manualLayout>
          <c:xMode val="edge"/>
          <c:yMode val="edge"/>
          <c:x val="0.53682431989348578"/>
          <c:y val="0.28160135497458078"/>
          <c:w val="0.42258049052059071"/>
          <c:h val="0.224120027152405"/>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data!$UE$42:$UE$54</c:f>
              <c:numCache>
                <c:formatCode>0.00E+00</c:formatCode>
                <c:ptCount val="13"/>
                <c:pt idx="1">
                  <c:v>1.7173198670124688E-4</c:v>
                </c:pt>
                <c:pt idx="2">
                  <c:v>1.7359971580995469E-4</c:v>
                </c:pt>
                <c:pt idx="3">
                  <c:v>1.7253095410107148E-4</c:v>
                </c:pt>
                <c:pt idx="4">
                  <c:v>1.7281329873409553E-4</c:v>
                </c:pt>
                <c:pt idx="5">
                  <c:v>1.6501387211753464E-4</c:v>
                </c:pt>
                <c:pt idx="6">
                  <c:v>1.717488773049776E-4</c:v>
                </c:pt>
                <c:pt idx="7">
                  <c:v>7.7313682102867376E-5</c:v>
                </c:pt>
                <c:pt idx="8">
                  <c:v>7.3080616098547543E-5</c:v>
                </c:pt>
                <c:pt idx="9">
                  <c:v>1.2311392024092868E-4</c:v>
                </c:pt>
                <c:pt idx="10">
                  <c:v>1.6972203047299641E-4</c:v>
                </c:pt>
                <c:pt idx="11">
                  <c:v>1.7004077991809329E-4</c:v>
                </c:pt>
                <c:pt idx="12">
                  <c:v>1.391456847543673E-4</c:v>
                </c:pt>
              </c:numCache>
            </c:numRef>
          </c:val>
          <c:extLst>
            <c:ext xmlns:c16="http://schemas.microsoft.com/office/drawing/2014/chart" uri="{C3380CC4-5D6E-409C-BE32-E72D297353CC}">
              <c16:uniqueId val="{00000000-BE3D-48B4-8FC4-576743F6BC5B}"/>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BE3D-48B4-8FC4-576743F6BC5B}"/>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data!$UG$42:$UG$54</c:f>
              <c:numCache>
                <c:formatCode>0.00E+00</c:formatCode>
                <c:ptCount val="13"/>
                <c:pt idx="1">
                  <c:v>0.19164471959644275</c:v>
                </c:pt>
                <c:pt idx="2">
                  <c:v>0.18961805500959814</c:v>
                </c:pt>
                <c:pt idx="3">
                  <c:v>0.18761124408773563</c:v>
                </c:pt>
                <c:pt idx="4">
                  <c:v>0.19186903736044006</c:v>
                </c:pt>
                <c:pt idx="5">
                  <c:v>0.19163389347996349</c:v>
                </c:pt>
                <c:pt idx="6">
                  <c:v>0.19076614009867046</c:v>
                </c:pt>
                <c:pt idx="7">
                  <c:v>0.1931582066812908</c:v>
                </c:pt>
                <c:pt idx="8">
                  <c:v>0.19102484145845713</c:v>
                </c:pt>
                <c:pt idx="9">
                  <c:v>0.19193349962446618</c:v>
                </c:pt>
                <c:pt idx="10">
                  <c:v>0.19167184845249297</c:v>
                </c:pt>
                <c:pt idx="11">
                  <c:v>0.19101835641353404</c:v>
                </c:pt>
                <c:pt idx="12">
                  <c:v>0.1927818822249116</c:v>
                </c:pt>
              </c:numCache>
            </c:numRef>
          </c:val>
          <c:extLst>
            <c:ext xmlns:c16="http://schemas.microsoft.com/office/drawing/2014/chart" uri="{C3380CC4-5D6E-409C-BE32-E72D297353CC}">
              <c16:uniqueId val="{00000002-BE3D-48B4-8FC4-576743F6BC5B}"/>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data!$UH$42:$UH$54</c:f>
              <c:numCache>
                <c:formatCode>0.00E+00</c:formatCode>
                <c:ptCount val="13"/>
                <c:pt idx="1">
                  <c:v>6.3033974396827938E-2</c:v>
                </c:pt>
                <c:pt idx="2">
                  <c:v>4.2713237917176114E-2</c:v>
                </c:pt>
                <c:pt idx="3">
                  <c:v>8.1927799283178671E-2</c:v>
                </c:pt>
                <c:pt idx="4">
                  <c:v>8.8748613900942075E-2</c:v>
                </c:pt>
                <c:pt idx="5">
                  <c:v>6.0545728974179668E-2</c:v>
                </c:pt>
                <c:pt idx="6">
                  <c:v>6.2185824040257645E-2</c:v>
                </c:pt>
                <c:pt idx="7">
                  <c:v>2.5579953045388563E-2</c:v>
                </c:pt>
                <c:pt idx="8">
                  <c:v>5.8389169683941124E-2</c:v>
                </c:pt>
                <c:pt idx="9">
                  <c:v>6.5727871234096041E-2</c:v>
                </c:pt>
                <c:pt idx="10">
                  <c:v>4.1076014859377862E-2</c:v>
                </c:pt>
                <c:pt idx="11">
                  <c:v>8.0452555400096493E-2</c:v>
                </c:pt>
                <c:pt idx="12">
                  <c:v>8.396648072995902E-2</c:v>
                </c:pt>
              </c:numCache>
            </c:numRef>
          </c:val>
          <c:extLst>
            <c:ext xmlns:c16="http://schemas.microsoft.com/office/drawing/2014/chart" uri="{C3380CC4-5D6E-409C-BE32-E72D297353CC}">
              <c16:uniqueId val="{00000003-BE3D-48B4-8FC4-576743F6BC5B}"/>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data!$UI$42:$UI$54</c:f>
              <c:numCache>
                <c:formatCode>0.00E+00</c:formatCode>
                <c:ptCount val="13"/>
                <c:pt idx="1">
                  <c:v>1.1768942732748412E-2</c:v>
                </c:pt>
                <c:pt idx="2">
                  <c:v>1.1120542584885892E-2</c:v>
                </c:pt>
                <c:pt idx="3">
                  <c:v>1.1779593786892441E-2</c:v>
                </c:pt>
                <c:pt idx="4">
                  <c:v>1.2042735984728105E-2</c:v>
                </c:pt>
                <c:pt idx="5">
                  <c:v>1.2712767706078381E-2</c:v>
                </c:pt>
                <c:pt idx="6">
                  <c:v>1.2416314152334459E-2</c:v>
                </c:pt>
                <c:pt idx="7">
                  <c:v>1.3256841623516313E-2</c:v>
                </c:pt>
                <c:pt idx="8">
                  <c:v>1.3773925797239446E-2</c:v>
                </c:pt>
                <c:pt idx="9">
                  <c:v>1.3679322148491158E-2</c:v>
                </c:pt>
                <c:pt idx="10">
                  <c:v>1.3911067295719615E-2</c:v>
                </c:pt>
                <c:pt idx="11">
                  <c:v>1.3580002713496631E-2</c:v>
                </c:pt>
                <c:pt idx="12">
                  <c:v>1.5180805525234783E-2</c:v>
                </c:pt>
              </c:numCache>
            </c:numRef>
          </c:val>
          <c:extLst>
            <c:ext xmlns:c16="http://schemas.microsoft.com/office/drawing/2014/chart" uri="{C3380CC4-5D6E-409C-BE32-E72D297353CC}">
              <c16:uniqueId val="{00000004-BE3D-48B4-8FC4-576743F6BC5B}"/>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data!$UJ$42:$UJ$54</c:f>
              <c:numCache>
                <c:formatCode>0.00E+00</c:formatCode>
                <c:ptCount val="13"/>
                <c:pt idx="1">
                  <c:v>3.8065747318027678E-3</c:v>
                </c:pt>
                <c:pt idx="2">
                  <c:v>3.8683139965984795E-3</c:v>
                </c:pt>
                <c:pt idx="3">
                  <c:v>3.8696710848865391E-3</c:v>
                </c:pt>
                <c:pt idx="4">
                  <c:v>3.8586408795409761E-3</c:v>
                </c:pt>
                <c:pt idx="5">
                  <c:v>3.8803095829657804E-3</c:v>
                </c:pt>
                <c:pt idx="6">
                  <c:v>3.861410088643609E-3</c:v>
                </c:pt>
                <c:pt idx="7">
                  <c:v>3.887523743150675E-3</c:v>
                </c:pt>
                <c:pt idx="8">
                  <c:v>3.8939240132315625E-3</c:v>
                </c:pt>
                <c:pt idx="9">
                  <c:v>3.8495015725519507E-3</c:v>
                </c:pt>
                <c:pt idx="10">
                  <c:v>3.8702213463897004E-3</c:v>
                </c:pt>
                <c:pt idx="11">
                  <c:v>3.8794269496638155E-3</c:v>
                </c:pt>
                <c:pt idx="12">
                  <c:v>3.8510777756204559E-3</c:v>
                </c:pt>
              </c:numCache>
            </c:numRef>
          </c:val>
          <c:extLst>
            <c:ext xmlns:c16="http://schemas.microsoft.com/office/drawing/2014/chart" uri="{C3380CC4-5D6E-409C-BE32-E72D297353CC}">
              <c16:uniqueId val="{00000005-BE3D-48B4-8FC4-576743F6BC5B}"/>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data!$UK$42:$UK$54</c:f>
              <c:numCache>
                <c:formatCode>0.00E+00</c:formatCode>
                <c:ptCount val="13"/>
                <c:pt idx="1">
                  <c:v>7.268221828387364E-2</c:v>
                </c:pt>
                <c:pt idx="2">
                  <c:v>6.0015136772208114E-2</c:v>
                </c:pt>
                <c:pt idx="3">
                  <c:v>7.8962331501029076E-2</c:v>
                </c:pt>
                <c:pt idx="4">
                  <c:v>7.8845531900956958E-2</c:v>
                </c:pt>
                <c:pt idx="5">
                  <c:v>6.0302713163233636E-2</c:v>
                </c:pt>
                <c:pt idx="6">
                  <c:v>7.3329663536551556E-2</c:v>
                </c:pt>
                <c:pt idx="7">
                  <c:v>5.0691646980178438E-2</c:v>
                </c:pt>
                <c:pt idx="8">
                  <c:v>6.8800693095688925E-2</c:v>
                </c:pt>
                <c:pt idx="9">
                  <c:v>7.6865645536915425E-2</c:v>
                </c:pt>
                <c:pt idx="10">
                  <c:v>6.4334175883175526E-2</c:v>
                </c:pt>
                <c:pt idx="11">
                  <c:v>8.1677042580994064E-2</c:v>
                </c:pt>
                <c:pt idx="12">
                  <c:v>8.9801006919021431E-2</c:v>
                </c:pt>
              </c:numCache>
            </c:numRef>
          </c:val>
          <c:extLst>
            <c:ext xmlns:c16="http://schemas.microsoft.com/office/drawing/2014/chart" uri="{C3380CC4-5D6E-409C-BE32-E72D297353CC}">
              <c16:uniqueId val="{00000006-BE3D-48B4-8FC4-576743F6BC5B}"/>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data!$UL$42:$UL$54</c:f>
              <c:numCache>
                <c:formatCode>0.00E+00</c:formatCode>
                <c:ptCount val="13"/>
                <c:pt idx="1">
                  <c:v>9.3983269831283511</c:v>
                </c:pt>
                <c:pt idx="2">
                  <c:v>9.3923744573767713</c:v>
                </c:pt>
                <c:pt idx="3">
                  <c:v>9.3978082614563441</c:v>
                </c:pt>
                <c:pt idx="4">
                  <c:v>9.4057501579582716</c:v>
                </c:pt>
                <c:pt idx="5">
                  <c:v>9.4074085096029449</c:v>
                </c:pt>
                <c:pt idx="6">
                  <c:v>9.4038297536250806</c:v>
                </c:pt>
                <c:pt idx="7">
                  <c:v>9.4065735443302838</c:v>
                </c:pt>
                <c:pt idx="8">
                  <c:v>9.4138495269957048</c:v>
                </c:pt>
                <c:pt idx="9">
                  <c:v>9.409457391874934</c:v>
                </c:pt>
                <c:pt idx="10">
                  <c:v>9.413153306412875</c:v>
                </c:pt>
                <c:pt idx="11">
                  <c:v>9.4129234400769786</c:v>
                </c:pt>
                <c:pt idx="12">
                  <c:v>9.4117771633651035</c:v>
                </c:pt>
              </c:numCache>
            </c:numRef>
          </c:val>
          <c:extLst>
            <c:ext xmlns:c16="http://schemas.microsoft.com/office/drawing/2014/chart" uri="{C3380CC4-5D6E-409C-BE32-E72D297353CC}">
              <c16:uniqueId val="{00000007-BE3D-48B4-8FC4-576743F6BC5B}"/>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data!$UM$42:$UM$54</c:f>
              <c:numCache>
                <c:formatCode>0.00E+00</c:formatCode>
                <c:ptCount val="13"/>
                <c:pt idx="1">
                  <c:v>2.2394395374596625</c:v>
                </c:pt>
                <c:pt idx="2">
                  <c:v>2.2383224333011498</c:v>
                </c:pt>
                <c:pt idx="3">
                  <c:v>2.2400739701718098</c:v>
                </c:pt>
                <c:pt idx="4">
                  <c:v>2.2388961845876945</c:v>
                </c:pt>
                <c:pt idx="5">
                  <c:v>2.2397471034545449</c:v>
                </c:pt>
                <c:pt idx="6">
                  <c:v>2.2395097339054271</c:v>
                </c:pt>
                <c:pt idx="7">
                  <c:v>2.2408591516504894</c:v>
                </c:pt>
                <c:pt idx="8">
                  <c:v>2.2442253238910226</c:v>
                </c:pt>
                <c:pt idx="9">
                  <c:v>2.2439900985646015</c:v>
                </c:pt>
                <c:pt idx="10">
                  <c:v>2.2435404230652471</c:v>
                </c:pt>
                <c:pt idx="11">
                  <c:v>2.2435030164106933</c:v>
                </c:pt>
                <c:pt idx="12">
                  <c:v>2.2448056252484707</c:v>
                </c:pt>
              </c:numCache>
            </c:numRef>
          </c:val>
          <c:extLst>
            <c:ext xmlns:c16="http://schemas.microsoft.com/office/drawing/2014/chart" uri="{C3380CC4-5D6E-409C-BE32-E72D297353CC}">
              <c16:uniqueId val="{00000008-BE3D-48B4-8FC4-576743F6BC5B}"/>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data!$UN$42:$UN$54</c:f>
              <c:numCache>
                <c:formatCode>0.00E+00</c:formatCode>
                <c:ptCount val="13"/>
                <c:pt idx="1">
                  <c:v>11.547031132133613</c:v>
                </c:pt>
                <c:pt idx="2">
                  <c:v>11.550405690900046</c:v>
                </c:pt>
                <c:pt idx="3">
                  <c:v>11.547686612231226</c:v>
                </c:pt>
                <c:pt idx="4">
                  <c:v>11.532237277100167</c:v>
                </c:pt>
                <c:pt idx="5">
                  <c:v>11.536835337631434</c:v>
                </c:pt>
                <c:pt idx="6">
                  <c:v>11.534630944409782</c:v>
                </c:pt>
                <c:pt idx="7">
                  <c:v>11.539462094952171</c:v>
                </c:pt>
                <c:pt idx="8">
                  <c:v>11.526775826071399</c:v>
                </c:pt>
                <c:pt idx="9">
                  <c:v>11.526389727489196</c:v>
                </c:pt>
                <c:pt idx="10">
                  <c:v>11.533672744922542</c:v>
                </c:pt>
                <c:pt idx="11">
                  <c:v>11.525473011396548</c:v>
                </c:pt>
                <c:pt idx="12">
                  <c:v>11.519814047674322</c:v>
                </c:pt>
              </c:numCache>
            </c:numRef>
          </c:val>
          <c:extLst>
            <c:ext xmlns:c16="http://schemas.microsoft.com/office/drawing/2014/chart" uri="{C3380CC4-5D6E-409C-BE32-E72D297353CC}">
              <c16:uniqueId val="{00000009-BE3D-48B4-8FC4-576743F6BC5B}"/>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data!$UO$42:$UO$54</c:f>
              <c:numCache>
                <c:formatCode>0.00E+00</c:formatCode>
                <c:ptCount val="13"/>
                <c:pt idx="1">
                  <c:v>2.4981497891362497E-3</c:v>
                </c:pt>
                <c:pt idx="2">
                  <c:v>2.4823082106202629E-3</c:v>
                </c:pt>
                <c:pt idx="3">
                  <c:v>2.5421148490109187E-3</c:v>
                </c:pt>
                <c:pt idx="4">
                  <c:v>2.5927784109016161E-3</c:v>
                </c:pt>
                <c:pt idx="5">
                  <c:v>2.5714258789574008E-3</c:v>
                </c:pt>
                <c:pt idx="6">
                  <c:v>2.5087261968117515E-3</c:v>
                </c:pt>
                <c:pt idx="7">
                  <c:v>2.5326089638614438E-3</c:v>
                </c:pt>
                <c:pt idx="8">
                  <c:v>2.592071568587023E-3</c:v>
                </c:pt>
                <c:pt idx="9">
                  <c:v>2.5723847220213859E-3</c:v>
                </c:pt>
                <c:pt idx="10">
                  <c:v>2.5306476919557818E-3</c:v>
                </c:pt>
                <c:pt idx="11">
                  <c:v>2.5338508732273422E-3</c:v>
                </c:pt>
                <c:pt idx="12">
                  <c:v>2.5770373016717569E-3</c:v>
                </c:pt>
              </c:numCache>
            </c:numRef>
          </c:val>
          <c:extLst>
            <c:ext xmlns:c16="http://schemas.microsoft.com/office/drawing/2014/chart" uri="{C3380CC4-5D6E-409C-BE32-E72D297353CC}">
              <c16:uniqueId val="{0000000A-BE3D-48B4-8FC4-576743F6BC5B}"/>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data!$UP$42:$UP$54</c:f>
              <c:numCache>
                <c:formatCode>0.00E+00</c:formatCode>
                <c:ptCount val="13"/>
                <c:pt idx="1">
                  <c:v>1.2107504668520674</c:v>
                </c:pt>
                <c:pt idx="2">
                  <c:v>1.210740401827803</c:v>
                </c:pt>
                <c:pt idx="3">
                  <c:v>1.2109200320342262</c:v>
                </c:pt>
                <c:pt idx="4">
                  <c:v>1.210463106063814</c:v>
                </c:pt>
                <c:pt idx="5">
                  <c:v>1.2115420347525219</c:v>
                </c:pt>
                <c:pt idx="6">
                  <c:v>1.2109038208401681</c:v>
                </c:pt>
                <c:pt idx="7">
                  <c:v>1.2117380104682862</c:v>
                </c:pt>
                <c:pt idx="8">
                  <c:v>1.2112079745775435</c:v>
                </c:pt>
                <c:pt idx="9">
                  <c:v>1.2109687123358561</c:v>
                </c:pt>
                <c:pt idx="10">
                  <c:v>1.2115335702076433</c:v>
                </c:pt>
                <c:pt idx="11">
                  <c:v>1.2109605491621624</c:v>
                </c:pt>
                <c:pt idx="12">
                  <c:v>1.2106167675306683</c:v>
                </c:pt>
              </c:numCache>
            </c:numRef>
          </c:val>
          <c:extLst>
            <c:ext xmlns:c16="http://schemas.microsoft.com/office/drawing/2014/chart" uri="{C3380CC4-5D6E-409C-BE32-E72D297353CC}">
              <c16:uniqueId val="{0000000B-BE3D-48B4-8FC4-576743F6BC5B}"/>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BE3D-48B4-8FC4-576743F6BC5B}"/>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data!$UR$42:$UR$54</c:f>
              <c:numCache>
                <c:formatCode>0.00E+00</c:formatCode>
                <c:ptCount val="13"/>
                <c:pt idx="1">
                  <c:v>6.4509660301359253E-2</c:v>
                </c:pt>
                <c:pt idx="2">
                  <c:v>6.400769257553722E-2</c:v>
                </c:pt>
                <c:pt idx="3">
                  <c:v>6.5154210315620242E-2</c:v>
                </c:pt>
                <c:pt idx="4">
                  <c:v>6.5667514401579488E-2</c:v>
                </c:pt>
                <c:pt idx="5">
                  <c:v>6.5396205821060219E-2</c:v>
                </c:pt>
                <c:pt idx="6">
                  <c:v>6.477118389027979E-2</c:v>
                </c:pt>
                <c:pt idx="7">
                  <c:v>6.4944469727742149E-2</c:v>
                </c:pt>
                <c:pt idx="8">
                  <c:v>6.6134135094987279E-2</c:v>
                </c:pt>
                <c:pt idx="9">
                  <c:v>6.5977743730147406E-2</c:v>
                </c:pt>
                <c:pt idx="10">
                  <c:v>6.5150327584794485E-2</c:v>
                </c:pt>
                <c:pt idx="11">
                  <c:v>6.5264489444471899E-2</c:v>
                </c:pt>
                <c:pt idx="12">
                  <c:v>6.489987589629391E-2</c:v>
                </c:pt>
              </c:numCache>
            </c:numRef>
          </c:val>
          <c:extLst>
            <c:ext xmlns:c16="http://schemas.microsoft.com/office/drawing/2014/chart" uri="{C3380CC4-5D6E-409C-BE32-E72D297353CC}">
              <c16:uniqueId val="{0000000D-BE3D-48B4-8FC4-576743F6BC5B}"/>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data!$US$42:$US$54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E-BE3D-48B4-8FC4-576743F6BC5B}"/>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data!$UT$42:$UT$54</c:f>
              <c:numCache>
                <c:formatCode>0.00E+00</c:formatCode>
                <c:ptCount val="13"/>
                <c:pt idx="1">
                  <c:v>2.8010488545990864</c:v>
                </c:pt>
                <c:pt idx="2">
                  <c:v>2.7941776205443074</c:v>
                </c:pt>
                <c:pt idx="3">
                  <c:v>2.8020170143282885</c:v>
                </c:pt>
                <c:pt idx="4">
                  <c:v>2.8022008570070893</c:v>
                </c:pt>
                <c:pt idx="5">
                  <c:v>2.8038709640792279</c:v>
                </c:pt>
                <c:pt idx="6">
                  <c:v>2.803253596513787</c:v>
                </c:pt>
                <c:pt idx="7">
                  <c:v>2.8002163752694629</c:v>
                </c:pt>
                <c:pt idx="8">
                  <c:v>2.7950403760897378</c:v>
                </c:pt>
                <c:pt idx="9">
                  <c:v>2.794782781886755</c:v>
                </c:pt>
                <c:pt idx="10">
                  <c:v>2.7969469100801603</c:v>
                </c:pt>
                <c:pt idx="11">
                  <c:v>2.7951378356147885</c:v>
                </c:pt>
                <c:pt idx="12">
                  <c:v>2.7954072507973908</c:v>
                </c:pt>
              </c:numCache>
            </c:numRef>
          </c:val>
          <c:extLst>
            <c:ext xmlns:c16="http://schemas.microsoft.com/office/drawing/2014/chart" uri="{C3380CC4-5D6E-409C-BE32-E72D297353CC}">
              <c16:uniqueId val="{0000000F-BE3D-48B4-8FC4-576743F6BC5B}"/>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data!$UU$42:$UU$54</c:f>
              <c:numCache>
                <c:formatCode>0.00E+00</c:formatCode>
                <c:ptCount val="13"/>
                <c:pt idx="1">
                  <c:v>0.54283516205736504</c:v>
                </c:pt>
                <c:pt idx="2">
                  <c:v>0.54424727427240516</c:v>
                </c:pt>
                <c:pt idx="3">
                  <c:v>0.54321395085772095</c:v>
                </c:pt>
                <c:pt idx="4">
                  <c:v>0.54129543071121033</c:v>
                </c:pt>
                <c:pt idx="5">
                  <c:v>0.54264424696941693</c:v>
                </c:pt>
                <c:pt idx="6">
                  <c:v>0.54340912036526412</c:v>
                </c:pt>
                <c:pt idx="7">
                  <c:v>0.54355937942920063</c:v>
                </c:pt>
                <c:pt idx="8">
                  <c:v>0.54375407741180637</c:v>
                </c:pt>
                <c:pt idx="9">
                  <c:v>0.54380463341385066</c:v>
                </c:pt>
                <c:pt idx="10">
                  <c:v>0.54354196597828752</c:v>
                </c:pt>
                <c:pt idx="11">
                  <c:v>0.54323621864065896</c:v>
                </c:pt>
                <c:pt idx="12">
                  <c:v>0.54222620045317771</c:v>
                </c:pt>
              </c:numCache>
            </c:numRef>
          </c:val>
          <c:extLst>
            <c:ext xmlns:c16="http://schemas.microsoft.com/office/drawing/2014/chart" uri="{C3380CC4-5D6E-409C-BE32-E72D297353CC}">
              <c16:uniqueId val="{00000010-BE3D-48B4-8FC4-576743F6BC5B}"/>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data!$UV$42:$UV$54</c:f>
              <c:numCache>
                <c:formatCode>0.00E+00</c:formatCode>
                <c:ptCount val="13"/>
                <c:pt idx="1">
                  <c:v>0.16749174983096907</c:v>
                </c:pt>
                <c:pt idx="2">
                  <c:v>0.16818216248128132</c:v>
                </c:pt>
                <c:pt idx="3">
                  <c:v>0.16703437748683089</c:v>
                </c:pt>
                <c:pt idx="4">
                  <c:v>0.16726026820938428</c:v>
                </c:pt>
                <c:pt idx="5">
                  <c:v>0.16758008541521177</c:v>
                </c:pt>
                <c:pt idx="6">
                  <c:v>0.16610739665688343</c:v>
                </c:pt>
                <c:pt idx="7">
                  <c:v>0.16860464253564844</c:v>
                </c:pt>
                <c:pt idx="8">
                  <c:v>0.16918260574874366</c:v>
                </c:pt>
                <c:pt idx="9">
                  <c:v>0.16884037433767721</c:v>
                </c:pt>
                <c:pt idx="10">
                  <c:v>0.16924798035036301</c:v>
                </c:pt>
                <c:pt idx="11">
                  <c:v>0.16929768301246162</c:v>
                </c:pt>
                <c:pt idx="12">
                  <c:v>0.16962943505237169</c:v>
                </c:pt>
              </c:numCache>
            </c:numRef>
          </c:val>
          <c:extLst>
            <c:ext xmlns:c16="http://schemas.microsoft.com/office/drawing/2014/chart" uri="{C3380CC4-5D6E-409C-BE32-E72D297353CC}">
              <c16:uniqueId val="{00000011-BE3D-48B4-8FC4-576743F6BC5B}"/>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data!$UW$42:$UW$54</c:f>
              <c:numCache>
                <c:formatCode>0.00E+00</c:formatCode>
                <c:ptCount val="13"/>
                <c:pt idx="1">
                  <c:v>0.43630433462154172</c:v>
                </c:pt>
                <c:pt idx="2">
                  <c:v>0.43650484754732582</c:v>
                </c:pt>
                <c:pt idx="3">
                  <c:v>0.43660675306736541</c:v>
                </c:pt>
                <c:pt idx="4">
                  <c:v>0.43717042802094369</c:v>
                </c:pt>
                <c:pt idx="5">
                  <c:v>0.43542007622160073</c:v>
                </c:pt>
                <c:pt idx="6">
                  <c:v>0.43662663257690804</c:v>
                </c:pt>
                <c:pt idx="7">
                  <c:v>0.43536990386653568</c:v>
                </c:pt>
                <c:pt idx="8">
                  <c:v>0.43608673846846258</c:v>
                </c:pt>
                <c:pt idx="9">
                  <c:v>0.4361415428832584</c:v>
                </c:pt>
                <c:pt idx="10">
                  <c:v>0.43592910600089368</c:v>
                </c:pt>
                <c:pt idx="11">
                  <c:v>0.43643971590656655</c:v>
                </c:pt>
                <c:pt idx="12">
                  <c:v>0.43683086743991983</c:v>
                </c:pt>
              </c:numCache>
            </c:numRef>
          </c:val>
          <c:extLst>
            <c:ext xmlns:c16="http://schemas.microsoft.com/office/drawing/2014/chart" uri="{C3380CC4-5D6E-409C-BE32-E72D297353CC}">
              <c16:uniqueId val="{00000012-BE3D-48B4-8FC4-576743F6BC5B}"/>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data!$UX$42:$UX$54</c:f>
              <c:numCache>
                <c:formatCode>0.00E+00</c:formatCode>
                <c:ptCount val="13"/>
                <c:pt idx="1">
                  <c:v>5.1007498451847032E-5</c:v>
                </c:pt>
                <c:pt idx="2">
                  <c:v>3.3449664763932301E-6</c:v>
                </c:pt>
                <c:pt idx="3">
                  <c:v>7.3725037332153895E-6</c:v>
                </c:pt>
                <c:pt idx="4">
                  <c:v>0</c:v>
                </c:pt>
                <c:pt idx="5">
                  <c:v>0</c:v>
                </c:pt>
                <c:pt idx="6">
                  <c:v>8.2470225844385309E-5</c:v>
                </c:pt>
                <c:pt idx="7">
                  <c:v>2.2530506889118965E-6</c:v>
                </c:pt>
                <c:pt idx="8">
                  <c:v>0</c:v>
                </c:pt>
                <c:pt idx="9">
                  <c:v>1.254724941069743E-6</c:v>
                </c:pt>
                <c:pt idx="10">
                  <c:v>1.5967837608260449E-5</c:v>
                </c:pt>
                <c:pt idx="11">
                  <c:v>4.0284623738478641E-5</c:v>
                </c:pt>
                <c:pt idx="12">
                  <c:v>0</c:v>
                </c:pt>
              </c:numCache>
            </c:numRef>
          </c:val>
          <c:extLst>
            <c:ext xmlns:c16="http://schemas.microsoft.com/office/drawing/2014/chart" uri="{C3380CC4-5D6E-409C-BE32-E72D297353CC}">
              <c16:uniqueId val="{00000013-BE3D-48B4-8FC4-576743F6BC5B}"/>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14-BE3D-48B4-8FC4-576743F6BC5B}"/>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2.6977082971089437</c:v>
                </c:pt>
              </c:numCache>
            </c:numRef>
          </c:val>
          <c:extLst>
            <c:ext xmlns:c16="http://schemas.microsoft.com/office/drawing/2014/chart" uri="{C3380CC4-5D6E-409C-BE32-E72D297353CC}">
              <c16:uniqueId val="{00000015-BE3D-48B4-8FC4-576743F6BC5B}"/>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0.24891640524617673</c:v>
                </c:pt>
              </c:numCache>
            </c:numRef>
          </c:val>
          <c:extLst>
            <c:ext xmlns:c16="http://schemas.microsoft.com/office/drawing/2014/chart" uri="{C3380CC4-5D6E-409C-BE32-E72D297353CC}">
              <c16:uniqueId val="{00000016-BE3D-48B4-8FC4-576743F6BC5B}"/>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4.8313498374958783</c:v>
                </c:pt>
              </c:numCache>
            </c:numRef>
          </c:val>
          <c:extLst>
            <c:ext xmlns:c16="http://schemas.microsoft.com/office/drawing/2014/chart" uri="{C3380CC4-5D6E-409C-BE32-E72D297353CC}">
              <c16:uniqueId val="{00000017-BE3D-48B4-8FC4-576743F6BC5B}"/>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4.8122009547692608</c:v>
                </c:pt>
              </c:numCache>
            </c:numRef>
          </c:val>
          <c:extLst>
            <c:ext xmlns:c16="http://schemas.microsoft.com/office/drawing/2014/chart" uri="{C3380CC4-5D6E-409C-BE32-E72D297353CC}">
              <c16:uniqueId val="{00000018-BE3D-48B4-8FC4-576743F6BC5B}"/>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8.0487448380000011</c:v>
                </c:pt>
              </c:numCache>
            </c:numRef>
          </c:val>
          <c:extLst>
            <c:ext xmlns:c16="http://schemas.microsoft.com/office/drawing/2014/chart" uri="{C3380CC4-5D6E-409C-BE32-E72D297353CC}">
              <c16:uniqueId val="{00000019-BE3D-48B4-8FC4-576743F6BC5B}"/>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449140221108725"/>
          <c:w val="0.64331721692683153"/>
          <c:h val="0.65265417830835659"/>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3.8513357702411825E-3</c:v>
                </c:pt>
                <c:pt idx="1">
                  <c:v>1.4460015425210346E-2</c:v>
                </c:pt>
              </c:numCache>
            </c:numRef>
          </c:val>
          <c:extLst>
            <c:ext xmlns:c16="http://schemas.microsoft.com/office/drawing/2014/chart" uri="{C3380CC4-5D6E-409C-BE32-E72D297353CC}">
              <c16:uniqueId val="{00000000-7AFC-4E84-B01A-67E6E0D6229B}"/>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0.11383445237557867</c:v>
                </c:pt>
                <c:pt idx="1">
                  <c:v>0.10328164728867048</c:v>
                </c:pt>
              </c:numCache>
            </c:numRef>
          </c:val>
          <c:extLst>
            <c:ext xmlns:c16="http://schemas.microsoft.com/office/drawing/2014/chart" uri="{C3380CC4-5D6E-409C-BE32-E72D297353CC}">
              <c16:uniqueId val="{00000001-7AFC-4E84-B01A-67E6E0D6229B}"/>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1.3652477722509927E-3</c:v>
                </c:pt>
                <c:pt idx="1">
                  <c:v>0</c:v>
                </c:pt>
              </c:numCache>
            </c:numRef>
          </c:val>
          <c:extLst>
            <c:ext xmlns:c16="http://schemas.microsoft.com/office/drawing/2014/chart" uri="{C3380CC4-5D6E-409C-BE32-E72D297353CC}">
              <c16:uniqueId val="{00000002-7AFC-4E84-B01A-67E6E0D6229B}"/>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4689840599193394E-2"/>
          <c:y val="0.82561112522225033"/>
          <c:w val="0.96708885474681516"/>
          <c:h val="0.14933337566675134"/>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1815787828141972"/>
          <c:y val="9.9022625890310221E-3"/>
        </c:manualLayout>
      </c:layout>
      <c:overlay val="0"/>
    </c:title>
    <c:autoTitleDeleted val="0"/>
    <c:plotArea>
      <c:layout>
        <c:manualLayout>
          <c:layoutTarget val="inner"/>
          <c:xMode val="edge"/>
          <c:yMode val="edge"/>
          <c:x val="8.2471390388621474E-2"/>
          <c:y val="6.118019327636337E-2"/>
          <c:w val="0.53477862820457778"/>
          <c:h val="0.73069860484576643"/>
        </c:manualLayout>
      </c:layout>
      <c:barChart>
        <c:barDir val="col"/>
        <c:grouping val="stacked"/>
        <c:varyColors val="0"/>
        <c:ser>
          <c:idx val="5"/>
          <c:order val="6"/>
          <c:tx>
            <c:strRef>
              <c:f>data!$TS$38</c:f>
              <c:strCache>
                <c:ptCount val="1"/>
                <c:pt idx="0">
                  <c:v>Prefetch port busy wait</c:v>
                </c:pt>
              </c:strCache>
            </c:strRef>
          </c:tx>
          <c:spPr>
            <a:solidFill>
              <a:srgbClr val="FF99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data!$TS$42:$TS$54</c:f>
              <c:numCache>
                <c:formatCode>0.00E+00</c:formatCode>
                <c:ptCount val="13"/>
                <c:pt idx="1">
                  <c:v>1.7173198670124688E-4</c:v>
                </c:pt>
                <c:pt idx="2">
                  <c:v>1.7359971580995469E-4</c:v>
                </c:pt>
                <c:pt idx="3">
                  <c:v>1.7253095410107148E-4</c:v>
                </c:pt>
                <c:pt idx="4">
                  <c:v>1.7281329873409553E-4</c:v>
                </c:pt>
                <c:pt idx="5">
                  <c:v>1.6501387211753464E-4</c:v>
                </c:pt>
                <c:pt idx="6">
                  <c:v>1.717488773049776E-4</c:v>
                </c:pt>
                <c:pt idx="7">
                  <c:v>7.7313682102867376E-5</c:v>
                </c:pt>
                <c:pt idx="8">
                  <c:v>7.3080616098547543E-5</c:v>
                </c:pt>
                <c:pt idx="9">
                  <c:v>1.2311392024092868E-4</c:v>
                </c:pt>
                <c:pt idx="10">
                  <c:v>1.6972203047299641E-4</c:v>
                </c:pt>
                <c:pt idx="11">
                  <c:v>1.7004077991809329E-4</c:v>
                </c:pt>
                <c:pt idx="12">
                  <c:v>1.391456847543673E-4</c:v>
                </c:pt>
              </c:numCache>
            </c:numRef>
          </c:val>
          <c:extLst>
            <c:ext xmlns:c16="http://schemas.microsoft.com/office/drawing/2014/chart" uri="{C3380CC4-5D6E-409C-BE32-E72D297353CC}">
              <c16:uniqueId val="{00000000-76C3-4FBB-A972-561189776C17}"/>
            </c:ext>
          </c:extLst>
        </c:ser>
        <c:ser>
          <c:idx val="6"/>
          <c:order val="7"/>
          <c:tx>
            <c:strRef>
              <c:f>data!$TT$38</c:f>
              <c:strCache>
                <c:ptCount val="1"/>
                <c:pt idx="0">
                  <c:v>Memory and Cache access wait</c:v>
                </c:pt>
              </c:strCache>
            </c:strRef>
          </c:tx>
          <c:spPr>
            <a:solidFill>
              <a:srgbClr val="FF808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data!$TT$42:$TT$54</c:f>
              <c:numCache>
                <c:formatCode>0.00E+00</c:formatCode>
                <c:ptCount val="13"/>
                <c:pt idx="1">
                  <c:v>7.268221828387364E-2</c:v>
                </c:pt>
                <c:pt idx="2">
                  <c:v>6.0015136772208114E-2</c:v>
                </c:pt>
                <c:pt idx="3">
                  <c:v>7.8962331501029076E-2</c:v>
                </c:pt>
                <c:pt idx="4">
                  <c:v>7.8845531900956958E-2</c:v>
                </c:pt>
                <c:pt idx="5">
                  <c:v>6.0302713163233636E-2</c:v>
                </c:pt>
                <c:pt idx="6">
                  <c:v>7.3329663536551556E-2</c:v>
                </c:pt>
                <c:pt idx="7">
                  <c:v>5.0691646980178438E-2</c:v>
                </c:pt>
                <c:pt idx="8">
                  <c:v>6.8800693095688925E-2</c:v>
                </c:pt>
                <c:pt idx="9">
                  <c:v>7.6865645536915425E-2</c:v>
                </c:pt>
                <c:pt idx="10">
                  <c:v>6.4334175883175526E-2</c:v>
                </c:pt>
                <c:pt idx="11">
                  <c:v>8.1677042580994064E-2</c:v>
                </c:pt>
                <c:pt idx="12">
                  <c:v>8.9801006919021431E-2</c:v>
                </c:pt>
              </c:numCache>
            </c:numRef>
          </c:val>
          <c:extLst>
            <c:ext xmlns:c16="http://schemas.microsoft.com/office/drawing/2014/chart" uri="{C3380CC4-5D6E-409C-BE32-E72D297353CC}">
              <c16:uniqueId val="{00000001-76C3-4FBB-A972-561189776C17}"/>
            </c:ext>
          </c:extLst>
        </c:ser>
        <c:ser>
          <c:idx val="8"/>
          <c:order val="8"/>
          <c:tx>
            <c:strRef>
              <c:f>data!$TU$38</c:f>
              <c:strCache>
                <c:ptCount val="1"/>
                <c:pt idx="0">
                  <c:v>Operation wait</c:v>
                </c:pt>
              </c:strCache>
            </c:strRef>
          </c:tx>
          <c:spPr>
            <a:solidFill>
              <a:srgbClr val="CCCC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data!$TU$42:$TU$54</c:f>
              <c:numCache>
                <c:formatCode>0.00E+00</c:formatCode>
                <c:ptCount val="13"/>
                <c:pt idx="1">
                  <c:v>11.547031132133613</c:v>
                </c:pt>
                <c:pt idx="2">
                  <c:v>11.550405690900046</c:v>
                </c:pt>
                <c:pt idx="3">
                  <c:v>11.547686612231226</c:v>
                </c:pt>
                <c:pt idx="4">
                  <c:v>11.532237277100167</c:v>
                </c:pt>
                <c:pt idx="5">
                  <c:v>11.536835337631434</c:v>
                </c:pt>
                <c:pt idx="6">
                  <c:v>11.534630944409782</c:v>
                </c:pt>
                <c:pt idx="7">
                  <c:v>11.539462094952171</c:v>
                </c:pt>
                <c:pt idx="8">
                  <c:v>11.526775826071399</c:v>
                </c:pt>
                <c:pt idx="9">
                  <c:v>11.526389727489196</c:v>
                </c:pt>
                <c:pt idx="10">
                  <c:v>11.533672744922542</c:v>
                </c:pt>
                <c:pt idx="11">
                  <c:v>11.525473011396548</c:v>
                </c:pt>
                <c:pt idx="12">
                  <c:v>11.519814047674322</c:v>
                </c:pt>
              </c:numCache>
            </c:numRef>
          </c:val>
          <c:extLst>
            <c:ext xmlns:c16="http://schemas.microsoft.com/office/drawing/2014/chart" uri="{C3380CC4-5D6E-409C-BE32-E72D297353CC}">
              <c16:uniqueId val="{00000002-76C3-4FBB-A972-561189776C17}"/>
            </c:ext>
          </c:extLst>
        </c:ser>
        <c:ser>
          <c:idx val="9"/>
          <c:order val="9"/>
          <c:tx>
            <c:strRef>
              <c:f>data!$TV$38</c:f>
              <c:strCache>
                <c:ptCount val="1"/>
                <c:pt idx="0">
                  <c:v>Other wait</c:v>
                </c:pt>
              </c:strCache>
            </c:strRef>
          </c:tx>
          <c:spPr>
            <a:solidFill>
              <a:srgbClr val="FF99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data!$TV$42:$TV$54</c:f>
              <c:numCache>
                <c:formatCode>0.00E+00</c:formatCode>
                <c:ptCount val="13"/>
                <c:pt idx="1">
                  <c:v>1.2107504668520674</c:v>
                </c:pt>
                <c:pt idx="2">
                  <c:v>1.210740401827803</c:v>
                </c:pt>
                <c:pt idx="3">
                  <c:v>1.2109200320342262</c:v>
                </c:pt>
                <c:pt idx="4">
                  <c:v>1.210463106063814</c:v>
                </c:pt>
                <c:pt idx="5">
                  <c:v>1.2115420347525219</c:v>
                </c:pt>
                <c:pt idx="6">
                  <c:v>1.2109038208401681</c:v>
                </c:pt>
                <c:pt idx="7">
                  <c:v>1.2117380104682862</c:v>
                </c:pt>
                <c:pt idx="8">
                  <c:v>1.2112079745775435</c:v>
                </c:pt>
                <c:pt idx="9">
                  <c:v>1.2109687123358561</c:v>
                </c:pt>
                <c:pt idx="10">
                  <c:v>1.2115335702076433</c:v>
                </c:pt>
                <c:pt idx="11">
                  <c:v>1.2109605491621624</c:v>
                </c:pt>
                <c:pt idx="12">
                  <c:v>1.2106167675306683</c:v>
                </c:pt>
              </c:numCache>
            </c:numRef>
          </c:val>
          <c:extLst>
            <c:ext xmlns:c16="http://schemas.microsoft.com/office/drawing/2014/chart" uri="{C3380CC4-5D6E-409C-BE32-E72D297353CC}">
              <c16:uniqueId val="{00000003-76C3-4FBB-A972-561189776C17}"/>
            </c:ext>
          </c:extLst>
        </c:ser>
        <c:ser>
          <c:idx val="13"/>
          <c:order val="10"/>
          <c:tx>
            <c:strRef>
              <c:f>data!$TW$38</c:f>
              <c:strCache>
                <c:ptCount val="1"/>
                <c:pt idx="0">
                  <c:v>Store port busy wait</c:v>
                </c:pt>
              </c:strCache>
            </c:strRef>
          </c:tx>
          <c:spPr>
            <a:solidFill>
              <a:srgbClr val="8000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data!$TW$42:$TW$54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76C3-4FBB-A972-561189776C17}"/>
            </c:ext>
          </c:extLst>
        </c:ser>
        <c:ser>
          <c:idx val="7"/>
          <c:order val="11"/>
          <c:tx>
            <c:strRef>
              <c:f>data!$TX$38</c:f>
              <c:strCache>
                <c:ptCount val="1"/>
                <c:pt idx="0">
                  <c:v>Instruction fetch wait</c:v>
                </c:pt>
              </c:strCache>
            </c:strRef>
          </c:tx>
          <c:spPr>
            <a:solidFill>
              <a:srgbClr val="CC99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data!$TX$42:$TX$54</c:f>
              <c:numCache>
                <c:formatCode>0.00E+00</c:formatCode>
                <c:ptCount val="13"/>
                <c:pt idx="1">
                  <c:v>6.4509660301359253E-2</c:v>
                </c:pt>
                <c:pt idx="2">
                  <c:v>6.400769257553722E-2</c:v>
                </c:pt>
                <c:pt idx="3">
                  <c:v>6.5154210315620242E-2</c:v>
                </c:pt>
                <c:pt idx="4">
                  <c:v>6.5667514401579488E-2</c:v>
                </c:pt>
                <c:pt idx="5">
                  <c:v>6.5396205821060219E-2</c:v>
                </c:pt>
                <c:pt idx="6">
                  <c:v>6.477118389027979E-2</c:v>
                </c:pt>
                <c:pt idx="7">
                  <c:v>6.4944469727742149E-2</c:v>
                </c:pt>
                <c:pt idx="8">
                  <c:v>6.6134135094987279E-2</c:v>
                </c:pt>
                <c:pt idx="9">
                  <c:v>6.5977743730147406E-2</c:v>
                </c:pt>
                <c:pt idx="10">
                  <c:v>6.5150327584794485E-2</c:v>
                </c:pt>
                <c:pt idx="11">
                  <c:v>6.5264489444471899E-2</c:v>
                </c:pt>
                <c:pt idx="12">
                  <c:v>6.489987589629391E-2</c:v>
                </c:pt>
              </c:numCache>
            </c:numRef>
          </c:val>
          <c:extLst>
            <c:ext xmlns:c16="http://schemas.microsoft.com/office/drawing/2014/chart" uri="{C3380CC4-5D6E-409C-BE32-E72D297353CC}">
              <c16:uniqueId val="{00000005-76C3-4FBB-A972-561189776C17}"/>
            </c:ext>
          </c:extLst>
        </c:ser>
        <c:ser>
          <c:idx val="10"/>
          <c:order val="12"/>
          <c:tx>
            <c:strRef>
              <c:f>data!$TY$38</c:f>
              <c:strCache>
                <c:ptCount val="1"/>
                <c:pt idx="0">
                  <c:v>Barrier synchronization wait</c:v>
                </c:pt>
              </c:strCache>
            </c:strRef>
          </c:tx>
          <c:spPr>
            <a:solidFill>
              <a:srgbClr val="FF00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data!$TY$42:$TY$54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6-76C3-4FBB-A972-561189776C17}"/>
            </c:ext>
          </c:extLst>
        </c:ser>
        <c:ser>
          <c:idx val="12"/>
          <c:order val="13"/>
          <c:tx>
            <c:strRef>
              <c:f>data!$TZ$38</c:f>
              <c:strCache>
                <c:ptCount val="1"/>
                <c:pt idx="0">
                  <c:v>1 instruction commit</c:v>
                </c:pt>
              </c:strCache>
            </c:strRef>
          </c:tx>
          <c:spPr>
            <a:solidFill>
              <a:srgbClr val="80008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data!$TZ$42:$TZ$54</c:f>
              <c:numCache>
                <c:formatCode>0.00E+00</c:formatCode>
                <c:ptCount val="13"/>
                <c:pt idx="1">
                  <c:v>2.8010488545990864</c:v>
                </c:pt>
                <c:pt idx="2">
                  <c:v>2.7941776205443074</c:v>
                </c:pt>
                <c:pt idx="3">
                  <c:v>2.8020170143282885</c:v>
                </c:pt>
                <c:pt idx="4">
                  <c:v>2.8022008570070893</c:v>
                </c:pt>
                <c:pt idx="5">
                  <c:v>2.8038709640792279</c:v>
                </c:pt>
                <c:pt idx="6">
                  <c:v>2.803253596513787</c:v>
                </c:pt>
                <c:pt idx="7">
                  <c:v>2.8002163752694629</c:v>
                </c:pt>
                <c:pt idx="8">
                  <c:v>2.7950403760897378</c:v>
                </c:pt>
                <c:pt idx="9">
                  <c:v>2.794782781886755</c:v>
                </c:pt>
                <c:pt idx="10">
                  <c:v>2.7969469100801603</c:v>
                </c:pt>
                <c:pt idx="11">
                  <c:v>2.7951378356147885</c:v>
                </c:pt>
                <c:pt idx="12">
                  <c:v>2.7954072507973908</c:v>
                </c:pt>
              </c:numCache>
            </c:numRef>
          </c:val>
          <c:extLst>
            <c:ext xmlns:c16="http://schemas.microsoft.com/office/drawing/2014/chart" uri="{C3380CC4-5D6E-409C-BE32-E72D297353CC}">
              <c16:uniqueId val="{00000007-76C3-4FBB-A972-561189776C17}"/>
            </c:ext>
          </c:extLst>
        </c:ser>
        <c:ser>
          <c:idx val="11"/>
          <c:order val="14"/>
          <c:tx>
            <c:strRef>
              <c:f>data!$UA$38</c:f>
              <c:strCache>
                <c:ptCount val="1"/>
                <c:pt idx="0">
                  <c:v>Other instruction commit</c:v>
                </c:pt>
              </c:strCache>
            </c:strRef>
          </c:tx>
          <c:spPr>
            <a:solidFill>
              <a:srgbClr val="00FF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data!$UA$42:$UA$54</c:f>
              <c:numCache>
                <c:formatCode>0.00E+00</c:formatCode>
                <c:ptCount val="13"/>
                <c:pt idx="1">
                  <c:v>5.1007498451847032E-5</c:v>
                </c:pt>
                <c:pt idx="2">
                  <c:v>3.3449664763932301E-6</c:v>
                </c:pt>
                <c:pt idx="3">
                  <c:v>7.3725037332153895E-6</c:v>
                </c:pt>
                <c:pt idx="4">
                  <c:v>0</c:v>
                </c:pt>
                <c:pt idx="5">
                  <c:v>0</c:v>
                </c:pt>
                <c:pt idx="6">
                  <c:v>8.2470225844385309E-5</c:v>
                </c:pt>
                <c:pt idx="7">
                  <c:v>2.2530506889118965E-6</c:v>
                </c:pt>
                <c:pt idx="8">
                  <c:v>0</c:v>
                </c:pt>
                <c:pt idx="9">
                  <c:v>1.254724941069743E-6</c:v>
                </c:pt>
                <c:pt idx="10">
                  <c:v>1.5967837608260449E-5</c:v>
                </c:pt>
                <c:pt idx="11">
                  <c:v>4.0284623738478641E-5</c:v>
                </c:pt>
                <c:pt idx="12">
                  <c:v>0</c:v>
                </c:pt>
              </c:numCache>
            </c:numRef>
          </c:val>
          <c:extLst>
            <c:ext xmlns:c16="http://schemas.microsoft.com/office/drawing/2014/chart" uri="{C3380CC4-5D6E-409C-BE32-E72D297353CC}">
              <c16:uniqueId val="{00000008-76C3-4FBB-A972-561189776C17}"/>
            </c:ext>
          </c:extLst>
        </c:ser>
        <c:dLbls>
          <c:showLegendKey val="0"/>
          <c:showVal val="0"/>
          <c:showCatName val="0"/>
          <c:showSerName val="0"/>
          <c:showPercent val="0"/>
          <c:showBubbleSize val="0"/>
        </c:dLbls>
        <c:gapWidth val="90"/>
        <c:overlap val="100"/>
        <c:axId val="472861832"/>
        <c:axId val="472862224"/>
      </c:barChart>
      <c:barChart>
        <c:barDir val="col"/>
        <c:grouping val="clustered"/>
        <c:varyColors val="0"/>
        <c:ser>
          <c:idx val="14"/>
          <c:order val="0"/>
          <c:tx>
            <c:strRef>
              <c:f>data!$TQ$30</c:f>
              <c:strCache>
                <c:ptCount val="1"/>
                <c:pt idx="0">
                  <c:v>----------------------------------------</c:v>
                </c:pt>
              </c:strCache>
            </c:strRef>
          </c:tx>
          <c:spPr>
            <a:noFill/>
            <a:ln>
              <a:noFill/>
            </a:ln>
          </c:spPr>
          <c:invertIfNegative val="0"/>
          <c:val>
            <c:numRef>
              <c:f>data!$TQ$31</c:f>
              <c:numCache>
                <c:formatCode>General</c:formatCode>
                <c:ptCount val="1"/>
              </c:numCache>
            </c:numRef>
          </c:val>
          <c:extLst>
            <c:ext xmlns:c16="http://schemas.microsoft.com/office/drawing/2014/chart" uri="{C3380CC4-5D6E-409C-BE32-E72D297353CC}">
              <c16:uniqueId val="{00000000-BFD9-4243-B7FE-6470BB66D353}"/>
            </c:ext>
          </c:extLst>
        </c:ser>
        <c:ser>
          <c:idx val="0"/>
          <c:order val="1"/>
          <c:tx>
            <c:strRef>
              <c:f>data!$TR$28</c:f>
              <c:strCache>
                <c:ptCount val="1"/>
                <c:pt idx="0">
                  <c:v>Floating-point busy rate execution time</c:v>
                </c:pt>
              </c:strCache>
            </c:strRef>
          </c:tx>
          <c:spPr>
            <a:solidFill>
              <a:srgbClr val="0070C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data!$TR$31:$TR$35</c:f>
              <c:numCache>
                <c:formatCode>General</c:formatCode>
                <c:ptCount val="5"/>
                <c:pt idx="0" formatCode="0.00E+00">
                  <c:v>2.6977082971089437</c:v>
                </c:pt>
              </c:numCache>
            </c:numRef>
          </c:val>
          <c:extLst>
            <c:ext xmlns:c16="http://schemas.microsoft.com/office/drawing/2014/chart" uri="{C3380CC4-5D6E-409C-BE32-E72D297353CC}">
              <c16:uniqueId val="{00000009-76C3-4FBB-A972-561189776C17}"/>
            </c:ext>
          </c:extLst>
        </c:ser>
        <c:ser>
          <c:idx val="1"/>
          <c:order val="2"/>
          <c:tx>
            <c:strRef>
              <c:f>data!$TS$28</c:f>
              <c:strCache>
                <c:ptCount val="1"/>
                <c:pt idx="0">
                  <c:v>Integer busy rate execution time</c:v>
                </c:pt>
              </c:strCache>
            </c:strRef>
          </c:tx>
          <c:spPr>
            <a:solidFill>
              <a:srgbClr val="66CC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data!$TS$31:$TS$35</c:f>
              <c:numCache>
                <c:formatCode>0.00000_ </c:formatCode>
                <c:ptCount val="5"/>
                <c:pt idx="0" formatCode="0.00E+00">
                  <c:v>0.24891640524617673</c:v>
                </c:pt>
              </c:numCache>
            </c:numRef>
          </c:val>
          <c:extLst>
            <c:ext xmlns:c16="http://schemas.microsoft.com/office/drawing/2014/chart" uri="{C3380CC4-5D6E-409C-BE32-E72D297353CC}">
              <c16:uniqueId val="{0000000A-76C3-4FBB-A972-561189776C17}"/>
            </c:ext>
          </c:extLst>
        </c:ser>
        <c:ser>
          <c:idx val="2"/>
          <c:order val="3"/>
          <c:tx>
            <c:strRef>
              <c:f>data!$TT$28</c:f>
              <c:strCache>
                <c:ptCount val="1"/>
                <c:pt idx="0">
                  <c:v>L1 busy rate execution time</c:v>
                </c:pt>
              </c:strCache>
            </c:strRef>
          </c:tx>
          <c:spPr>
            <a:solidFill>
              <a:srgbClr val="FFCC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data!$TT$31:$TT$35</c:f>
              <c:numCache>
                <c:formatCode>General</c:formatCode>
                <c:ptCount val="5"/>
                <c:pt idx="0" formatCode="0.00E+00">
                  <c:v>4.8313498374958783</c:v>
                </c:pt>
              </c:numCache>
            </c:numRef>
          </c:val>
          <c:extLst>
            <c:ext xmlns:c16="http://schemas.microsoft.com/office/drawing/2014/chart" uri="{C3380CC4-5D6E-409C-BE32-E72D297353CC}">
              <c16:uniqueId val="{0000000B-76C3-4FBB-A972-561189776C17}"/>
            </c:ext>
          </c:extLst>
        </c:ser>
        <c:ser>
          <c:idx val="3"/>
          <c:order val="4"/>
          <c:tx>
            <c:strRef>
              <c:f>data!$TU$28</c:f>
              <c:strCache>
                <c:ptCount val="1"/>
                <c:pt idx="0">
                  <c:v>L2 busy rate execution time</c:v>
                </c:pt>
              </c:strCache>
            </c:strRef>
          </c:tx>
          <c:spPr>
            <a:solidFill>
              <a:srgbClr val="FF9999"/>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data!$TU$31:$TU$35</c:f>
              <c:numCache>
                <c:formatCode>General</c:formatCode>
                <c:ptCount val="5"/>
                <c:pt idx="0" formatCode="0.00E+00">
                  <c:v>4.8122009547692608</c:v>
                </c:pt>
              </c:numCache>
            </c:numRef>
          </c:val>
          <c:extLst>
            <c:ext xmlns:c16="http://schemas.microsoft.com/office/drawing/2014/chart" uri="{C3380CC4-5D6E-409C-BE32-E72D297353CC}">
              <c16:uniqueId val="{0000000C-76C3-4FBB-A972-561189776C17}"/>
            </c:ext>
          </c:extLst>
        </c:ser>
        <c:ser>
          <c:idx val="4"/>
          <c:order val="5"/>
          <c:tx>
            <c:strRef>
              <c:f>data!$TV$28</c:f>
              <c:strCache>
                <c:ptCount val="1"/>
                <c:pt idx="0">
                  <c:v>Memory busy rate execution time</c:v>
                </c:pt>
              </c:strCache>
            </c:strRef>
          </c:tx>
          <c:spPr>
            <a:solidFill>
              <a:srgbClr val="FF00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data!$TV$31:$TV$35</c:f>
              <c:numCache>
                <c:formatCode>General</c:formatCode>
                <c:ptCount val="5"/>
                <c:pt idx="0" formatCode="0.00E+00">
                  <c:v>8.0487448380000011</c:v>
                </c:pt>
              </c:numCache>
            </c:numRef>
          </c:val>
          <c:extLst>
            <c:ext xmlns:c16="http://schemas.microsoft.com/office/drawing/2014/chart" uri="{C3380CC4-5D6E-409C-BE32-E72D297353CC}">
              <c16:uniqueId val="{0000000D-76C3-4FBB-A972-561189776C17}"/>
            </c:ext>
          </c:extLst>
        </c:ser>
        <c:dLbls>
          <c:showLegendKey val="0"/>
          <c:showVal val="0"/>
          <c:showCatName val="0"/>
          <c:showSerName val="0"/>
          <c:showPercent val="0"/>
          <c:showBubbleSize val="0"/>
        </c:dLbls>
        <c:gapWidth val="0"/>
        <c:axId val="285901576"/>
        <c:axId val="472862616"/>
      </c:barChart>
      <c:catAx>
        <c:axId val="472861832"/>
        <c:scaling>
          <c:orientation val="minMax"/>
        </c:scaling>
        <c:delete val="0"/>
        <c:axPos val="b"/>
        <c:numFmt formatCode="General" sourceLinked="0"/>
        <c:majorTickMark val="out"/>
        <c:minorTickMark val="none"/>
        <c:tickLblPos val="nextTo"/>
        <c:txPr>
          <a:bodyPr rot="-5400000" vert="horz"/>
          <a:lstStyle/>
          <a:p>
            <a:pPr>
              <a:defRPr lang="ja-JP" sz="1200"/>
            </a:pPr>
            <a:endParaRPr lang="ja-JP"/>
          </a:p>
        </c:txPr>
        <c:crossAx val="472862224"/>
        <c:crossesAt val="0"/>
        <c:auto val="1"/>
        <c:lblAlgn val="ctr"/>
        <c:lblOffset val="100"/>
        <c:noMultiLvlLbl val="0"/>
      </c:catAx>
      <c:valAx>
        <c:axId val="472862224"/>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861832"/>
        <c:crosses val="autoZero"/>
        <c:crossBetween val="between"/>
      </c:valAx>
      <c:valAx>
        <c:axId val="472862616"/>
        <c:scaling>
          <c:orientation val="minMax"/>
        </c:scaling>
        <c:delete val="1"/>
        <c:axPos val="r"/>
        <c:numFmt formatCode="General" sourceLinked="1"/>
        <c:majorTickMark val="out"/>
        <c:minorTickMark val="none"/>
        <c:tickLblPos val="high"/>
        <c:crossAx val="285901576"/>
        <c:crosses val="max"/>
        <c:crossBetween val="between"/>
      </c:valAx>
      <c:catAx>
        <c:axId val="285901576"/>
        <c:scaling>
          <c:orientation val="minMax"/>
        </c:scaling>
        <c:delete val="1"/>
        <c:axPos val="b"/>
        <c:numFmt formatCode="General" sourceLinked="1"/>
        <c:majorTickMark val="out"/>
        <c:minorTickMark val="none"/>
        <c:tickLblPos val="nextTo"/>
        <c:crossAx val="472862616"/>
        <c:crossesAt val="0"/>
        <c:auto val="1"/>
        <c:lblAlgn val="ctr"/>
        <c:lblOffset val="100"/>
        <c:noMultiLvlLbl val="0"/>
      </c:catAx>
      <c:spPr>
        <a:ln>
          <a:solidFill>
            <a:schemeClr val="tx1"/>
          </a:solidFill>
        </a:ln>
      </c:spPr>
    </c:plotArea>
    <c:legend>
      <c:legendPos val="r"/>
      <c:layout>
        <c:manualLayout>
          <c:xMode val="edge"/>
          <c:yMode val="edge"/>
          <c:x val="0.62048451093583423"/>
          <c:y val="5.9327358704925136E-2"/>
          <c:w val="0.32027448832173472"/>
          <c:h val="0.52121720886872913"/>
        </c:manualLayout>
      </c:layout>
      <c:overlay val="0"/>
      <c:spPr>
        <a:solidFill>
          <a:schemeClr val="bg1"/>
        </a:solidFill>
        <a:ln>
          <a:solidFill>
            <a:schemeClr val="accent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data!$UE$42:$UE$54</c:f>
              <c:numCache>
                <c:formatCode>0.00E+00</c:formatCode>
                <c:ptCount val="13"/>
                <c:pt idx="1">
                  <c:v>1.7173198670124688E-4</c:v>
                </c:pt>
                <c:pt idx="2">
                  <c:v>1.7359971580995469E-4</c:v>
                </c:pt>
                <c:pt idx="3">
                  <c:v>1.7253095410107148E-4</c:v>
                </c:pt>
                <c:pt idx="4">
                  <c:v>1.7281329873409553E-4</c:v>
                </c:pt>
                <c:pt idx="5">
                  <c:v>1.6501387211753464E-4</c:v>
                </c:pt>
                <c:pt idx="6">
                  <c:v>1.717488773049776E-4</c:v>
                </c:pt>
                <c:pt idx="7">
                  <c:v>7.7313682102867376E-5</c:v>
                </c:pt>
                <c:pt idx="8">
                  <c:v>7.3080616098547543E-5</c:v>
                </c:pt>
                <c:pt idx="9">
                  <c:v>1.2311392024092868E-4</c:v>
                </c:pt>
                <c:pt idx="10">
                  <c:v>1.6972203047299641E-4</c:v>
                </c:pt>
                <c:pt idx="11">
                  <c:v>1.7004077991809329E-4</c:v>
                </c:pt>
                <c:pt idx="12">
                  <c:v>1.391456847543673E-4</c:v>
                </c:pt>
              </c:numCache>
            </c:numRef>
          </c:val>
          <c:extLst>
            <c:ext xmlns:c16="http://schemas.microsoft.com/office/drawing/2014/chart" uri="{C3380CC4-5D6E-409C-BE32-E72D297353CC}">
              <c16:uniqueId val="{00000000-0C81-4621-B088-67C1A5D48C99}"/>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0C81-4621-B088-67C1A5D48C99}"/>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data!$UG$42:$UG$54</c:f>
              <c:numCache>
                <c:formatCode>0.00E+00</c:formatCode>
                <c:ptCount val="13"/>
                <c:pt idx="1">
                  <c:v>0.19164471959644275</c:v>
                </c:pt>
                <c:pt idx="2">
                  <c:v>0.18961805500959814</c:v>
                </c:pt>
                <c:pt idx="3">
                  <c:v>0.18761124408773563</c:v>
                </c:pt>
                <c:pt idx="4">
                  <c:v>0.19186903736044006</c:v>
                </c:pt>
                <c:pt idx="5">
                  <c:v>0.19163389347996349</c:v>
                </c:pt>
                <c:pt idx="6">
                  <c:v>0.19076614009867046</c:v>
                </c:pt>
                <c:pt idx="7">
                  <c:v>0.1931582066812908</c:v>
                </c:pt>
                <c:pt idx="8">
                  <c:v>0.19102484145845713</c:v>
                </c:pt>
                <c:pt idx="9">
                  <c:v>0.19193349962446618</c:v>
                </c:pt>
                <c:pt idx="10">
                  <c:v>0.19167184845249297</c:v>
                </c:pt>
                <c:pt idx="11">
                  <c:v>0.19101835641353404</c:v>
                </c:pt>
                <c:pt idx="12">
                  <c:v>0.1927818822249116</c:v>
                </c:pt>
              </c:numCache>
            </c:numRef>
          </c:val>
          <c:extLst>
            <c:ext xmlns:c16="http://schemas.microsoft.com/office/drawing/2014/chart" uri="{C3380CC4-5D6E-409C-BE32-E72D297353CC}">
              <c16:uniqueId val="{00000002-0C81-4621-B088-67C1A5D48C99}"/>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data!$UH$42:$UH$54</c:f>
              <c:numCache>
                <c:formatCode>0.00E+00</c:formatCode>
                <c:ptCount val="13"/>
                <c:pt idx="1">
                  <c:v>6.3033974396827938E-2</c:v>
                </c:pt>
                <c:pt idx="2">
                  <c:v>4.2713237917176114E-2</c:v>
                </c:pt>
                <c:pt idx="3">
                  <c:v>8.1927799283178671E-2</c:v>
                </c:pt>
                <c:pt idx="4">
                  <c:v>8.8748613900942075E-2</c:v>
                </c:pt>
                <c:pt idx="5">
                  <c:v>6.0545728974179668E-2</c:v>
                </c:pt>
                <c:pt idx="6">
                  <c:v>6.2185824040257645E-2</c:v>
                </c:pt>
                <c:pt idx="7">
                  <c:v>2.5579953045388563E-2</c:v>
                </c:pt>
                <c:pt idx="8">
                  <c:v>5.8389169683941124E-2</c:v>
                </c:pt>
                <c:pt idx="9">
                  <c:v>6.5727871234096041E-2</c:v>
                </c:pt>
                <c:pt idx="10">
                  <c:v>4.1076014859377862E-2</c:v>
                </c:pt>
                <c:pt idx="11">
                  <c:v>8.0452555400096493E-2</c:v>
                </c:pt>
                <c:pt idx="12">
                  <c:v>8.396648072995902E-2</c:v>
                </c:pt>
              </c:numCache>
            </c:numRef>
          </c:val>
          <c:extLst>
            <c:ext xmlns:c16="http://schemas.microsoft.com/office/drawing/2014/chart" uri="{C3380CC4-5D6E-409C-BE32-E72D297353CC}">
              <c16:uniqueId val="{00000003-0C81-4621-B088-67C1A5D48C99}"/>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data!$UI$42:$UI$54</c:f>
              <c:numCache>
                <c:formatCode>0.00E+00</c:formatCode>
                <c:ptCount val="13"/>
                <c:pt idx="1">
                  <c:v>1.1768942732748412E-2</c:v>
                </c:pt>
                <c:pt idx="2">
                  <c:v>1.1120542584885892E-2</c:v>
                </c:pt>
                <c:pt idx="3">
                  <c:v>1.1779593786892441E-2</c:v>
                </c:pt>
                <c:pt idx="4">
                  <c:v>1.2042735984728105E-2</c:v>
                </c:pt>
                <c:pt idx="5">
                  <c:v>1.2712767706078381E-2</c:v>
                </c:pt>
                <c:pt idx="6">
                  <c:v>1.2416314152334459E-2</c:v>
                </c:pt>
                <c:pt idx="7">
                  <c:v>1.3256841623516313E-2</c:v>
                </c:pt>
                <c:pt idx="8">
                  <c:v>1.3773925797239446E-2</c:v>
                </c:pt>
                <c:pt idx="9">
                  <c:v>1.3679322148491158E-2</c:v>
                </c:pt>
                <c:pt idx="10">
                  <c:v>1.3911067295719615E-2</c:v>
                </c:pt>
                <c:pt idx="11">
                  <c:v>1.3580002713496631E-2</c:v>
                </c:pt>
                <c:pt idx="12">
                  <c:v>1.5180805525234783E-2</c:v>
                </c:pt>
              </c:numCache>
            </c:numRef>
          </c:val>
          <c:extLst>
            <c:ext xmlns:c16="http://schemas.microsoft.com/office/drawing/2014/chart" uri="{C3380CC4-5D6E-409C-BE32-E72D297353CC}">
              <c16:uniqueId val="{00000004-0C81-4621-B088-67C1A5D48C99}"/>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data!$UJ$42:$UJ$54</c:f>
              <c:numCache>
                <c:formatCode>0.00E+00</c:formatCode>
                <c:ptCount val="13"/>
                <c:pt idx="1">
                  <c:v>3.8065747318027678E-3</c:v>
                </c:pt>
                <c:pt idx="2">
                  <c:v>3.8683139965984795E-3</c:v>
                </c:pt>
                <c:pt idx="3">
                  <c:v>3.8696710848865391E-3</c:v>
                </c:pt>
                <c:pt idx="4">
                  <c:v>3.8586408795409761E-3</c:v>
                </c:pt>
                <c:pt idx="5">
                  <c:v>3.8803095829657804E-3</c:v>
                </c:pt>
                <c:pt idx="6">
                  <c:v>3.861410088643609E-3</c:v>
                </c:pt>
                <c:pt idx="7">
                  <c:v>3.887523743150675E-3</c:v>
                </c:pt>
                <c:pt idx="8">
                  <c:v>3.8939240132315625E-3</c:v>
                </c:pt>
                <c:pt idx="9">
                  <c:v>3.8495015725519507E-3</c:v>
                </c:pt>
                <c:pt idx="10">
                  <c:v>3.8702213463897004E-3</c:v>
                </c:pt>
                <c:pt idx="11">
                  <c:v>3.8794269496638155E-3</c:v>
                </c:pt>
                <c:pt idx="12">
                  <c:v>3.8510777756204559E-3</c:v>
                </c:pt>
              </c:numCache>
            </c:numRef>
          </c:val>
          <c:extLst>
            <c:ext xmlns:c16="http://schemas.microsoft.com/office/drawing/2014/chart" uri="{C3380CC4-5D6E-409C-BE32-E72D297353CC}">
              <c16:uniqueId val="{00000005-0C81-4621-B088-67C1A5D48C99}"/>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data!$UK$42:$UK$54</c:f>
              <c:numCache>
                <c:formatCode>0.00E+00</c:formatCode>
                <c:ptCount val="13"/>
                <c:pt idx="1">
                  <c:v>7.268221828387364E-2</c:v>
                </c:pt>
                <c:pt idx="2">
                  <c:v>6.0015136772208114E-2</c:v>
                </c:pt>
                <c:pt idx="3">
                  <c:v>7.8962331501029076E-2</c:v>
                </c:pt>
                <c:pt idx="4">
                  <c:v>7.8845531900956958E-2</c:v>
                </c:pt>
                <c:pt idx="5">
                  <c:v>6.0302713163233636E-2</c:v>
                </c:pt>
                <c:pt idx="6">
                  <c:v>7.3329663536551556E-2</c:v>
                </c:pt>
                <c:pt idx="7">
                  <c:v>5.0691646980178438E-2</c:v>
                </c:pt>
                <c:pt idx="8">
                  <c:v>6.8800693095688925E-2</c:v>
                </c:pt>
                <c:pt idx="9">
                  <c:v>7.6865645536915425E-2</c:v>
                </c:pt>
                <c:pt idx="10">
                  <c:v>6.4334175883175526E-2</c:v>
                </c:pt>
                <c:pt idx="11">
                  <c:v>8.1677042580994064E-2</c:v>
                </c:pt>
                <c:pt idx="12">
                  <c:v>8.9801006919021431E-2</c:v>
                </c:pt>
              </c:numCache>
            </c:numRef>
          </c:val>
          <c:extLst>
            <c:ext xmlns:c16="http://schemas.microsoft.com/office/drawing/2014/chart" uri="{C3380CC4-5D6E-409C-BE32-E72D297353CC}">
              <c16:uniqueId val="{00000006-0C81-4621-B088-67C1A5D48C99}"/>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data!$UL$42:$UL$54</c:f>
              <c:numCache>
                <c:formatCode>0.00E+00</c:formatCode>
                <c:ptCount val="13"/>
                <c:pt idx="1">
                  <c:v>9.3983269831283511</c:v>
                </c:pt>
                <c:pt idx="2">
                  <c:v>9.3923744573767713</c:v>
                </c:pt>
                <c:pt idx="3">
                  <c:v>9.3978082614563441</c:v>
                </c:pt>
                <c:pt idx="4">
                  <c:v>9.4057501579582716</c:v>
                </c:pt>
                <c:pt idx="5">
                  <c:v>9.4074085096029449</c:v>
                </c:pt>
                <c:pt idx="6">
                  <c:v>9.4038297536250806</c:v>
                </c:pt>
                <c:pt idx="7">
                  <c:v>9.4065735443302838</c:v>
                </c:pt>
                <c:pt idx="8">
                  <c:v>9.4138495269957048</c:v>
                </c:pt>
                <c:pt idx="9">
                  <c:v>9.409457391874934</c:v>
                </c:pt>
                <c:pt idx="10">
                  <c:v>9.413153306412875</c:v>
                </c:pt>
                <c:pt idx="11">
                  <c:v>9.4129234400769786</c:v>
                </c:pt>
                <c:pt idx="12">
                  <c:v>9.4117771633651035</c:v>
                </c:pt>
              </c:numCache>
            </c:numRef>
          </c:val>
          <c:extLst>
            <c:ext xmlns:c16="http://schemas.microsoft.com/office/drawing/2014/chart" uri="{C3380CC4-5D6E-409C-BE32-E72D297353CC}">
              <c16:uniqueId val="{00000007-0C81-4621-B088-67C1A5D48C99}"/>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data!$UM$42:$UM$54</c:f>
              <c:numCache>
                <c:formatCode>0.00E+00</c:formatCode>
                <c:ptCount val="13"/>
                <c:pt idx="1">
                  <c:v>2.2394395374596625</c:v>
                </c:pt>
                <c:pt idx="2">
                  <c:v>2.2383224333011498</c:v>
                </c:pt>
                <c:pt idx="3">
                  <c:v>2.2400739701718098</c:v>
                </c:pt>
                <c:pt idx="4">
                  <c:v>2.2388961845876945</c:v>
                </c:pt>
                <c:pt idx="5">
                  <c:v>2.2397471034545449</c:v>
                </c:pt>
                <c:pt idx="6">
                  <c:v>2.2395097339054271</c:v>
                </c:pt>
                <c:pt idx="7">
                  <c:v>2.2408591516504894</c:v>
                </c:pt>
                <c:pt idx="8">
                  <c:v>2.2442253238910226</c:v>
                </c:pt>
                <c:pt idx="9">
                  <c:v>2.2439900985646015</c:v>
                </c:pt>
                <c:pt idx="10">
                  <c:v>2.2435404230652471</c:v>
                </c:pt>
                <c:pt idx="11">
                  <c:v>2.2435030164106933</c:v>
                </c:pt>
                <c:pt idx="12">
                  <c:v>2.2448056252484707</c:v>
                </c:pt>
              </c:numCache>
            </c:numRef>
          </c:val>
          <c:extLst>
            <c:ext xmlns:c16="http://schemas.microsoft.com/office/drawing/2014/chart" uri="{C3380CC4-5D6E-409C-BE32-E72D297353CC}">
              <c16:uniqueId val="{00000008-0C81-4621-B088-67C1A5D48C99}"/>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data!$UN$42:$UN$54</c:f>
              <c:numCache>
                <c:formatCode>0.00E+00</c:formatCode>
                <c:ptCount val="13"/>
                <c:pt idx="1">
                  <c:v>11.547031132133613</c:v>
                </c:pt>
                <c:pt idx="2">
                  <c:v>11.550405690900046</c:v>
                </c:pt>
                <c:pt idx="3">
                  <c:v>11.547686612231226</c:v>
                </c:pt>
                <c:pt idx="4">
                  <c:v>11.532237277100167</c:v>
                </c:pt>
                <c:pt idx="5">
                  <c:v>11.536835337631434</c:v>
                </c:pt>
                <c:pt idx="6">
                  <c:v>11.534630944409782</c:v>
                </c:pt>
                <c:pt idx="7">
                  <c:v>11.539462094952171</c:v>
                </c:pt>
                <c:pt idx="8">
                  <c:v>11.526775826071399</c:v>
                </c:pt>
                <c:pt idx="9">
                  <c:v>11.526389727489196</c:v>
                </c:pt>
                <c:pt idx="10">
                  <c:v>11.533672744922542</c:v>
                </c:pt>
                <c:pt idx="11">
                  <c:v>11.525473011396548</c:v>
                </c:pt>
                <c:pt idx="12">
                  <c:v>11.519814047674322</c:v>
                </c:pt>
              </c:numCache>
            </c:numRef>
          </c:val>
          <c:extLst>
            <c:ext xmlns:c16="http://schemas.microsoft.com/office/drawing/2014/chart" uri="{C3380CC4-5D6E-409C-BE32-E72D297353CC}">
              <c16:uniqueId val="{00000009-0C81-4621-B088-67C1A5D48C99}"/>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data!$UO$42:$UO$54</c:f>
              <c:numCache>
                <c:formatCode>0.00E+00</c:formatCode>
                <c:ptCount val="13"/>
                <c:pt idx="1">
                  <c:v>2.4981497891362497E-3</c:v>
                </c:pt>
                <c:pt idx="2">
                  <c:v>2.4823082106202629E-3</c:v>
                </c:pt>
                <c:pt idx="3">
                  <c:v>2.5421148490109187E-3</c:v>
                </c:pt>
                <c:pt idx="4">
                  <c:v>2.5927784109016161E-3</c:v>
                </c:pt>
                <c:pt idx="5">
                  <c:v>2.5714258789574008E-3</c:v>
                </c:pt>
                <c:pt idx="6">
                  <c:v>2.5087261968117515E-3</c:v>
                </c:pt>
                <c:pt idx="7">
                  <c:v>2.5326089638614438E-3</c:v>
                </c:pt>
                <c:pt idx="8">
                  <c:v>2.592071568587023E-3</c:v>
                </c:pt>
                <c:pt idx="9">
                  <c:v>2.5723847220213859E-3</c:v>
                </c:pt>
                <c:pt idx="10">
                  <c:v>2.5306476919557818E-3</c:v>
                </c:pt>
                <c:pt idx="11">
                  <c:v>2.5338508732273422E-3</c:v>
                </c:pt>
                <c:pt idx="12">
                  <c:v>2.5770373016717569E-3</c:v>
                </c:pt>
              </c:numCache>
            </c:numRef>
          </c:val>
          <c:extLst>
            <c:ext xmlns:c16="http://schemas.microsoft.com/office/drawing/2014/chart" uri="{C3380CC4-5D6E-409C-BE32-E72D297353CC}">
              <c16:uniqueId val="{0000000A-0C81-4621-B088-67C1A5D48C99}"/>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data!$UP$42:$UP$54</c:f>
              <c:numCache>
                <c:formatCode>0.00E+00</c:formatCode>
                <c:ptCount val="13"/>
                <c:pt idx="1">
                  <c:v>1.2107504668520674</c:v>
                </c:pt>
                <c:pt idx="2">
                  <c:v>1.210740401827803</c:v>
                </c:pt>
                <c:pt idx="3">
                  <c:v>1.2109200320342262</c:v>
                </c:pt>
                <c:pt idx="4">
                  <c:v>1.210463106063814</c:v>
                </c:pt>
                <c:pt idx="5">
                  <c:v>1.2115420347525219</c:v>
                </c:pt>
                <c:pt idx="6">
                  <c:v>1.2109038208401681</c:v>
                </c:pt>
                <c:pt idx="7">
                  <c:v>1.2117380104682862</c:v>
                </c:pt>
                <c:pt idx="8">
                  <c:v>1.2112079745775435</c:v>
                </c:pt>
                <c:pt idx="9">
                  <c:v>1.2109687123358561</c:v>
                </c:pt>
                <c:pt idx="10">
                  <c:v>1.2115335702076433</c:v>
                </c:pt>
                <c:pt idx="11">
                  <c:v>1.2109605491621624</c:v>
                </c:pt>
                <c:pt idx="12">
                  <c:v>1.2106167675306683</c:v>
                </c:pt>
              </c:numCache>
            </c:numRef>
          </c:val>
          <c:extLst>
            <c:ext xmlns:c16="http://schemas.microsoft.com/office/drawing/2014/chart" uri="{C3380CC4-5D6E-409C-BE32-E72D297353CC}">
              <c16:uniqueId val="{0000000B-0C81-4621-B088-67C1A5D48C99}"/>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0C81-4621-B088-67C1A5D48C99}"/>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data!$UR$42:$UR$54</c:f>
              <c:numCache>
                <c:formatCode>0.00E+00</c:formatCode>
                <c:ptCount val="13"/>
                <c:pt idx="1">
                  <c:v>6.4509660301359253E-2</c:v>
                </c:pt>
                <c:pt idx="2">
                  <c:v>6.400769257553722E-2</c:v>
                </c:pt>
                <c:pt idx="3">
                  <c:v>6.5154210315620242E-2</c:v>
                </c:pt>
                <c:pt idx="4">
                  <c:v>6.5667514401579488E-2</c:v>
                </c:pt>
                <c:pt idx="5">
                  <c:v>6.5396205821060219E-2</c:v>
                </c:pt>
                <c:pt idx="6">
                  <c:v>6.477118389027979E-2</c:v>
                </c:pt>
                <c:pt idx="7">
                  <c:v>6.4944469727742149E-2</c:v>
                </c:pt>
                <c:pt idx="8">
                  <c:v>6.6134135094987279E-2</c:v>
                </c:pt>
                <c:pt idx="9">
                  <c:v>6.5977743730147406E-2</c:v>
                </c:pt>
                <c:pt idx="10">
                  <c:v>6.5150327584794485E-2</c:v>
                </c:pt>
                <c:pt idx="11">
                  <c:v>6.5264489444471899E-2</c:v>
                </c:pt>
                <c:pt idx="12">
                  <c:v>6.489987589629391E-2</c:v>
                </c:pt>
              </c:numCache>
            </c:numRef>
          </c:val>
          <c:extLst>
            <c:ext xmlns:c16="http://schemas.microsoft.com/office/drawing/2014/chart" uri="{C3380CC4-5D6E-409C-BE32-E72D297353CC}">
              <c16:uniqueId val="{0000000D-0C81-4621-B088-67C1A5D48C99}"/>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data!$US$42:$US$54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E-0C81-4621-B088-67C1A5D48C99}"/>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data!$UT$42:$UT$54</c:f>
              <c:numCache>
                <c:formatCode>0.00E+00</c:formatCode>
                <c:ptCount val="13"/>
                <c:pt idx="1">
                  <c:v>2.8010488545990864</c:v>
                </c:pt>
                <c:pt idx="2">
                  <c:v>2.7941776205443074</c:v>
                </c:pt>
                <c:pt idx="3">
                  <c:v>2.8020170143282885</c:v>
                </c:pt>
                <c:pt idx="4">
                  <c:v>2.8022008570070893</c:v>
                </c:pt>
                <c:pt idx="5">
                  <c:v>2.8038709640792279</c:v>
                </c:pt>
                <c:pt idx="6">
                  <c:v>2.803253596513787</c:v>
                </c:pt>
                <c:pt idx="7">
                  <c:v>2.8002163752694629</c:v>
                </c:pt>
                <c:pt idx="8">
                  <c:v>2.7950403760897378</c:v>
                </c:pt>
                <c:pt idx="9">
                  <c:v>2.794782781886755</c:v>
                </c:pt>
                <c:pt idx="10">
                  <c:v>2.7969469100801603</c:v>
                </c:pt>
                <c:pt idx="11">
                  <c:v>2.7951378356147885</c:v>
                </c:pt>
                <c:pt idx="12">
                  <c:v>2.7954072507973908</c:v>
                </c:pt>
              </c:numCache>
            </c:numRef>
          </c:val>
          <c:extLst>
            <c:ext xmlns:c16="http://schemas.microsoft.com/office/drawing/2014/chart" uri="{C3380CC4-5D6E-409C-BE32-E72D297353CC}">
              <c16:uniqueId val="{0000000F-0C81-4621-B088-67C1A5D48C99}"/>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data!$UU$42:$UU$54</c:f>
              <c:numCache>
                <c:formatCode>0.00E+00</c:formatCode>
                <c:ptCount val="13"/>
                <c:pt idx="1">
                  <c:v>0.54283516205736504</c:v>
                </c:pt>
                <c:pt idx="2">
                  <c:v>0.54424727427240516</c:v>
                </c:pt>
                <c:pt idx="3">
                  <c:v>0.54321395085772095</c:v>
                </c:pt>
                <c:pt idx="4">
                  <c:v>0.54129543071121033</c:v>
                </c:pt>
                <c:pt idx="5">
                  <c:v>0.54264424696941693</c:v>
                </c:pt>
                <c:pt idx="6">
                  <c:v>0.54340912036526412</c:v>
                </c:pt>
                <c:pt idx="7">
                  <c:v>0.54355937942920063</c:v>
                </c:pt>
                <c:pt idx="8">
                  <c:v>0.54375407741180637</c:v>
                </c:pt>
                <c:pt idx="9">
                  <c:v>0.54380463341385066</c:v>
                </c:pt>
                <c:pt idx="10">
                  <c:v>0.54354196597828752</c:v>
                </c:pt>
                <c:pt idx="11">
                  <c:v>0.54323621864065896</c:v>
                </c:pt>
                <c:pt idx="12">
                  <c:v>0.54222620045317771</c:v>
                </c:pt>
              </c:numCache>
            </c:numRef>
          </c:val>
          <c:extLst>
            <c:ext xmlns:c16="http://schemas.microsoft.com/office/drawing/2014/chart" uri="{C3380CC4-5D6E-409C-BE32-E72D297353CC}">
              <c16:uniqueId val="{00000010-0C81-4621-B088-67C1A5D48C99}"/>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data!$UV$42:$UV$54</c:f>
              <c:numCache>
                <c:formatCode>0.00E+00</c:formatCode>
                <c:ptCount val="13"/>
                <c:pt idx="1">
                  <c:v>0.16749174983096907</c:v>
                </c:pt>
                <c:pt idx="2">
                  <c:v>0.16818216248128132</c:v>
                </c:pt>
                <c:pt idx="3">
                  <c:v>0.16703437748683089</c:v>
                </c:pt>
                <c:pt idx="4">
                  <c:v>0.16726026820938428</c:v>
                </c:pt>
                <c:pt idx="5">
                  <c:v>0.16758008541521177</c:v>
                </c:pt>
                <c:pt idx="6">
                  <c:v>0.16610739665688343</c:v>
                </c:pt>
                <c:pt idx="7">
                  <c:v>0.16860464253564844</c:v>
                </c:pt>
                <c:pt idx="8">
                  <c:v>0.16918260574874366</c:v>
                </c:pt>
                <c:pt idx="9">
                  <c:v>0.16884037433767721</c:v>
                </c:pt>
                <c:pt idx="10">
                  <c:v>0.16924798035036301</c:v>
                </c:pt>
                <c:pt idx="11">
                  <c:v>0.16929768301246162</c:v>
                </c:pt>
                <c:pt idx="12">
                  <c:v>0.16962943505237169</c:v>
                </c:pt>
              </c:numCache>
            </c:numRef>
          </c:val>
          <c:extLst>
            <c:ext xmlns:c16="http://schemas.microsoft.com/office/drawing/2014/chart" uri="{C3380CC4-5D6E-409C-BE32-E72D297353CC}">
              <c16:uniqueId val="{00000011-0C81-4621-B088-67C1A5D48C99}"/>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data!$UW$42:$UW$54</c:f>
              <c:numCache>
                <c:formatCode>0.00E+00</c:formatCode>
                <c:ptCount val="13"/>
                <c:pt idx="1">
                  <c:v>0.43630433462154172</c:v>
                </c:pt>
                <c:pt idx="2">
                  <c:v>0.43650484754732582</c:v>
                </c:pt>
                <c:pt idx="3">
                  <c:v>0.43660675306736541</c:v>
                </c:pt>
                <c:pt idx="4">
                  <c:v>0.43717042802094369</c:v>
                </c:pt>
                <c:pt idx="5">
                  <c:v>0.43542007622160073</c:v>
                </c:pt>
                <c:pt idx="6">
                  <c:v>0.43662663257690804</c:v>
                </c:pt>
                <c:pt idx="7">
                  <c:v>0.43536990386653568</c:v>
                </c:pt>
                <c:pt idx="8">
                  <c:v>0.43608673846846258</c:v>
                </c:pt>
                <c:pt idx="9">
                  <c:v>0.4361415428832584</c:v>
                </c:pt>
                <c:pt idx="10">
                  <c:v>0.43592910600089368</c:v>
                </c:pt>
                <c:pt idx="11">
                  <c:v>0.43643971590656655</c:v>
                </c:pt>
                <c:pt idx="12">
                  <c:v>0.43683086743991983</c:v>
                </c:pt>
              </c:numCache>
            </c:numRef>
          </c:val>
          <c:extLst>
            <c:ext xmlns:c16="http://schemas.microsoft.com/office/drawing/2014/chart" uri="{C3380CC4-5D6E-409C-BE32-E72D297353CC}">
              <c16:uniqueId val="{00000012-0C81-4621-B088-67C1A5D48C99}"/>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data!$UX$42:$UX$54</c:f>
              <c:numCache>
                <c:formatCode>0.00E+00</c:formatCode>
                <c:ptCount val="13"/>
                <c:pt idx="1">
                  <c:v>5.1007498451847032E-5</c:v>
                </c:pt>
                <c:pt idx="2">
                  <c:v>3.3449664763932301E-6</c:v>
                </c:pt>
                <c:pt idx="3">
                  <c:v>7.3725037332153895E-6</c:v>
                </c:pt>
                <c:pt idx="4">
                  <c:v>0</c:v>
                </c:pt>
                <c:pt idx="5">
                  <c:v>0</c:v>
                </c:pt>
                <c:pt idx="6">
                  <c:v>8.2470225844385309E-5</c:v>
                </c:pt>
                <c:pt idx="7">
                  <c:v>2.2530506889118965E-6</c:v>
                </c:pt>
                <c:pt idx="8">
                  <c:v>0</c:v>
                </c:pt>
                <c:pt idx="9">
                  <c:v>1.254724941069743E-6</c:v>
                </c:pt>
                <c:pt idx="10">
                  <c:v>1.5967837608260449E-5</c:v>
                </c:pt>
                <c:pt idx="11">
                  <c:v>4.0284623738478641E-5</c:v>
                </c:pt>
                <c:pt idx="12">
                  <c:v>0</c:v>
                </c:pt>
              </c:numCache>
            </c:numRef>
          </c:val>
          <c:extLst>
            <c:ext xmlns:c16="http://schemas.microsoft.com/office/drawing/2014/chart" uri="{C3380CC4-5D6E-409C-BE32-E72D297353CC}">
              <c16:uniqueId val="{00000013-0C81-4621-B088-67C1A5D48C99}"/>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00-6C51-48B7-BD2C-28FB14F8F0B4}"/>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2.6977082971089437</c:v>
                </c:pt>
              </c:numCache>
            </c:numRef>
          </c:val>
          <c:extLst>
            <c:ext xmlns:c16="http://schemas.microsoft.com/office/drawing/2014/chart" uri="{C3380CC4-5D6E-409C-BE32-E72D297353CC}">
              <c16:uniqueId val="{00000014-0C81-4621-B088-67C1A5D48C99}"/>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0.24891640524617673</c:v>
                </c:pt>
              </c:numCache>
            </c:numRef>
          </c:val>
          <c:extLst>
            <c:ext xmlns:c16="http://schemas.microsoft.com/office/drawing/2014/chart" uri="{C3380CC4-5D6E-409C-BE32-E72D297353CC}">
              <c16:uniqueId val="{00000015-0C81-4621-B088-67C1A5D48C99}"/>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4.8313498374958783</c:v>
                </c:pt>
              </c:numCache>
            </c:numRef>
          </c:val>
          <c:extLst>
            <c:ext xmlns:c16="http://schemas.microsoft.com/office/drawing/2014/chart" uri="{C3380CC4-5D6E-409C-BE32-E72D297353CC}">
              <c16:uniqueId val="{00000016-0C81-4621-B088-67C1A5D48C99}"/>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4.8122009547692608</c:v>
                </c:pt>
              </c:numCache>
            </c:numRef>
          </c:val>
          <c:extLst>
            <c:ext xmlns:c16="http://schemas.microsoft.com/office/drawing/2014/chart" uri="{C3380CC4-5D6E-409C-BE32-E72D297353CC}">
              <c16:uniqueId val="{00000017-0C81-4621-B088-67C1A5D48C99}"/>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8.0487448380000011</c:v>
                </c:pt>
              </c:numCache>
            </c:numRef>
          </c:val>
          <c:extLst>
            <c:ext xmlns:c16="http://schemas.microsoft.com/office/drawing/2014/chart" uri="{C3380CC4-5D6E-409C-BE32-E72D297353CC}">
              <c16:uniqueId val="{00000018-0C81-4621-B088-67C1A5D48C99}"/>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3332668828143061"/>
          <c:y val="0.12364554262684795"/>
          <c:w val="0.64752687882727467"/>
          <c:h val="0.64508225053763513"/>
        </c:manualLayout>
      </c:layout>
      <c:barChart>
        <c:barDir val="col"/>
        <c:grouping val="stacked"/>
        <c:varyColors val="0"/>
        <c:ser>
          <c:idx val="0"/>
          <c:order val="0"/>
          <c:tx>
            <c:strRef>
              <c:f>data!$VN$28</c:f>
              <c:strCache>
                <c:ptCount val="1"/>
                <c:pt idx="0">
                  <c:v>demand rate(L1D,L2 miss)</c:v>
                </c:pt>
              </c:strCache>
            </c:strRef>
          </c:tx>
          <c:spPr>
            <a:solidFill>
              <a:srgbClr val="660033"/>
            </a:solidFill>
            <a:ln>
              <a:solidFill>
                <a:schemeClr val="tx1"/>
              </a:solidFill>
            </a:ln>
          </c:spPr>
          <c:invertIfNegative val="0"/>
          <c:cat>
            <c:strRef>
              <c:f>data!$VM$31:$VM$32</c:f>
              <c:strCache>
                <c:ptCount val="2"/>
                <c:pt idx="0">
                  <c:v>L1D miss</c:v>
                </c:pt>
                <c:pt idx="1">
                  <c:v>L2 miss</c:v>
                </c:pt>
              </c:strCache>
            </c:strRef>
          </c:cat>
          <c:val>
            <c:numRef>
              <c:f>data!$VN$31:$VN$32</c:f>
              <c:numCache>
                <c:formatCode>0.00%</c:formatCode>
                <c:ptCount val="2"/>
                <c:pt idx="0">
                  <c:v>3.8513357702411825E-3</c:v>
                </c:pt>
                <c:pt idx="1">
                  <c:v>1.4460015425210346E-2</c:v>
                </c:pt>
              </c:numCache>
            </c:numRef>
          </c:val>
          <c:extLst>
            <c:ext xmlns:c16="http://schemas.microsoft.com/office/drawing/2014/chart" uri="{C3380CC4-5D6E-409C-BE32-E72D297353CC}">
              <c16:uniqueId val="{00000000-CB77-40D5-BF9C-73DA64C52B13}"/>
            </c:ext>
          </c:extLst>
        </c:ser>
        <c:ser>
          <c:idx val="1"/>
          <c:order val="1"/>
          <c:tx>
            <c:strRef>
              <c:f>data!$VO$28</c:f>
              <c:strCache>
                <c:ptCount val="1"/>
                <c:pt idx="0">
                  <c:v>hardware prefetch rate and software prefetch rate(L1D,L2 miss)</c:v>
                </c:pt>
              </c:strCache>
            </c:strRef>
          </c:tx>
          <c:spPr>
            <a:solidFill>
              <a:srgbClr val="CCCCFF"/>
            </a:solidFill>
            <a:ln>
              <a:solidFill>
                <a:schemeClr val="tx1"/>
              </a:solidFill>
            </a:ln>
          </c:spPr>
          <c:invertIfNegative val="0"/>
          <c:cat>
            <c:strRef>
              <c:f>data!$VM$31:$VM$32</c:f>
              <c:strCache>
                <c:ptCount val="2"/>
                <c:pt idx="0">
                  <c:v>L1D miss</c:v>
                </c:pt>
                <c:pt idx="1">
                  <c:v>L2 miss</c:v>
                </c:pt>
              </c:strCache>
            </c:strRef>
          </c:cat>
          <c:val>
            <c:numRef>
              <c:f>data!$VO$31:$VO$32</c:f>
              <c:numCache>
                <c:formatCode>0.00%</c:formatCode>
                <c:ptCount val="2"/>
                <c:pt idx="0">
                  <c:v>0.11519970014782965</c:v>
                </c:pt>
                <c:pt idx="1">
                  <c:v>0.1030749754766358</c:v>
                </c:pt>
              </c:numCache>
            </c:numRef>
          </c:val>
          <c:extLst>
            <c:ext xmlns:c16="http://schemas.microsoft.com/office/drawing/2014/chart" uri="{C3380CC4-5D6E-409C-BE32-E72D297353CC}">
              <c16:uniqueId val="{00000001-95F0-49E8-A361-98D0BEFE8DC7}"/>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0437069389763782E-2"/>
          <c:y val="0.82684483630664329"/>
          <c:w val="0.97521287569833948"/>
          <c:h val="0.147833428037990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287525931978652"/>
          <c:w val="0.64331721692683153"/>
          <c:h val="0.64619283364982127"/>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3.8513357702411825E-3</c:v>
                </c:pt>
                <c:pt idx="1">
                  <c:v>1.4460015425210346E-2</c:v>
                </c:pt>
              </c:numCache>
            </c:numRef>
          </c:val>
          <c:extLst>
            <c:ext xmlns:c16="http://schemas.microsoft.com/office/drawing/2014/chart" uri="{C3380CC4-5D6E-409C-BE32-E72D297353CC}">
              <c16:uniqueId val="{00000000-6D48-4BB0-981C-72FE169C7F8C}"/>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0.11383445237557867</c:v>
                </c:pt>
                <c:pt idx="1">
                  <c:v>0.10328164728867048</c:v>
                </c:pt>
              </c:numCache>
            </c:numRef>
          </c:val>
          <c:extLst>
            <c:ext xmlns:c16="http://schemas.microsoft.com/office/drawing/2014/chart" uri="{C3380CC4-5D6E-409C-BE32-E72D297353CC}">
              <c16:uniqueId val="{00000001-6D48-4BB0-981C-72FE169C7F8C}"/>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1.3652477722509927E-3</c:v>
                </c:pt>
                <c:pt idx="1">
                  <c:v>0</c:v>
                </c:pt>
              </c:numCache>
            </c:numRef>
          </c:val>
          <c:extLst>
            <c:ext xmlns:c16="http://schemas.microsoft.com/office/drawing/2014/chart" uri="{C3380CC4-5D6E-409C-BE32-E72D297353CC}">
              <c16:uniqueId val="{00000002-6D48-4BB0-981C-72FE169C7F8C}"/>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2888827493054599E-2"/>
          <c:y val="0.82815475781625636"/>
          <c:w val="0.97422234501389082"/>
          <c:h val="0.1481095493515333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17</xdr:col>
      <xdr:colOff>0</xdr:colOff>
      <xdr:row>27</xdr:row>
      <xdr:rowOff>0</xdr:rowOff>
    </xdr:from>
    <xdr:to>
      <xdr:col>20</xdr:col>
      <xdr:colOff>762000</xdr:colOff>
      <xdr:row>67</xdr:row>
      <xdr:rowOff>0</xdr:rowOff>
    </xdr:to>
    <xdr:graphicFrame macro="">
      <xdr:nvGraphicFramePr>
        <xdr:cNvPr id="11" name="Graph_Statistics">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0</xdr:colOff>
      <xdr:row>91</xdr:row>
      <xdr:rowOff>0</xdr:rowOff>
    </xdr:from>
    <xdr:to>
      <xdr:col>37</xdr:col>
      <xdr:colOff>0</xdr:colOff>
      <xdr:row>111</xdr:row>
      <xdr:rowOff>0</xdr:rowOff>
    </xdr:to>
    <xdr:graphicFrame macro="">
      <xdr:nvGraphicFramePr>
        <xdr:cNvPr id="19" name="Graph_ PowerConsumption">
          <a:extLst>
            <a:ext uri="{FF2B5EF4-FFF2-40B4-BE49-F238E27FC236}">
              <a16:creationId xmlns:a16="http://schemas.microsoft.com/office/drawing/2014/main" id="{00000000-0008-0000-0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0</xdr:colOff>
      <xdr:row>26</xdr:row>
      <xdr:rowOff>196849</xdr:rowOff>
    </xdr:from>
    <xdr:to>
      <xdr:col>37</xdr:col>
      <xdr:colOff>685800</xdr:colOff>
      <xdr:row>66</xdr:row>
      <xdr:rowOff>196849</xdr:rowOff>
    </xdr:to>
    <xdr:graphicFrame macro="">
      <xdr:nvGraphicFramePr>
        <xdr:cNvPr id="41" name="Graph_CA_Lv3">
          <a:extLst>
            <a:ext uri="{FF2B5EF4-FFF2-40B4-BE49-F238E27FC236}">
              <a16:creationId xmlns:a16="http://schemas.microsoft.com/office/drawing/2014/main" id="{00000000-0008-0000-00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27</xdr:row>
      <xdr:rowOff>0</xdr:rowOff>
    </xdr:from>
    <xdr:to>
      <xdr:col>24</xdr:col>
      <xdr:colOff>685800</xdr:colOff>
      <xdr:row>67</xdr:row>
      <xdr:rowOff>0</xdr:rowOff>
    </xdr:to>
    <xdr:graphicFrame macro="">
      <xdr:nvGraphicFramePr>
        <xdr:cNvPr id="42" name="Graph_Cache_Lv3">
          <a:extLst>
            <a:ext uri="{FF2B5EF4-FFF2-40B4-BE49-F238E27FC236}">
              <a16:creationId xmlns:a16="http://schemas.microsoft.com/office/drawing/2014/main" id="{00000000-0008-0000-00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3.xml><?xml version="1.0" encoding="utf-8"?>
<xdr:wsDr xmlns:xdr="http://schemas.openxmlformats.org/drawingml/2006/spreadsheetDrawing" xmlns:a="http://schemas.openxmlformats.org/drawingml/2006/main">
  <xdr:twoCellAnchor>
    <xdr:from>
      <xdr:col>536</xdr:col>
      <xdr:colOff>0</xdr:colOff>
      <xdr:row>56</xdr:row>
      <xdr:rowOff>0</xdr:rowOff>
    </xdr:from>
    <xdr:to>
      <xdr:col>543</xdr:col>
      <xdr:colOff>1219118</xdr:colOff>
      <xdr:row>96</xdr:row>
      <xdr:rowOff>129639</xdr:rowOff>
    </xdr:to>
    <xdr:graphicFrame macro="">
      <xdr:nvGraphicFramePr>
        <xdr:cNvPr id="9" name="Graph_CA_Lv2">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548</xdr:col>
      <xdr:colOff>0</xdr:colOff>
      <xdr:row>56</xdr:row>
      <xdr:rowOff>0</xdr:rowOff>
    </xdr:from>
    <xdr:to>
      <xdr:col>556</xdr:col>
      <xdr:colOff>1867</xdr:colOff>
      <xdr:row>95</xdr:row>
      <xdr:rowOff>78775</xdr:rowOff>
    </xdr:to>
    <xdr:graphicFrame macro="">
      <xdr:nvGraphicFramePr>
        <xdr:cNvPr id="10" name="Graph_CA_Lv3">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584</xdr:col>
      <xdr:colOff>0</xdr:colOff>
      <xdr:row>43</xdr:row>
      <xdr:rowOff>0</xdr:rowOff>
    </xdr:from>
    <xdr:to>
      <xdr:col>588</xdr:col>
      <xdr:colOff>0</xdr:colOff>
      <xdr:row>85</xdr:row>
      <xdr:rowOff>0</xdr:rowOff>
    </xdr:to>
    <xdr:graphicFrame macro="">
      <xdr:nvGraphicFramePr>
        <xdr:cNvPr id="11" name="Graph_Cache_Lv2">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589</xdr:col>
      <xdr:colOff>0</xdr:colOff>
      <xdr:row>43</xdr:row>
      <xdr:rowOff>0</xdr:rowOff>
    </xdr:from>
    <xdr:to>
      <xdr:col>593</xdr:col>
      <xdr:colOff>6350</xdr:colOff>
      <xdr:row>85</xdr:row>
      <xdr:rowOff>0</xdr:rowOff>
    </xdr:to>
    <xdr:graphicFrame macro="">
      <xdr:nvGraphicFramePr>
        <xdr:cNvPr id="12" name="Graph_Cache_Lv3">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165100</xdr:colOff>
      <xdr:row>2</xdr:row>
      <xdr:rowOff>222250</xdr:rowOff>
    </xdr:from>
    <xdr:to>
      <xdr:col>10</xdr:col>
      <xdr:colOff>171450</xdr:colOff>
      <xdr:row>7</xdr:row>
      <xdr:rowOff>0</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10782300" y="844550"/>
          <a:ext cx="6032500" cy="194945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【label</a:t>
          </a:r>
          <a:r>
            <a:rPr kumimoji="1" lang="ja-JP" altLang="en-US" sz="1100">
              <a:solidFill>
                <a:srgbClr val="FF0000"/>
              </a:solidFill>
            </a:rPr>
            <a:t>修正の注意点</a:t>
          </a:r>
          <a:r>
            <a:rPr kumimoji="1" lang="en-US" altLang="ja-JP" sz="1100">
              <a:solidFill>
                <a:srgbClr val="FF0000"/>
              </a:solidFill>
            </a:rPr>
            <a:t>】</a:t>
          </a:r>
        </a:p>
        <a:p>
          <a:r>
            <a:rPr kumimoji="1" lang="ja-JP" altLang="en-US" sz="1100">
              <a:solidFill>
                <a:srgbClr val="FF0000"/>
              </a:solidFill>
            </a:rPr>
            <a:t>行の追加・削除をむやみに行わないこと。</a:t>
          </a:r>
          <a:endParaRPr kumimoji="1" lang="en-US" altLang="ja-JP" sz="1100">
            <a:solidFill>
              <a:srgbClr val="FF0000"/>
            </a:solidFill>
          </a:endParaRPr>
        </a:p>
        <a:p>
          <a:r>
            <a:rPr kumimoji="1" lang="ja-JP" altLang="en-US" sz="1100">
              <a:solidFill>
                <a:srgbClr val="FF0000"/>
              </a:solidFill>
            </a:rPr>
            <a:t>　</a:t>
          </a:r>
          <a:r>
            <a:rPr kumimoji="1" lang="en-US" altLang="ja-JP" sz="1100">
              <a:solidFill>
                <a:srgbClr val="FF0000"/>
              </a:solidFill>
            </a:rPr>
            <a:t>report</a:t>
          </a:r>
          <a:r>
            <a:rPr kumimoji="1" lang="ja-JP" altLang="en-US" sz="1100">
              <a:solidFill>
                <a:srgbClr val="FF0000"/>
              </a:solidFill>
            </a:rPr>
            <a:t>シートの項目名と連動しているので、追加修正した場合には</a:t>
          </a:r>
          <a:r>
            <a:rPr kumimoji="1" lang="en-US" altLang="ja-JP" sz="1100">
              <a:solidFill>
                <a:srgbClr val="FF0000"/>
              </a:solidFill>
            </a:rPr>
            <a:t>report</a:t>
          </a:r>
          <a:r>
            <a:rPr kumimoji="1" lang="ja-JP" altLang="en-US" sz="1100">
              <a:solidFill>
                <a:srgbClr val="FF0000"/>
              </a:solidFill>
            </a:rPr>
            <a:t>シートに影響が出る。</a:t>
          </a:r>
          <a:endParaRPr kumimoji="1" lang="en-US" altLang="ja-JP" sz="1100">
            <a:solidFill>
              <a:srgbClr val="FF0000"/>
            </a:solidFill>
          </a:endParaRPr>
        </a:p>
        <a:p>
          <a:r>
            <a:rPr kumimoji="1" lang="ja-JP" altLang="en-US" sz="1100">
              <a:solidFill>
                <a:srgbClr val="FF0000"/>
              </a:solidFill>
            </a:rPr>
            <a:t>　・項目削除の際には欄を空欄にし削除の旨を補足に記載。行は削除しない。</a:t>
          </a:r>
          <a:endParaRPr kumimoji="1" lang="en-US" altLang="ja-JP" sz="1100">
            <a:solidFill>
              <a:srgbClr val="FF0000"/>
            </a:solidFill>
          </a:endParaRPr>
        </a:p>
        <a:p>
          <a:r>
            <a:rPr kumimoji="1" lang="ja-JP" altLang="en-US" sz="1100">
              <a:solidFill>
                <a:srgbClr val="FF0000"/>
              </a:solidFill>
            </a:rPr>
            <a:t>　・項目追加しても他の表の行がずれないように追加する。</a:t>
          </a:r>
          <a:endParaRPr kumimoji="1" lang="en-US" altLang="ja-JP" sz="1100">
            <a:solidFill>
              <a:srgbClr val="FF0000"/>
            </a:solidFill>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effectLst/>
              <a:latin typeface="+mn-lt"/>
              <a:ea typeface="+mn-ea"/>
              <a:cs typeface="+mn-cs"/>
            </a:rPr>
            <a:t>　・項目追加の際には追加行以下がずれるので、</a:t>
          </a:r>
          <a:r>
            <a:rPr kumimoji="1" lang="ja-JP" altLang="en-US" sz="1100">
              <a:solidFill>
                <a:srgbClr val="FF0000"/>
              </a:solidFill>
              <a:effectLst/>
              <a:latin typeface="+mn-lt"/>
              <a:ea typeface="+mn-ea"/>
              <a:cs typeface="+mn-cs"/>
            </a:rPr>
            <a:t>その際には影響を</a:t>
          </a:r>
          <a:r>
            <a:rPr kumimoji="1" lang="en-US" altLang="ja-JP" sz="1100">
              <a:solidFill>
                <a:srgbClr val="FF0000"/>
              </a:solidFill>
              <a:effectLst/>
              <a:latin typeface="+mn-lt"/>
              <a:ea typeface="+mn-ea"/>
              <a:cs typeface="+mn-cs"/>
            </a:rPr>
            <a:t>report</a:t>
          </a:r>
          <a:r>
            <a:rPr kumimoji="1" lang="ja-JP" altLang="en-US" sz="1100">
              <a:solidFill>
                <a:srgbClr val="FF0000"/>
              </a:solidFill>
              <a:effectLst/>
              <a:latin typeface="+mn-lt"/>
              <a:ea typeface="+mn-ea"/>
              <a:cs typeface="+mn-cs"/>
            </a:rPr>
            <a:t>シートに反映する。</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report</a:t>
          </a:r>
          <a:r>
            <a:rPr kumimoji="1" lang="ja-JP" altLang="en-US" sz="1100">
              <a:solidFill>
                <a:srgbClr val="FF0000"/>
              </a:solidFill>
            </a:rPr>
            <a:t>シートの横方向の項目名に対して記載する。</a:t>
          </a:r>
          <a:r>
            <a:rPr kumimoji="1" lang="en-US" altLang="ja-JP" sz="1100">
              <a:solidFill>
                <a:srgbClr val="FF0000"/>
              </a:solidFill>
            </a:rPr>
            <a:t>(</a:t>
          </a:r>
        </a:p>
        <a:p>
          <a:r>
            <a:rPr kumimoji="1" lang="ja-JP" altLang="en-US" sz="1100">
              <a:solidFill>
                <a:srgbClr val="FF0000"/>
              </a:solidFill>
            </a:rPr>
            <a:t>縦方向は英語名称のままとするので</a:t>
          </a:r>
          <a:r>
            <a:rPr kumimoji="1" lang="en-US" altLang="ja-JP" sz="1100">
              <a:solidFill>
                <a:srgbClr val="FF0000"/>
              </a:solidFill>
            </a:rPr>
            <a:t>)</a:t>
          </a:r>
          <a:endParaRPr kumimoji="1" lang="ja-JP" altLang="en-US" sz="1100">
            <a:solidFill>
              <a:srgbClr val="FF0000"/>
            </a:solidFill>
          </a:endParaRPr>
        </a:p>
      </xdr:txBody>
    </xdr:sp>
    <xdr:clientData/>
  </xdr:twoCellAnchor>
  <xdr:twoCellAnchor>
    <xdr:from>
      <xdr:col>3</xdr:col>
      <xdr:colOff>1622148</xdr:colOff>
      <xdr:row>0</xdr:row>
      <xdr:rowOff>0</xdr:rowOff>
    </xdr:from>
    <xdr:to>
      <xdr:col>4</xdr:col>
      <xdr:colOff>1823001</xdr:colOff>
      <xdr:row>1</xdr:row>
      <xdr:rowOff>298451</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5327373" y="0"/>
          <a:ext cx="2648778" cy="603251"/>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Information</a:t>
          </a:r>
          <a:r>
            <a:rPr kumimoji="1" lang="ja-JP" altLang="en-US" sz="1100">
              <a:solidFill>
                <a:srgbClr val="FF0000"/>
              </a:solidFill>
              <a:effectLst/>
              <a:latin typeface="+mn-lt"/>
              <a:ea typeface="+mn-ea"/>
              <a:cs typeface="+mn-cs"/>
            </a:rPr>
            <a:t>は縦方向の名称は英語名称で固定するため変更はしない</a:t>
          </a:r>
          <a:endParaRPr kumimoji="1" lang="en-US" altLang="ja-JP" sz="1100">
            <a:solidFill>
              <a:srgbClr val="FF0000"/>
            </a:solidFill>
            <a:effectLst/>
            <a:latin typeface="+mn-lt"/>
            <a:ea typeface="+mn-ea"/>
            <a:cs typeface="+mn-cs"/>
          </a:endParaRPr>
        </a:p>
        <a:p>
          <a:r>
            <a:rPr kumimoji="1" lang="ja-JP" altLang="en-US" sz="1100">
              <a:solidFill>
                <a:srgbClr val="FF0000"/>
              </a:solidFill>
              <a:effectLst/>
              <a:latin typeface="+mn-lt"/>
              <a:ea typeface="+mn-ea"/>
              <a:cs typeface="+mn-cs"/>
            </a:rPr>
            <a:t>この表は使用せず</a:t>
          </a:r>
          <a:endParaRPr kumimoji="1" lang="en-US" altLang="ja-JP" sz="1100">
            <a:solidFill>
              <a:srgbClr val="FF0000"/>
            </a:solidFill>
            <a:effectLst/>
            <a:latin typeface="+mn-lt"/>
            <a:ea typeface="+mn-ea"/>
            <a:cs typeface="+mn-cs"/>
          </a:endParaRPr>
        </a:p>
        <a:p>
          <a:endParaRPr kumimoji="1" lang="en-US" altLang="ja-JP" sz="1100">
            <a:solidFill>
              <a:srgbClr val="FF0000"/>
            </a:solidFill>
          </a:endParaRP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1"/>
  <dimension ref="A1:BC137"/>
  <sheetViews>
    <sheetView tabSelected="1" view="pageBreakPreview" zoomScale="60" zoomScaleNormal="70" workbookViewId="0"/>
  </sheetViews>
  <sheetFormatPr defaultColWidth="11.625" defaultRowHeight="15.75" x14ac:dyDescent="0.15"/>
  <cols>
    <col min="1" max="1" width="11.625" style="2"/>
    <col min="2" max="2" width="11.625" style="2" customWidth="1"/>
    <col min="3" max="5" width="11.625" style="2"/>
    <col min="6" max="6" width="11.625" style="2" customWidth="1"/>
    <col min="7" max="9" width="11.625" style="2"/>
    <col min="10" max="10" width="11.625" style="2" customWidth="1"/>
    <col min="11" max="16" width="11.625" style="2"/>
    <col min="17" max="17" width="11.625" style="2" customWidth="1"/>
    <col min="18" max="24" width="11.625" style="2"/>
    <col min="25" max="25" width="11.625" style="2" customWidth="1"/>
    <col min="26" max="16384" width="11.625" style="2"/>
  </cols>
  <sheetData>
    <row r="1" spans="1:44" ht="28.5" x14ac:dyDescent="0.15">
      <c r="A1" s="455" t="str">
        <f>"CPU Performance Analysis Report " &amp; data!C18</f>
        <v>CPU Performance Analysis Report 4.2.1</v>
      </c>
    </row>
    <row r="2" spans="1:44" ht="16.5" thickBot="1" x14ac:dyDescent="0.2"/>
    <row r="3" spans="1:44" x14ac:dyDescent="0.15">
      <c r="A3" s="783" t="str">
        <f>data!F4</f>
        <v>Measured time</v>
      </c>
      <c r="B3" s="784"/>
      <c r="C3" s="785" t="str">
        <f>data!G4</f>
        <v>Wed Nov 22 12:09:47 2023</v>
      </c>
      <c r="D3" s="786"/>
      <c r="E3" s="786"/>
      <c r="F3" s="787"/>
      <c r="H3" s="793" t="str">
        <f>data!F10</f>
        <v>Process no.</v>
      </c>
      <c r="I3" s="794"/>
      <c r="J3" s="767">
        <f>data!G10</f>
        <v>0</v>
      </c>
      <c r="K3" s="767"/>
      <c r="L3" s="767"/>
      <c r="M3" s="768"/>
      <c r="O3" s="793" t="str">
        <f>data!F14</f>
        <v>Vector length (bit)</v>
      </c>
      <c r="P3" s="794"/>
      <c r="Q3" s="767">
        <f>data!G14</f>
        <v>512</v>
      </c>
      <c r="R3" s="767"/>
      <c r="S3" s="767"/>
      <c r="T3" s="768"/>
    </row>
    <row r="4" spans="1:44" ht="16.5" thickBot="1" x14ac:dyDescent="0.2">
      <c r="A4" s="788" t="str">
        <f>data!F5</f>
        <v>Node name</v>
      </c>
      <c r="B4" s="789"/>
      <c r="C4" s="790" t="str">
        <f>data!G5</f>
        <v>h34-5001c</v>
      </c>
      <c r="D4" s="791"/>
      <c r="E4" s="791"/>
      <c r="F4" s="792"/>
      <c r="H4" s="795" t="str">
        <f>data!F11</f>
        <v>CMG no.</v>
      </c>
      <c r="I4" s="796"/>
      <c r="J4" s="797">
        <f>data!G11</f>
        <v>0</v>
      </c>
      <c r="K4" s="797"/>
      <c r="L4" s="797"/>
      <c r="M4" s="798"/>
      <c r="O4" s="774" t="str">
        <f>data!F15</f>
        <v>CPU frequency (GHz)</v>
      </c>
      <c r="P4" s="775"/>
      <c r="Q4" s="801">
        <f>data!G15</f>
        <v>2.1999900704247959</v>
      </c>
      <c r="R4" s="801"/>
      <c r="S4" s="801"/>
      <c r="T4" s="802"/>
    </row>
    <row r="5" spans="1:44" ht="16.5" thickBot="1" x14ac:dyDescent="0.2">
      <c r="H5" s="774" t="str">
        <f>data!F12</f>
        <v>Measured region</v>
      </c>
      <c r="I5" s="775"/>
      <c r="J5" s="776" t="str">
        <f>data!G12</f>
        <v>pairljcutintel, 0</v>
      </c>
      <c r="K5" s="776"/>
      <c r="L5" s="776"/>
      <c r="M5" s="777"/>
    </row>
    <row r="7" spans="1:44" ht="16.5" thickBot="1" x14ac:dyDescent="0.2"/>
    <row r="8" spans="1:44" ht="15.75" customHeight="1" x14ac:dyDescent="0.15">
      <c r="A8" s="627" t="str">
        <f>data!NC25</f>
        <v>Statistics</v>
      </c>
      <c r="B8" s="628"/>
      <c r="C8" s="602" t="str">
        <f>data!NC28</f>
        <v>Execution time (s)</v>
      </c>
      <c r="D8" s="604" t="str">
        <f>data!ND28</f>
        <v>GFLOPS</v>
      </c>
      <c r="E8" s="604" t="str">
        <f>data!NE28</f>
        <v>Floating-point operation peak ratio (%)</v>
      </c>
      <c r="F8" s="604" t="str">
        <f>data!NF28</f>
        <v>Memory throughput (GB/s)</v>
      </c>
      <c r="G8" s="604" t="str">
        <f>data!NG28</f>
        <v>Memory throughput peak ratio (%)</v>
      </c>
      <c r="H8" s="604" t="str">
        <f>data!NH28</f>
        <v>Effective instruction</v>
      </c>
      <c r="I8" s="604" t="str">
        <f>data!NI28</f>
        <v>Floating-point operation</v>
      </c>
      <c r="J8" s="615" t="str">
        <f>data!NJ28</f>
        <v>SIMD instruction rate (%) (/Effective instruction)</v>
      </c>
      <c r="K8" s="612" t="str">
        <f>data!NK28</f>
        <v>SVE operation rate (%)</v>
      </c>
      <c r="L8" s="612" t="str">
        <f>data!NL28</f>
        <v>Floating-point pipeline Active element rate (%)</v>
      </c>
      <c r="M8" s="612" t="str">
        <f>data!NM28</f>
        <v>IPC</v>
      </c>
      <c r="N8" s="760" t="str">
        <f>data!NN28</f>
        <v>GIPS</v>
      </c>
      <c r="P8" s="648" t="str">
        <f>data!NO25</f>
        <v>Cycle Accounting</v>
      </c>
      <c r="Q8" s="731"/>
      <c r="R8" s="756" t="str">
        <f>data!NO27</f>
        <v>Prefetch port busy wait</v>
      </c>
      <c r="S8" s="744"/>
      <c r="T8" s="700" t="str">
        <f>data!NQ27</f>
        <v>Memory access wait &amp; Cache access wait</v>
      </c>
      <c r="U8" s="701"/>
      <c r="V8" s="701"/>
      <c r="W8" s="701"/>
      <c r="X8" s="701"/>
      <c r="Y8" s="702"/>
      <c r="Z8" s="700" t="str">
        <f>data!NW27</f>
        <v>Operation wait</v>
      </c>
      <c r="AA8" s="702"/>
      <c r="AB8" s="700" t="str">
        <f>data!NY27</f>
        <v>Other wait</v>
      </c>
      <c r="AC8" s="702"/>
      <c r="AD8" s="707" t="str">
        <f>data!OA28</f>
        <v>Store port busy wait</v>
      </c>
      <c r="AE8" s="707" t="str">
        <f>data!OB28</f>
        <v>Instruction fetch wait</v>
      </c>
      <c r="AF8" s="707" t="str">
        <f>data!OC28</f>
        <v>Barrier synchronization wait</v>
      </c>
      <c r="AG8" s="707" t="str">
        <f>data!OD28</f>
        <v>1 instruction commit</v>
      </c>
      <c r="AH8" s="700" t="str">
        <f>data!OD27</f>
        <v>Other instruction commit</v>
      </c>
      <c r="AI8" s="701"/>
      <c r="AJ8" s="701"/>
      <c r="AK8" s="702"/>
      <c r="AL8" s="691" t="str">
        <f>data!OI28</f>
        <v>Total</v>
      </c>
    </row>
    <row r="9" spans="1:44" ht="15.75" customHeight="1" x14ac:dyDescent="0.15">
      <c r="A9" s="629"/>
      <c r="B9" s="630"/>
      <c r="C9" s="603"/>
      <c r="D9" s="605"/>
      <c r="E9" s="605"/>
      <c r="F9" s="605"/>
      <c r="G9" s="605"/>
      <c r="H9" s="605"/>
      <c r="I9" s="605"/>
      <c r="J9" s="616"/>
      <c r="K9" s="613"/>
      <c r="L9" s="613"/>
      <c r="M9" s="613"/>
      <c r="N9" s="761"/>
      <c r="P9" s="650"/>
      <c r="Q9" s="732"/>
      <c r="R9" s="673" t="str">
        <f>data!NO28</f>
        <v>Prefetch port busy wait by hardware prefetch</v>
      </c>
      <c r="S9" s="636" t="str">
        <f>data!NP28</f>
        <v>Prefetch port busy wait by software prefetch</v>
      </c>
      <c r="T9" s="636" t="str">
        <f>data!NQ28</f>
        <v>Integer load memory access wait</v>
      </c>
      <c r="U9" s="636" t="str">
        <f>data!NR28</f>
        <v>Floating-point load memory access wait</v>
      </c>
      <c r="V9" s="636" t="str">
        <f>data!NS28</f>
        <v>Integer load L2 cache access wait</v>
      </c>
      <c r="W9" s="636" t="str">
        <f>data!NT28</f>
        <v>Integer load L1D cache access wait</v>
      </c>
      <c r="X9" s="636" t="str">
        <f>data!NU28</f>
        <v>Floating-point load L2 cache access wait</v>
      </c>
      <c r="Y9" s="636" t="str">
        <f>data!NV28</f>
        <v>Floating-point load L1D cache access wait (*)</v>
      </c>
      <c r="Z9" s="636" t="str">
        <f>data!NW28</f>
        <v>Integer operation wait</v>
      </c>
      <c r="AA9" s="636" t="str">
        <f>data!NX28</f>
        <v>Floating-point operation wait</v>
      </c>
      <c r="AB9" s="636" t="str">
        <f>data!NY28</f>
        <v>Branch instruction wait</v>
      </c>
      <c r="AC9" s="636" t="str">
        <f>data!NZ28</f>
        <v>Other wait</v>
      </c>
      <c r="AD9" s="708"/>
      <c r="AE9" s="708"/>
      <c r="AF9" s="708"/>
      <c r="AG9" s="708"/>
      <c r="AH9" s="636" t="str">
        <f>data!OE28</f>
        <v>2 instruction commit</v>
      </c>
      <c r="AI9" s="636" t="str">
        <f>data!OF28</f>
        <v>3 instruction commit</v>
      </c>
      <c r="AJ9" s="636" t="str">
        <f>data!OG28</f>
        <v>4 instruction commit</v>
      </c>
      <c r="AK9" s="636" t="str">
        <f>data!OH28</f>
        <v>Other instruction commit</v>
      </c>
      <c r="AL9" s="692"/>
    </row>
    <row r="10" spans="1:44" ht="15.75" customHeight="1" x14ac:dyDescent="0.15">
      <c r="A10" s="629"/>
      <c r="B10" s="630"/>
      <c r="C10" s="603"/>
      <c r="D10" s="605"/>
      <c r="E10" s="605"/>
      <c r="F10" s="605"/>
      <c r="G10" s="605"/>
      <c r="H10" s="605"/>
      <c r="I10" s="605"/>
      <c r="J10" s="616"/>
      <c r="K10" s="613"/>
      <c r="L10" s="613"/>
      <c r="M10" s="613"/>
      <c r="N10" s="761"/>
      <c r="P10" s="650"/>
      <c r="Q10" s="732"/>
      <c r="R10" s="674"/>
      <c r="S10" s="637"/>
      <c r="T10" s="637"/>
      <c r="U10" s="637"/>
      <c r="V10" s="637"/>
      <c r="W10" s="637"/>
      <c r="X10" s="637"/>
      <c r="Y10" s="637"/>
      <c r="Z10" s="637"/>
      <c r="AA10" s="637"/>
      <c r="AB10" s="637"/>
      <c r="AC10" s="637"/>
      <c r="AD10" s="708"/>
      <c r="AE10" s="708"/>
      <c r="AF10" s="708"/>
      <c r="AG10" s="708"/>
      <c r="AH10" s="637"/>
      <c r="AI10" s="637"/>
      <c r="AJ10" s="637"/>
      <c r="AK10" s="637"/>
      <c r="AL10" s="692"/>
    </row>
    <row r="11" spans="1:44" ht="15.75" customHeight="1" x14ac:dyDescent="0.15">
      <c r="A11" s="629"/>
      <c r="B11" s="630"/>
      <c r="C11" s="603"/>
      <c r="D11" s="605"/>
      <c r="E11" s="605"/>
      <c r="F11" s="605"/>
      <c r="G11" s="605"/>
      <c r="H11" s="605"/>
      <c r="I11" s="605"/>
      <c r="J11" s="616"/>
      <c r="K11" s="613"/>
      <c r="L11" s="613"/>
      <c r="M11" s="613"/>
      <c r="N11" s="761"/>
      <c r="P11" s="650"/>
      <c r="Q11" s="732"/>
      <c r="R11" s="674"/>
      <c r="S11" s="637"/>
      <c r="T11" s="637"/>
      <c r="U11" s="637"/>
      <c r="V11" s="637"/>
      <c r="W11" s="637"/>
      <c r="X11" s="637"/>
      <c r="Y11" s="637"/>
      <c r="Z11" s="637"/>
      <c r="AA11" s="637"/>
      <c r="AB11" s="637"/>
      <c r="AC11" s="637"/>
      <c r="AD11" s="708"/>
      <c r="AE11" s="708"/>
      <c r="AF11" s="708"/>
      <c r="AG11" s="708"/>
      <c r="AH11" s="637"/>
      <c r="AI11" s="637"/>
      <c r="AJ11" s="637"/>
      <c r="AK11" s="637"/>
      <c r="AL11" s="692"/>
    </row>
    <row r="12" spans="1:44" ht="15.6" customHeight="1" x14ac:dyDescent="0.15">
      <c r="A12" s="629"/>
      <c r="B12" s="630"/>
      <c r="C12" s="603"/>
      <c r="D12" s="605"/>
      <c r="E12" s="606"/>
      <c r="F12" s="605"/>
      <c r="G12" s="606"/>
      <c r="H12" s="605"/>
      <c r="I12" s="605"/>
      <c r="J12" s="617"/>
      <c r="K12" s="613"/>
      <c r="L12" s="613"/>
      <c r="M12" s="613"/>
      <c r="N12" s="761"/>
      <c r="P12" s="652"/>
      <c r="Q12" s="733"/>
      <c r="R12" s="694"/>
      <c r="S12" s="695"/>
      <c r="T12" s="696"/>
      <c r="U12" s="697"/>
      <c r="V12" s="698"/>
      <c r="W12" s="638"/>
      <c r="X12" s="699"/>
      <c r="Y12" s="638"/>
      <c r="Z12" s="703"/>
      <c r="AA12" s="704"/>
      <c r="AB12" s="705"/>
      <c r="AC12" s="706"/>
      <c r="AD12" s="715"/>
      <c r="AE12" s="709"/>
      <c r="AF12" s="713"/>
      <c r="AG12" s="714"/>
      <c r="AH12" s="710"/>
      <c r="AI12" s="711"/>
      <c r="AJ12" s="712"/>
      <c r="AK12" s="716"/>
      <c r="AL12" s="693"/>
    </row>
    <row r="13" spans="1:44" ht="15.75" customHeight="1" thickBot="1" x14ac:dyDescent="0.2">
      <c r="A13" s="440" t="s">
        <v>1473</v>
      </c>
      <c r="B13" s="441" t="s">
        <v>1474</v>
      </c>
      <c r="C13" s="130"/>
      <c r="D13" s="122"/>
      <c r="E13" s="28"/>
      <c r="F13" s="122"/>
      <c r="G13" s="29"/>
      <c r="H13" s="122"/>
      <c r="I13" s="122"/>
      <c r="J13" s="49"/>
      <c r="K13" s="56"/>
      <c r="L13" s="121"/>
      <c r="M13" s="123"/>
      <c r="N13" s="124"/>
      <c r="P13" s="440" t="s">
        <v>1473</v>
      </c>
      <c r="Q13" s="441" t="s">
        <v>1474</v>
      </c>
      <c r="R13" s="566"/>
      <c r="S13" s="567"/>
      <c r="T13" s="568"/>
      <c r="U13" s="568"/>
      <c r="V13" s="568"/>
      <c r="W13" s="568"/>
      <c r="X13" s="568"/>
      <c r="Y13" s="568"/>
      <c r="Z13" s="568"/>
      <c r="AA13" s="568"/>
      <c r="AB13" s="568"/>
      <c r="AC13" s="568"/>
      <c r="AD13" s="568"/>
      <c r="AE13" s="568"/>
      <c r="AF13" s="568"/>
      <c r="AG13" s="568"/>
      <c r="AH13" s="568"/>
      <c r="AI13" s="568"/>
      <c r="AJ13" s="568"/>
      <c r="AK13" s="568"/>
      <c r="AL13" s="436"/>
    </row>
    <row r="14" spans="1:44" ht="15.75" customHeight="1" x14ac:dyDescent="0.15">
      <c r="A14" s="105">
        <f>data!$NA$30</f>
        <v>0</v>
      </c>
      <c r="B14" s="106">
        <f>data!$NB$30</f>
        <v>0</v>
      </c>
      <c r="C14" s="39">
        <f>data!NC30</f>
        <v>28.7533952</v>
      </c>
      <c r="D14" s="41">
        <f>data!ND30</f>
        <v>2.3807147477317741</v>
      </c>
      <c r="E14" s="40">
        <f>data!NE30</f>
        <v>3.3817123480131238E-2</v>
      </c>
      <c r="F14" s="41">
        <f>data!NF30</f>
        <v>5.9776444726777864</v>
      </c>
      <c r="G14" s="607">
        <f>data!NG42</f>
        <v>0.27995655745761033</v>
      </c>
      <c r="H14" s="30">
        <f>data!NH30</f>
        <v>13496588319</v>
      </c>
      <c r="I14" s="30">
        <f>data!NI30</f>
        <v>68453632000</v>
      </c>
      <c r="J14" s="50">
        <f>data!NJ30</f>
        <v>0.8052345372126779</v>
      </c>
      <c r="K14" s="50">
        <f>data!NK30</f>
        <v>0.9981155127020872</v>
      </c>
      <c r="L14" s="50">
        <f>data!NL30</f>
        <v>1</v>
      </c>
      <c r="M14" s="52">
        <f>data!NM30</f>
        <v>0.21336056207816456</v>
      </c>
      <c r="N14" s="53">
        <f>data!NN30</f>
        <v>0.46939111799221545</v>
      </c>
      <c r="P14" s="105">
        <f>data!$NA$30</f>
        <v>0</v>
      </c>
      <c r="Q14" s="106">
        <f>data!$NB$30</f>
        <v>0</v>
      </c>
      <c r="R14" s="93">
        <f>data!NO30</f>
        <v>1.7173198670124688E-4</v>
      </c>
      <c r="S14" s="94">
        <f>data!NP30</f>
        <v>0</v>
      </c>
      <c r="T14" s="94">
        <f>data!NQ30</f>
        <v>0.19164471959644275</v>
      </c>
      <c r="U14" s="94">
        <f>data!NR30</f>
        <v>6.3033974396827938E-2</v>
      </c>
      <c r="V14" s="94">
        <f>data!NS30</f>
        <v>1.1768942732748412E-2</v>
      </c>
      <c r="W14" s="94">
        <f>data!NT30</f>
        <v>3.8065747318027678E-3</v>
      </c>
      <c r="X14" s="94">
        <f>data!NU30</f>
        <v>7.268221828387364E-2</v>
      </c>
      <c r="Y14" s="94">
        <f>data!NV30</f>
        <v>9.3983269831283511</v>
      </c>
      <c r="Z14" s="94">
        <f>data!NW30</f>
        <v>2.2394395374596625</v>
      </c>
      <c r="AA14" s="94">
        <f>data!NX30</f>
        <v>11.547031132133613</v>
      </c>
      <c r="AB14" s="94">
        <f>data!NY30</f>
        <v>2.4981497891362497E-3</v>
      </c>
      <c r="AC14" s="94">
        <f>data!NZ30</f>
        <v>1.2107504668520674</v>
      </c>
      <c r="AD14" s="94">
        <f>data!OA30</f>
        <v>0</v>
      </c>
      <c r="AE14" s="94">
        <f>data!OB30</f>
        <v>6.4509660301359253E-2</v>
      </c>
      <c r="AF14" s="94">
        <f>data!OC30</f>
        <v>0</v>
      </c>
      <c r="AG14" s="94">
        <f>data!OD30</f>
        <v>2.8010488545990864</v>
      </c>
      <c r="AH14" s="94">
        <f>data!OE30</f>
        <v>0.54283516205736504</v>
      </c>
      <c r="AI14" s="94">
        <f>data!OF30</f>
        <v>0.16749174983096907</v>
      </c>
      <c r="AJ14" s="94">
        <f>data!OG30</f>
        <v>0.43630433462154172</v>
      </c>
      <c r="AK14" s="94">
        <f>data!OH30</f>
        <v>5.1007498451847032E-5</v>
      </c>
      <c r="AL14" s="95">
        <f>data!OI30</f>
        <v>28.7533952</v>
      </c>
      <c r="AR14" s="20"/>
    </row>
    <row r="15" spans="1:44" ht="15.75" customHeight="1" x14ac:dyDescent="0.15">
      <c r="A15" s="107">
        <f>data!$NA$31</f>
        <v>0</v>
      </c>
      <c r="B15" s="108">
        <f>data!$NB$31</f>
        <v>1</v>
      </c>
      <c r="C15" s="42">
        <f>data!NC31</f>
        <v>28.708957120000001</v>
      </c>
      <c r="D15" s="11">
        <f>data!ND31</f>
        <v>2.3843998134056914</v>
      </c>
      <c r="E15" s="4">
        <f>data!NE31</f>
        <v>3.3869468399255205E-2</v>
      </c>
      <c r="F15" s="11">
        <f>data!NF31</f>
        <v>5.9814100376489048</v>
      </c>
      <c r="G15" s="608"/>
      <c r="H15" s="5">
        <f>data!NH31</f>
        <v>13496586180</v>
      </c>
      <c r="I15" s="5">
        <f>data!NI31</f>
        <v>68453632000</v>
      </c>
      <c r="J15" s="51">
        <f>data!NJ31</f>
        <v>0.80523466482988815</v>
      </c>
      <c r="K15" s="113">
        <f>data!NK31</f>
        <v>0.9981155127020872</v>
      </c>
      <c r="L15" s="113">
        <f>data!NL31</f>
        <v>1</v>
      </c>
      <c r="M15" s="54">
        <f>data!NM31</f>
        <v>0.21369078755582427</v>
      </c>
      <c r="N15" s="55">
        <f>data!NN31</f>
        <v>0.47011760558162691</v>
      </c>
      <c r="P15" s="109">
        <f>data!$NA$31</f>
        <v>0</v>
      </c>
      <c r="Q15" s="110">
        <f>data!$NB$31</f>
        <v>1</v>
      </c>
      <c r="R15" s="96">
        <f>data!NO31</f>
        <v>1.7359971580995469E-4</v>
      </c>
      <c r="S15" s="97">
        <f>data!NP31</f>
        <v>0</v>
      </c>
      <c r="T15" s="97">
        <f>data!NQ31</f>
        <v>0.18961805500959814</v>
      </c>
      <c r="U15" s="97">
        <f>data!NR31</f>
        <v>4.2713237917176114E-2</v>
      </c>
      <c r="V15" s="97">
        <f>data!NS31</f>
        <v>1.1120542584885892E-2</v>
      </c>
      <c r="W15" s="97">
        <f>data!NT31</f>
        <v>3.8683139965984795E-3</v>
      </c>
      <c r="X15" s="97">
        <f>data!NU31</f>
        <v>6.0015136772208114E-2</v>
      </c>
      <c r="Y15" s="97">
        <f>data!NV31</f>
        <v>9.3923744573767713</v>
      </c>
      <c r="Z15" s="97">
        <f>data!NW31</f>
        <v>2.2383224333011498</v>
      </c>
      <c r="AA15" s="97">
        <f>data!NX31</f>
        <v>11.550405690900046</v>
      </c>
      <c r="AB15" s="97">
        <f>data!NY31</f>
        <v>2.4823082106202629E-3</v>
      </c>
      <c r="AC15" s="97">
        <f>data!NZ31</f>
        <v>1.210740401827803</v>
      </c>
      <c r="AD15" s="97">
        <f>data!OA31</f>
        <v>0</v>
      </c>
      <c r="AE15" s="97">
        <f>data!OB31</f>
        <v>6.400769257553722E-2</v>
      </c>
      <c r="AF15" s="97">
        <f>data!OC31</f>
        <v>0</v>
      </c>
      <c r="AG15" s="97">
        <f>data!OD31</f>
        <v>2.7941776205443074</v>
      </c>
      <c r="AH15" s="97">
        <f>data!OE31</f>
        <v>0.54424727427240516</v>
      </c>
      <c r="AI15" s="97">
        <f>data!OF31</f>
        <v>0.16818216248128132</v>
      </c>
      <c r="AJ15" s="97">
        <f>data!OG31</f>
        <v>0.43650484754732582</v>
      </c>
      <c r="AK15" s="97">
        <f>data!OH31</f>
        <v>3.3449664763932301E-6</v>
      </c>
      <c r="AL15" s="98">
        <f>data!OI31</f>
        <v>28.708957120000001</v>
      </c>
      <c r="AR15" s="20"/>
    </row>
    <row r="16" spans="1:44" ht="15.75" customHeight="1" x14ac:dyDescent="0.15">
      <c r="A16" s="107">
        <f>data!$NA$32</f>
        <v>0</v>
      </c>
      <c r="B16" s="108">
        <f>data!$NB$32</f>
        <v>2</v>
      </c>
      <c r="C16" s="42">
        <f>data!NC32</f>
        <v>28.777387839999999</v>
      </c>
      <c r="D16" s="11">
        <f>data!ND32</f>
        <v>2.3787298687635161</v>
      </c>
      <c r="E16" s="4">
        <f>data!NE32</f>
        <v>3.378892904935088E-2</v>
      </c>
      <c r="F16" s="11">
        <f>data!NF32</f>
        <v>5.9589045029877186</v>
      </c>
      <c r="G16" s="608"/>
      <c r="H16" s="5">
        <f>data!NH32</f>
        <v>13496583368</v>
      </c>
      <c r="I16" s="5">
        <f>data!NI32</f>
        <v>68453632000</v>
      </c>
      <c r="J16" s="51">
        <f>data!NJ32</f>
        <v>0.80523483259974626</v>
      </c>
      <c r="K16" s="113">
        <f>data!NK32</f>
        <v>0.9981155127020872</v>
      </c>
      <c r="L16" s="113">
        <f>data!NL32</f>
        <v>1</v>
      </c>
      <c r="M16" s="54">
        <f>data!NM32</f>
        <v>0.21318245452015144</v>
      </c>
      <c r="N16" s="55">
        <f>data!NN32</f>
        <v>0.46899959937433988</v>
      </c>
      <c r="P16" s="109">
        <f>data!$NA$32</f>
        <v>0</v>
      </c>
      <c r="Q16" s="110">
        <f>data!$NB$32</f>
        <v>2</v>
      </c>
      <c r="R16" s="96">
        <f>data!NO32</f>
        <v>1.7253095410107148E-4</v>
      </c>
      <c r="S16" s="97">
        <f>data!NP32</f>
        <v>0</v>
      </c>
      <c r="T16" s="97">
        <f>data!NQ32</f>
        <v>0.18761124408773563</v>
      </c>
      <c r="U16" s="97">
        <f>data!NR32</f>
        <v>8.1927799283178671E-2</v>
      </c>
      <c r="V16" s="97">
        <f>data!NS32</f>
        <v>1.1779593786892441E-2</v>
      </c>
      <c r="W16" s="97">
        <f>data!NT32</f>
        <v>3.8696710848865391E-3</v>
      </c>
      <c r="X16" s="97">
        <f>data!NU32</f>
        <v>7.8962331501029076E-2</v>
      </c>
      <c r="Y16" s="97">
        <f>data!NV32</f>
        <v>9.3978082614563441</v>
      </c>
      <c r="Z16" s="97">
        <f>data!NW32</f>
        <v>2.2400739701718098</v>
      </c>
      <c r="AA16" s="97">
        <f>data!NX32</f>
        <v>11.547686612231226</v>
      </c>
      <c r="AB16" s="97">
        <f>data!NY32</f>
        <v>2.5421148490109187E-3</v>
      </c>
      <c r="AC16" s="97">
        <f>data!NZ32</f>
        <v>1.2109200320342262</v>
      </c>
      <c r="AD16" s="97">
        <f>data!OA32</f>
        <v>0</v>
      </c>
      <c r="AE16" s="97">
        <f>data!OB32</f>
        <v>6.5154210315620242E-2</v>
      </c>
      <c r="AF16" s="97">
        <f>data!OC32</f>
        <v>0</v>
      </c>
      <c r="AG16" s="97">
        <f>data!OD32</f>
        <v>2.8020170143282885</v>
      </c>
      <c r="AH16" s="97">
        <f>data!OE32</f>
        <v>0.54321395085772095</v>
      </c>
      <c r="AI16" s="97">
        <f>data!OF32</f>
        <v>0.16703437748683089</v>
      </c>
      <c r="AJ16" s="97">
        <f>data!OG32</f>
        <v>0.43660675306736541</v>
      </c>
      <c r="AK16" s="97">
        <f>data!OH32</f>
        <v>7.3725037332153895E-6</v>
      </c>
      <c r="AL16" s="98">
        <f>data!OI32</f>
        <v>28.777387839999999</v>
      </c>
      <c r="AR16" s="20"/>
    </row>
    <row r="17" spans="1:44" ht="15.75" customHeight="1" x14ac:dyDescent="0.15">
      <c r="A17" s="107">
        <f>data!$NA$33</f>
        <v>0</v>
      </c>
      <c r="B17" s="108">
        <f>data!$NB$33</f>
        <v>3</v>
      </c>
      <c r="C17" s="42">
        <f>data!NC33</f>
        <v>28.778845440000001</v>
      </c>
      <c r="D17" s="11">
        <f>data!ND33</f>
        <v>2.3786093901062348</v>
      </c>
      <c r="E17" s="4">
        <f>data!NE33</f>
        <v>3.3787217697063138E-2</v>
      </c>
      <c r="F17" s="11">
        <f>data!NF33</f>
        <v>5.9635011370351894</v>
      </c>
      <c r="G17" s="608"/>
      <c r="H17" s="5">
        <f>data!NH33</f>
        <v>13496586123</v>
      </c>
      <c r="I17" s="5">
        <f>data!NI33</f>
        <v>68453632000</v>
      </c>
      <c r="J17" s="51">
        <f>data!NJ33</f>
        <v>0.80523466823062784</v>
      </c>
      <c r="K17" s="113">
        <f>data!NK33</f>
        <v>0.9981155127020872</v>
      </c>
      <c r="L17" s="113">
        <f>data!NL33</f>
        <v>1</v>
      </c>
      <c r="M17" s="54">
        <f>data!NM33</f>
        <v>0.21317179204611006</v>
      </c>
      <c r="N17" s="55">
        <f>data!NN33</f>
        <v>0.46897594106541057</v>
      </c>
      <c r="P17" s="109">
        <f>data!$NA$33</f>
        <v>0</v>
      </c>
      <c r="Q17" s="110">
        <f>data!$NB$33</f>
        <v>3</v>
      </c>
      <c r="R17" s="96">
        <f>data!NO33</f>
        <v>1.7281329873409553E-4</v>
      </c>
      <c r="S17" s="97">
        <f>data!NP33</f>
        <v>0</v>
      </c>
      <c r="T17" s="97">
        <f>data!NQ33</f>
        <v>0.19186903736044006</v>
      </c>
      <c r="U17" s="97">
        <f>data!NR33</f>
        <v>8.8748613900942075E-2</v>
      </c>
      <c r="V17" s="97">
        <f>data!NS33</f>
        <v>1.2042735984728105E-2</v>
      </c>
      <c r="W17" s="97">
        <f>data!NT33</f>
        <v>3.8586408795409761E-3</v>
      </c>
      <c r="X17" s="97">
        <f>data!NU33</f>
        <v>7.8845531900956958E-2</v>
      </c>
      <c r="Y17" s="97">
        <f>data!NV33</f>
        <v>9.4057501579582716</v>
      </c>
      <c r="Z17" s="97">
        <f>data!NW33</f>
        <v>2.2388961845876945</v>
      </c>
      <c r="AA17" s="97">
        <f>data!NX33</f>
        <v>11.532237277100167</v>
      </c>
      <c r="AB17" s="97">
        <f>data!NY33</f>
        <v>2.5927784109016161E-3</v>
      </c>
      <c r="AC17" s="97">
        <f>data!NZ33</f>
        <v>1.210463106063814</v>
      </c>
      <c r="AD17" s="97">
        <f>data!OA33</f>
        <v>0</v>
      </c>
      <c r="AE17" s="97">
        <f>data!OB33</f>
        <v>6.5667514401579488E-2</v>
      </c>
      <c r="AF17" s="97">
        <f>data!OC33</f>
        <v>0</v>
      </c>
      <c r="AG17" s="97">
        <f>data!OD33</f>
        <v>2.8022008570070893</v>
      </c>
      <c r="AH17" s="97">
        <f>data!OE33</f>
        <v>0.54129543071121033</v>
      </c>
      <c r="AI17" s="97">
        <f>data!OF33</f>
        <v>0.16726026820938428</v>
      </c>
      <c r="AJ17" s="97">
        <f>data!OG33</f>
        <v>0.43717042802094369</v>
      </c>
      <c r="AK17" s="97">
        <f>data!OH33</f>
        <v>0</v>
      </c>
      <c r="AL17" s="98">
        <f>data!OI33</f>
        <v>28.778845440000001</v>
      </c>
      <c r="AR17" s="20"/>
    </row>
    <row r="18" spans="1:44" ht="15.75" customHeight="1" x14ac:dyDescent="0.15">
      <c r="A18" s="107">
        <f>data!$NA$34</f>
        <v>0</v>
      </c>
      <c r="B18" s="108">
        <f>data!$NB$34</f>
        <v>4</v>
      </c>
      <c r="C18" s="42">
        <f>data!NC34</f>
        <v>28.742253120000001</v>
      </c>
      <c r="D18" s="11">
        <f>data!ND34</f>
        <v>2.3816376438619296</v>
      </c>
      <c r="E18" s="4">
        <f>data!NE34</f>
        <v>3.3830232859330296E-2</v>
      </c>
      <c r="F18" s="11">
        <f>data!NF34</f>
        <v>5.9504522384499827</v>
      </c>
      <c r="G18" s="608"/>
      <c r="H18" s="5">
        <f>data!NH34</f>
        <v>13496582866</v>
      </c>
      <c r="I18" s="5">
        <f>data!NI34</f>
        <v>68453632000</v>
      </c>
      <c r="J18" s="51">
        <f>data!NJ34</f>
        <v>0.80523486255013377</v>
      </c>
      <c r="K18" s="113">
        <f>data!NK34</f>
        <v>0.9981155127020872</v>
      </c>
      <c r="L18" s="113">
        <f>data!NL34</f>
        <v>1</v>
      </c>
      <c r="M18" s="54">
        <f>data!NM34</f>
        <v>0.21344305487525617</v>
      </c>
      <c r="N18" s="55">
        <f>data!NN34</f>
        <v>0.46957289011586023</v>
      </c>
      <c r="P18" s="109">
        <f>data!$NA$34</f>
        <v>0</v>
      </c>
      <c r="Q18" s="110">
        <f>data!$NB$34</f>
        <v>4</v>
      </c>
      <c r="R18" s="96">
        <f>data!NO34</f>
        <v>1.6501387211753464E-4</v>
      </c>
      <c r="S18" s="97">
        <f>data!NP34</f>
        <v>0</v>
      </c>
      <c r="T18" s="97">
        <f>data!NQ34</f>
        <v>0.19163389347996349</v>
      </c>
      <c r="U18" s="97">
        <f>data!NR34</f>
        <v>6.0545728974179668E-2</v>
      </c>
      <c r="V18" s="97">
        <f>data!NS34</f>
        <v>1.2712767706078381E-2</v>
      </c>
      <c r="W18" s="97">
        <f>data!NT34</f>
        <v>3.8803095829657804E-3</v>
      </c>
      <c r="X18" s="97">
        <f>data!NU34</f>
        <v>6.0302713163233636E-2</v>
      </c>
      <c r="Y18" s="97">
        <f>data!NV34</f>
        <v>9.4074085096029449</v>
      </c>
      <c r="Z18" s="97">
        <f>data!NW34</f>
        <v>2.2397471034545449</v>
      </c>
      <c r="AA18" s="97">
        <f>data!NX34</f>
        <v>11.536835337631434</v>
      </c>
      <c r="AB18" s="97">
        <f>data!NY34</f>
        <v>2.5714258789574008E-3</v>
      </c>
      <c r="AC18" s="97">
        <f>data!NZ34</f>
        <v>1.2115420347525219</v>
      </c>
      <c r="AD18" s="97">
        <f>data!OA34</f>
        <v>0</v>
      </c>
      <c r="AE18" s="97">
        <f>data!OB34</f>
        <v>6.5396205821060219E-2</v>
      </c>
      <c r="AF18" s="97">
        <f>data!OC34</f>
        <v>0</v>
      </c>
      <c r="AG18" s="97">
        <f>data!OD34</f>
        <v>2.8038709640792279</v>
      </c>
      <c r="AH18" s="97">
        <f>data!OE34</f>
        <v>0.54264424696941693</v>
      </c>
      <c r="AI18" s="97">
        <f>data!OF34</f>
        <v>0.16758008541521177</v>
      </c>
      <c r="AJ18" s="97">
        <f>data!OG34</f>
        <v>0.43542007622160073</v>
      </c>
      <c r="AK18" s="97">
        <f>data!OH34</f>
        <v>0</v>
      </c>
      <c r="AL18" s="98">
        <f>data!OI34</f>
        <v>28.742253120000001</v>
      </c>
      <c r="AR18" s="20"/>
    </row>
    <row r="19" spans="1:44" ht="15.75" customHeight="1" x14ac:dyDescent="0.15">
      <c r="A19" s="107">
        <f>data!$NA$35</f>
        <v>0</v>
      </c>
      <c r="B19" s="108">
        <f>data!$NB$35</f>
        <v>5</v>
      </c>
      <c r="C19" s="42">
        <f>data!NC35</f>
        <v>28.748364479999999</v>
      </c>
      <c r="D19" s="11">
        <f>data!ND35</f>
        <v>2.3811313526243425</v>
      </c>
      <c r="E19" s="4">
        <f>data!NE35</f>
        <v>3.3823041189973563E-2</v>
      </c>
      <c r="F19" s="11">
        <f>data!NF35</f>
        <v>6.0122856313528974</v>
      </c>
      <c r="G19" s="608"/>
      <c r="H19" s="5">
        <f>data!NH35</f>
        <v>13496585731</v>
      </c>
      <c r="I19" s="5">
        <f>data!NI35</f>
        <v>68453632000</v>
      </c>
      <c r="J19" s="51">
        <f>data!NJ35</f>
        <v>0.80523469161817163</v>
      </c>
      <c r="K19" s="113">
        <f>data!NK35</f>
        <v>0.9981155127020872</v>
      </c>
      <c r="L19" s="113">
        <f>data!NL35</f>
        <v>1</v>
      </c>
      <c r="M19" s="54">
        <f>data!NM35</f>
        <v>0.21339779152807462</v>
      </c>
      <c r="N19" s="55">
        <f>data!NN35</f>
        <v>0.46947316743494966</v>
      </c>
      <c r="P19" s="109">
        <f>data!$NA$35</f>
        <v>0</v>
      </c>
      <c r="Q19" s="110">
        <f>data!$NB$35</f>
        <v>5</v>
      </c>
      <c r="R19" s="96">
        <f>data!NO35</f>
        <v>1.717488773049776E-4</v>
      </c>
      <c r="S19" s="97">
        <f>data!NP35</f>
        <v>0</v>
      </c>
      <c r="T19" s="97">
        <f>data!NQ35</f>
        <v>0.19076614009867046</v>
      </c>
      <c r="U19" s="97">
        <f>data!NR35</f>
        <v>6.2185824040257645E-2</v>
      </c>
      <c r="V19" s="97">
        <f>data!NS35</f>
        <v>1.2416314152334459E-2</v>
      </c>
      <c r="W19" s="97">
        <f>data!NT35</f>
        <v>3.861410088643609E-3</v>
      </c>
      <c r="X19" s="97">
        <f>data!NU35</f>
        <v>7.3329663536551556E-2</v>
      </c>
      <c r="Y19" s="97">
        <f>data!NV35</f>
        <v>9.4038297536250806</v>
      </c>
      <c r="Z19" s="97">
        <f>data!NW35</f>
        <v>2.2395097339054271</v>
      </c>
      <c r="AA19" s="97">
        <f>data!NX35</f>
        <v>11.534630944409782</v>
      </c>
      <c r="AB19" s="97">
        <f>data!NY35</f>
        <v>2.5087261968117515E-3</v>
      </c>
      <c r="AC19" s="97">
        <f>data!NZ35</f>
        <v>1.2109038208401681</v>
      </c>
      <c r="AD19" s="97">
        <f>data!OA35</f>
        <v>0</v>
      </c>
      <c r="AE19" s="97">
        <f>data!OB35</f>
        <v>6.477118389027979E-2</v>
      </c>
      <c r="AF19" s="97">
        <f>data!OC35</f>
        <v>0</v>
      </c>
      <c r="AG19" s="97">
        <f>data!OD35</f>
        <v>2.803253596513787</v>
      </c>
      <c r="AH19" s="97">
        <f>data!OE35</f>
        <v>0.54340912036526412</v>
      </c>
      <c r="AI19" s="97">
        <f>data!OF35</f>
        <v>0.16610739665688343</v>
      </c>
      <c r="AJ19" s="97">
        <f>data!OG35</f>
        <v>0.43662663257690804</v>
      </c>
      <c r="AK19" s="97">
        <f>data!OH35</f>
        <v>8.2470225844385309E-5</v>
      </c>
      <c r="AL19" s="98">
        <f>data!OI35</f>
        <v>28.748364479999999</v>
      </c>
      <c r="AR19" s="20"/>
    </row>
    <row r="20" spans="1:44" ht="15.75" customHeight="1" x14ac:dyDescent="0.15">
      <c r="A20" s="107">
        <f>data!$NA$36</f>
        <v>0</v>
      </c>
      <c r="B20" s="108">
        <f>data!$NB$36</f>
        <v>6</v>
      </c>
      <c r="C20" s="42">
        <f>data!NC36</f>
        <v>28.700513919999999</v>
      </c>
      <c r="D20" s="11">
        <f>data!ND36</f>
        <v>2.3851012630229587</v>
      </c>
      <c r="E20" s="4">
        <f>data!NE36</f>
        <v>3.3879432217198878E-2</v>
      </c>
      <c r="F20" s="11">
        <f>data!NF36</f>
        <v>5.9850503672095927</v>
      </c>
      <c r="G20" s="608"/>
      <c r="H20" s="5">
        <f>data!NH36</f>
        <v>13496587585</v>
      </c>
      <c r="I20" s="5">
        <f>data!NI36</f>
        <v>68453632000</v>
      </c>
      <c r="J20" s="51">
        <f>data!NJ36</f>
        <v>0.80523458100464729</v>
      </c>
      <c r="K20" s="113">
        <f>data!NK36</f>
        <v>0.9981155127020872</v>
      </c>
      <c r="L20" s="113">
        <f>data!NL36</f>
        <v>1</v>
      </c>
      <c r="M20" s="54">
        <f>data!NM36</f>
        <v>0.21375359733267751</v>
      </c>
      <c r="N20" s="55">
        <f>data!NN36</f>
        <v>0.47025595508918333</v>
      </c>
      <c r="P20" s="109">
        <f>data!$NA$36</f>
        <v>0</v>
      </c>
      <c r="Q20" s="110">
        <f>data!$NB$36</f>
        <v>6</v>
      </c>
      <c r="R20" s="96">
        <f>data!NO36</f>
        <v>7.7313682102867376E-5</v>
      </c>
      <c r="S20" s="97">
        <f>data!NP36</f>
        <v>0</v>
      </c>
      <c r="T20" s="97">
        <f>data!NQ36</f>
        <v>0.1931582066812908</v>
      </c>
      <c r="U20" s="97">
        <f>data!NR36</f>
        <v>2.5579953045388563E-2</v>
      </c>
      <c r="V20" s="97">
        <f>data!NS36</f>
        <v>1.3256841623516313E-2</v>
      </c>
      <c r="W20" s="97">
        <f>data!NT36</f>
        <v>3.887523743150675E-3</v>
      </c>
      <c r="X20" s="97">
        <f>data!NU36</f>
        <v>5.0691646980178438E-2</v>
      </c>
      <c r="Y20" s="97">
        <f>data!NV36</f>
        <v>9.4065735443302838</v>
      </c>
      <c r="Z20" s="97">
        <f>data!NW36</f>
        <v>2.2408591516504894</v>
      </c>
      <c r="AA20" s="97">
        <f>data!NX36</f>
        <v>11.539462094952171</v>
      </c>
      <c r="AB20" s="97">
        <f>data!NY36</f>
        <v>2.5326089638614438E-3</v>
      </c>
      <c r="AC20" s="97">
        <f>data!NZ36</f>
        <v>1.2117380104682862</v>
      </c>
      <c r="AD20" s="97">
        <f>data!OA36</f>
        <v>0</v>
      </c>
      <c r="AE20" s="97">
        <f>data!OB36</f>
        <v>6.4944469727742149E-2</v>
      </c>
      <c r="AF20" s="97">
        <f>data!OC36</f>
        <v>0</v>
      </c>
      <c r="AG20" s="97">
        <f>data!OD36</f>
        <v>2.8002163752694629</v>
      </c>
      <c r="AH20" s="97">
        <f>data!OE36</f>
        <v>0.54355937942920063</v>
      </c>
      <c r="AI20" s="97">
        <f>data!OF36</f>
        <v>0.16860464253564844</v>
      </c>
      <c r="AJ20" s="97">
        <f>data!OG36</f>
        <v>0.43536990386653568</v>
      </c>
      <c r="AK20" s="97">
        <f>data!OH36</f>
        <v>2.2530506889118965E-6</v>
      </c>
      <c r="AL20" s="98">
        <f>data!OI36</f>
        <v>28.700513919999999</v>
      </c>
      <c r="AR20" s="20"/>
    </row>
    <row r="21" spans="1:44" ht="15.75" customHeight="1" x14ac:dyDescent="0.15">
      <c r="A21" s="107">
        <f>data!$NA$37</f>
        <v>0</v>
      </c>
      <c r="B21" s="108">
        <f>data!$NB$37</f>
        <v>7</v>
      </c>
      <c r="C21" s="42">
        <f>data!NC37</f>
        <v>28.744799359999998</v>
      </c>
      <c r="D21" s="11">
        <f>data!ND37</f>
        <v>2.3814266762723371</v>
      </c>
      <c r="E21" s="4">
        <f>data!NE37</f>
        <v>3.3827236147089004E-2</v>
      </c>
      <c r="F21" s="11">
        <f>data!NF37</f>
        <v>5.9637579129722624</v>
      </c>
      <c r="G21" s="608"/>
      <c r="H21" s="5">
        <f>data!NH37</f>
        <v>13496586301</v>
      </c>
      <c r="I21" s="5">
        <f>data!NI37</f>
        <v>68453632000</v>
      </c>
      <c r="J21" s="51">
        <f>data!NJ37</f>
        <v>0.80523465761077417</v>
      </c>
      <c r="K21" s="113">
        <f>data!NK37</f>
        <v>0.9981155127020872</v>
      </c>
      <c r="L21" s="113">
        <f>data!NL37</f>
        <v>1</v>
      </c>
      <c r="M21" s="54">
        <f>data!NM37</f>
        <v>0.21342426099869488</v>
      </c>
      <c r="N21" s="55">
        <f>data!NN37</f>
        <v>0.46953141442974405</v>
      </c>
      <c r="P21" s="109">
        <f>data!$NA$37</f>
        <v>0</v>
      </c>
      <c r="Q21" s="110">
        <f>data!$NB$37</f>
        <v>7</v>
      </c>
      <c r="R21" s="96">
        <f>data!NO37</f>
        <v>7.3080616098547543E-5</v>
      </c>
      <c r="S21" s="97">
        <f>data!NP37</f>
        <v>0</v>
      </c>
      <c r="T21" s="97">
        <f>data!NQ37</f>
        <v>0.19102484145845713</v>
      </c>
      <c r="U21" s="97">
        <f>data!NR37</f>
        <v>5.8389169683941124E-2</v>
      </c>
      <c r="V21" s="97">
        <f>data!NS37</f>
        <v>1.3773925797239446E-2</v>
      </c>
      <c r="W21" s="97">
        <f>data!NT37</f>
        <v>3.8939240132315625E-3</v>
      </c>
      <c r="X21" s="97">
        <f>data!NU37</f>
        <v>6.8800693095688925E-2</v>
      </c>
      <c r="Y21" s="97">
        <f>data!NV37</f>
        <v>9.4138495269957048</v>
      </c>
      <c r="Z21" s="97">
        <f>data!NW37</f>
        <v>2.2442253238910226</v>
      </c>
      <c r="AA21" s="97">
        <f>data!NX37</f>
        <v>11.526775826071399</v>
      </c>
      <c r="AB21" s="97">
        <f>data!NY37</f>
        <v>2.592071568587023E-3</v>
      </c>
      <c r="AC21" s="97">
        <f>data!NZ37</f>
        <v>1.2112079745775435</v>
      </c>
      <c r="AD21" s="97">
        <f>data!OA37</f>
        <v>0</v>
      </c>
      <c r="AE21" s="97">
        <f>data!OB37</f>
        <v>6.6134135094987279E-2</v>
      </c>
      <c r="AF21" s="97">
        <f>data!OC37</f>
        <v>0</v>
      </c>
      <c r="AG21" s="97">
        <f>data!OD37</f>
        <v>2.7950403760897378</v>
      </c>
      <c r="AH21" s="97">
        <f>data!OE37</f>
        <v>0.54375407741180637</v>
      </c>
      <c r="AI21" s="97">
        <f>data!OF37</f>
        <v>0.16918260574874366</v>
      </c>
      <c r="AJ21" s="97">
        <f>data!OG37</f>
        <v>0.43608673846846258</v>
      </c>
      <c r="AK21" s="97">
        <f>data!OH37</f>
        <v>0</v>
      </c>
      <c r="AL21" s="98">
        <f>data!OI37</f>
        <v>28.744799359999998</v>
      </c>
      <c r="AR21" s="20"/>
    </row>
    <row r="22" spans="1:44" ht="15.75" customHeight="1" x14ac:dyDescent="0.15">
      <c r="A22" s="107">
        <f>data!$NA$38</f>
        <v>0</v>
      </c>
      <c r="B22" s="108">
        <f>data!$NB$38</f>
        <v>8</v>
      </c>
      <c r="C22" s="42">
        <f>data!NC38</f>
        <v>28.7551056</v>
      </c>
      <c r="D22" s="11">
        <f>data!ND38</f>
        <v>2.3805731389837081</v>
      </c>
      <c r="E22" s="4">
        <f>data!NE38</f>
        <v>3.3815111983153796E-2</v>
      </c>
      <c r="F22" s="11">
        <f>data!NF38</f>
        <v>5.9712208492115568</v>
      </c>
      <c r="G22" s="608"/>
      <c r="H22" s="5">
        <f>data!NH38</f>
        <v>13496583435</v>
      </c>
      <c r="I22" s="5">
        <f>data!NI38</f>
        <v>68453632000</v>
      </c>
      <c r="J22" s="51">
        <f>data!NJ38</f>
        <v>0.80523482860238405</v>
      </c>
      <c r="K22" s="113">
        <f>data!NK38</f>
        <v>0.9981155127020872</v>
      </c>
      <c r="L22" s="113">
        <f>data!NL38</f>
        <v>1</v>
      </c>
      <c r="M22" s="54">
        <f>data!NM38</f>
        <v>0.21334766555092946</v>
      </c>
      <c r="N22" s="55">
        <f>data!NN38</f>
        <v>0.46936302800432073</v>
      </c>
      <c r="P22" s="109">
        <f>data!$NA$38</f>
        <v>0</v>
      </c>
      <c r="Q22" s="110">
        <f>data!$NB$38</f>
        <v>8</v>
      </c>
      <c r="R22" s="96">
        <f>data!NO38</f>
        <v>1.2311392024092868E-4</v>
      </c>
      <c r="S22" s="97">
        <f>data!NP38</f>
        <v>0</v>
      </c>
      <c r="T22" s="97">
        <f>data!NQ38</f>
        <v>0.19193349962446618</v>
      </c>
      <c r="U22" s="97">
        <f>data!NR38</f>
        <v>6.5727871234096041E-2</v>
      </c>
      <c r="V22" s="97">
        <f>data!NS38</f>
        <v>1.3679322148491158E-2</v>
      </c>
      <c r="W22" s="97">
        <f>data!NT38</f>
        <v>3.8495015725519507E-3</v>
      </c>
      <c r="X22" s="97">
        <f>data!NU38</f>
        <v>7.6865645536915425E-2</v>
      </c>
      <c r="Y22" s="97">
        <f>data!NV38</f>
        <v>9.409457391874934</v>
      </c>
      <c r="Z22" s="97">
        <f>data!NW38</f>
        <v>2.2439900985646015</v>
      </c>
      <c r="AA22" s="97">
        <f>data!NX38</f>
        <v>11.526389727489196</v>
      </c>
      <c r="AB22" s="97">
        <f>data!NY38</f>
        <v>2.5723847220213859E-3</v>
      </c>
      <c r="AC22" s="97">
        <f>data!NZ38</f>
        <v>1.2109687123358561</v>
      </c>
      <c r="AD22" s="97">
        <f>data!OA38</f>
        <v>0</v>
      </c>
      <c r="AE22" s="97">
        <f>data!OB38</f>
        <v>6.5977743730147406E-2</v>
      </c>
      <c r="AF22" s="97">
        <f>data!OC38</f>
        <v>0</v>
      </c>
      <c r="AG22" s="97">
        <f>data!OD38</f>
        <v>2.794782781886755</v>
      </c>
      <c r="AH22" s="97">
        <f>data!OE38</f>
        <v>0.54380463341385066</v>
      </c>
      <c r="AI22" s="97">
        <f>data!OF38</f>
        <v>0.16884037433767721</v>
      </c>
      <c r="AJ22" s="97">
        <f>data!OG38</f>
        <v>0.4361415428832584</v>
      </c>
      <c r="AK22" s="97">
        <f>data!OH38</f>
        <v>1.254724941069743E-6</v>
      </c>
      <c r="AL22" s="98">
        <f>data!OI38</f>
        <v>28.7551056</v>
      </c>
      <c r="AR22" s="20"/>
    </row>
    <row r="23" spans="1:44" ht="15.75" customHeight="1" x14ac:dyDescent="0.15">
      <c r="A23" s="107">
        <f>data!$NA$39</f>
        <v>0</v>
      </c>
      <c r="B23" s="108">
        <f>data!$NB$39</f>
        <v>9</v>
      </c>
      <c r="C23" s="42">
        <f>data!NC39</f>
        <v>28.730295999999999</v>
      </c>
      <c r="D23" s="11">
        <f>data!ND39</f>
        <v>2.3826288458705753</v>
      </c>
      <c r="E23" s="4">
        <f>data!NE39</f>
        <v>3.3844312496864384E-2</v>
      </c>
      <c r="F23" s="11">
        <f>data!NF39</f>
        <v>5.99357771406184</v>
      </c>
      <c r="G23" s="608"/>
      <c r="H23" s="5">
        <f>data!NH39</f>
        <v>13496583525</v>
      </c>
      <c r="I23" s="5">
        <f>data!NI39</f>
        <v>68453632000</v>
      </c>
      <c r="J23" s="51">
        <f>data!NJ39</f>
        <v>0.80523482323279294</v>
      </c>
      <c r="K23" s="113">
        <f>data!NK39</f>
        <v>0.9981155127020872</v>
      </c>
      <c r="L23" s="113">
        <f>data!NL39</f>
        <v>1</v>
      </c>
      <c r="M23" s="54">
        <f>data!NM39</f>
        <v>0.2135319025937859</v>
      </c>
      <c r="N23" s="55">
        <f>data!NN39</f>
        <v>0.46976834227534586</v>
      </c>
      <c r="P23" s="109">
        <f>data!$NA$39</f>
        <v>0</v>
      </c>
      <c r="Q23" s="110">
        <f>data!$NB$39</f>
        <v>9</v>
      </c>
      <c r="R23" s="96">
        <f>data!NO39</f>
        <v>1.6972203047299641E-4</v>
      </c>
      <c r="S23" s="97">
        <f>data!NP39</f>
        <v>0</v>
      </c>
      <c r="T23" s="97">
        <f>data!NQ39</f>
        <v>0.19167184845249297</v>
      </c>
      <c r="U23" s="97">
        <f>data!NR39</f>
        <v>4.1076014859377862E-2</v>
      </c>
      <c r="V23" s="97">
        <f>data!NS39</f>
        <v>1.3911067295719615E-2</v>
      </c>
      <c r="W23" s="97">
        <f>data!NT39</f>
        <v>3.8702213463897004E-3</v>
      </c>
      <c r="X23" s="97">
        <f>data!NU39</f>
        <v>6.4334175883175526E-2</v>
      </c>
      <c r="Y23" s="97">
        <f>data!NV39</f>
        <v>9.413153306412875</v>
      </c>
      <c r="Z23" s="97">
        <f>data!NW39</f>
        <v>2.2435404230652471</v>
      </c>
      <c r="AA23" s="97">
        <f>data!NX39</f>
        <v>11.533672744922542</v>
      </c>
      <c r="AB23" s="97">
        <f>data!NY39</f>
        <v>2.5306476919557818E-3</v>
      </c>
      <c r="AC23" s="97">
        <f>data!NZ39</f>
        <v>1.2115335702076433</v>
      </c>
      <c r="AD23" s="97">
        <f>data!OA39</f>
        <v>0</v>
      </c>
      <c r="AE23" s="97">
        <f>data!OB39</f>
        <v>6.5150327584794485E-2</v>
      </c>
      <c r="AF23" s="97">
        <f>data!OC39</f>
        <v>0</v>
      </c>
      <c r="AG23" s="97">
        <f>data!OD39</f>
        <v>2.7969469100801603</v>
      </c>
      <c r="AH23" s="97">
        <f>data!OE39</f>
        <v>0.54354196597828752</v>
      </c>
      <c r="AI23" s="97">
        <f>data!OF39</f>
        <v>0.16924798035036301</v>
      </c>
      <c r="AJ23" s="97">
        <f>data!OG39</f>
        <v>0.43592910600089368</v>
      </c>
      <c r="AK23" s="97">
        <f>data!OH39</f>
        <v>1.5967837608260449E-5</v>
      </c>
      <c r="AL23" s="98">
        <f>data!OI39</f>
        <v>28.730295999999999</v>
      </c>
      <c r="AR23" s="20"/>
    </row>
    <row r="24" spans="1:44" ht="15.75" customHeight="1" x14ac:dyDescent="0.15">
      <c r="A24" s="107">
        <f>data!$NA$40</f>
        <v>0</v>
      </c>
      <c r="B24" s="108">
        <f>data!$NB$40</f>
        <v>10</v>
      </c>
      <c r="C24" s="42">
        <f>data!NC40</f>
        <v>28.775587519999998</v>
      </c>
      <c r="D24" s="11">
        <f>data!ND40</f>
        <v>2.378878691961456</v>
      </c>
      <c r="E24" s="4">
        <f>data!NE40</f>
        <v>3.3791043024772018E-2</v>
      </c>
      <c r="F24" s="11">
        <f>data!NF40</f>
        <v>5.9366796283574201</v>
      </c>
      <c r="G24" s="608"/>
      <c r="H24" s="5">
        <f>data!NH40</f>
        <v>13496585764</v>
      </c>
      <c r="I24" s="5">
        <f>data!NI40</f>
        <v>68453632000</v>
      </c>
      <c r="J24" s="51">
        <f>data!NJ40</f>
        <v>0.80523468964932221</v>
      </c>
      <c r="K24" s="113">
        <f>data!NK40</f>
        <v>0.9981155127020872</v>
      </c>
      <c r="L24" s="113">
        <f>data!NL40</f>
        <v>1</v>
      </c>
      <c r="M24" s="54">
        <f>data!NM40</f>
        <v>0.21319591469135665</v>
      </c>
      <c r="N24" s="55">
        <f>data!NN40</f>
        <v>0.4690290251978147</v>
      </c>
      <c r="P24" s="109">
        <f>data!$NA$40</f>
        <v>0</v>
      </c>
      <c r="Q24" s="110">
        <f>data!$NB$40</f>
        <v>10</v>
      </c>
      <c r="R24" s="96">
        <f>data!NO40</f>
        <v>1.7004077991809329E-4</v>
      </c>
      <c r="S24" s="97">
        <f>data!NP40</f>
        <v>0</v>
      </c>
      <c r="T24" s="97">
        <f>data!NQ40</f>
        <v>0.19101835641353404</v>
      </c>
      <c r="U24" s="97">
        <f>data!NR40</f>
        <v>8.0452555400096493E-2</v>
      </c>
      <c r="V24" s="97">
        <f>data!NS40</f>
        <v>1.3580002713496631E-2</v>
      </c>
      <c r="W24" s="97">
        <f>data!NT40</f>
        <v>3.8794269496638155E-3</v>
      </c>
      <c r="X24" s="97">
        <f>data!NU40</f>
        <v>8.1677042580994064E-2</v>
      </c>
      <c r="Y24" s="97">
        <f>data!NV40</f>
        <v>9.4129234400769786</v>
      </c>
      <c r="Z24" s="97">
        <f>data!NW40</f>
        <v>2.2435030164106933</v>
      </c>
      <c r="AA24" s="97">
        <f>data!NX40</f>
        <v>11.525473011396548</v>
      </c>
      <c r="AB24" s="97">
        <f>data!NY40</f>
        <v>2.5338508732273422E-3</v>
      </c>
      <c r="AC24" s="97">
        <f>data!NZ40</f>
        <v>1.2109605491621624</v>
      </c>
      <c r="AD24" s="97">
        <f>data!OA40</f>
        <v>0</v>
      </c>
      <c r="AE24" s="97">
        <f>data!OB40</f>
        <v>6.5264489444471899E-2</v>
      </c>
      <c r="AF24" s="97">
        <f>data!OC40</f>
        <v>0</v>
      </c>
      <c r="AG24" s="97">
        <f>data!OD40</f>
        <v>2.7951378356147885</v>
      </c>
      <c r="AH24" s="97">
        <f>data!OE40</f>
        <v>0.54323621864065896</v>
      </c>
      <c r="AI24" s="97">
        <f>data!OF40</f>
        <v>0.16929768301246162</v>
      </c>
      <c r="AJ24" s="97">
        <f>data!OG40</f>
        <v>0.43643971590656655</v>
      </c>
      <c r="AK24" s="97">
        <f>data!OH40</f>
        <v>4.0284623738478641E-5</v>
      </c>
      <c r="AL24" s="98">
        <f>data!OI40</f>
        <v>28.775587519999998</v>
      </c>
      <c r="AR24" s="20"/>
    </row>
    <row r="25" spans="1:44" ht="15.75" customHeight="1" thickBot="1" x14ac:dyDescent="0.2">
      <c r="A25" s="114">
        <f>data!$NA$41</f>
        <v>0</v>
      </c>
      <c r="B25" s="463">
        <f>data!$NB$41</f>
        <v>11</v>
      </c>
      <c r="C25" s="115">
        <f>data!NC41</f>
        <v>28.784229119999999</v>
      </c>
      <c r="D25" s="116">
        <f>data!ND41</f>
        <v>2.378164505105218</v>
      </c>
      <c r="E25" s="32">
        <f>data!NE41</f>
        <v>3.3780898279321812E-2</v>
      </c>
      <c r="F25" s="116">
        <f>data!NF41</f>
        <v>5.9744888389771127</v>
      </c>
      <c r="G25" s="608"/>
      <c r="H25" s="33">
        <f>data!NH41</f>
        <v>13496583337</v>
      </c>
      <c r="I25" s="33">
        <f>data!NI41</f>
        <v>68453632000</v>
      </c>
      <c r="J25" s="117">
        <f>data!NJ41</f>
        <v>0.80523483444927213</v>
      </c>
      <c r="K25" s="118">
        <f>data!NK41</f>
        <v>0.9981155127020872</v>
      </c>
      <c r="L25" s="118">
        <f>data!NL41</f>
        <v>1</v>
      </c>
      <c r="M25" s="119">
        <f>data!NM41</f>
        <v>0.21313179080081279</v>
      </c>
      <c r="N25" s="120">
        <f>data!NN41</f>
        <v>0.4688881290075001</v>
      </c>
      <c r="P25" s="114">
        <f>data!$NA$41</f>
        <v>0</v>
      </c>
      <c r="Q25" s="463">
        <f>data!$NB$41</f>
        <v>11</v>
      </c>
      <c r="R25" s="99">
        <f>data!NO41</f>
        <v>1.391456847543673E-4</v>
      </c>
      <c r="S25" s="100">
        <f>data!NP41</f>
        <v>0</v>
      </c>
      <c r="T25" s="100">
        <f>data!NQ41</f>
        <v>0.1927818822249116</v>
      </c>
      <c r="U25" s="100">
        <f>data!NR41</f>
        <v>8.396648072995902E-2</v>
      </c>
      <c r="V25" s="100">
        <f>data!NS41</f>
        <v>1.5180805525234783E-2</v>
      </c>
      <c r="W25" s="100">
        <f>data!NT41</f>
        <v>3.8510777756204559E-3</v>
      </c>
      <c r="X25" s="100">
        <f>data!NU41</f>
        <v>8.9801006919021431E-2</v>
      </c>
      <c r="Y25" s="100">
        <f>data!NV41</f>
        <v>9.4117771633651035</v>
      </c>
      <c r="Z25" s="100">
        <f>data!NW41</f>
        <v>2.2448056252484707</v>
      </c>
      <c r="AA25" s="100">
        <f>data!NX41</f>
        <v>11.519814047674322</v>
      </c>
      <c r="AB25" s="100">
        <f>data!NY41</f>
        <v>2.5770373016717569E-3</v>
      </c>
      <c r="AC25" s="100">
        <f>data!NZ41</f>
        <v>1.2106167675306683</v>
      </c>
      <c r="AD25" s="100">
        <f>data!OA41</f>
        <v>0</v>
      </c>
      <c r="AE25" s="100">
        <f>data!OB41</f>
        <v>6.489987589629391E-2</v>
      </c>
      <c r="AF25" s="100">
        <f>data!OC41</f>
        <v>0</v>
      </c>
      <c r="AG25" s="100">
        <f>data!OD41</f>
        <v>2.7954072507973908</v>
      </c>
      <c r="AH25" s="100">
        <f>data!OE41</f>
        <v>0.54222620045317771</v>
      </c>
      <c r="AI25" s="100">
        <f>data!OF41</f>
        <v>0.16962943505237169</v>
      </c>
      <c r="AJ25" s="100">
        <f>data!OG41</f>
        <v>0.43683086743991983</v>
      </c>
      <c r="AK25" s="100">
        <f>data!OH41</f>
        <v>0</v>
      </c>
      <c r="AL25" s="101">
        <f>data!OI41</f>
        <v>28.784229119999999</v>
      </c>
      <c r="AR25" s="20"/>
    </row>
    <row r="26" spans="1:44" ht="15.75" customHeight="1" thickTop="1" thickBot="1" x14ac:dyDescent="0.2">
      <c r="A26" s="631" t="str">
        <f>data!$NB$42</f>
        <v>CMG 0 total</v>
      </c>
      <c r="B26" s="632"/>
      <c r="C26" s="464">
        <f>data!NC42</f>
        <v>28.749977893333334</v>
      </c>
      <c r="D26" s="465">
        <f>data!ND42</f>
        <v>28.571972717602673</v>
      </c>
      <c r="E26" s="466">
        <f>data!NE42</f>
        <v>3.3821170568625346E-2</v>
      </c>
      <c r="F26" s="465">
        <f>data!NF42</f>
        <v>71.668878709148245</v>
      </c>
      <c r="G26" s="466">
        <f>data!NG42</f>
        <v>0.27995655745761033</v>
      </c>
      <c r="H26" s="467">
        <f>data!NH42</f>
        <v>161959022534</v>
      </c>
      <c r="I26" s="467">
        <f>data!NI42</f>
        <v>821443584000</v>
      </c>
      <c r="J26" s="468">
        <f>data!NJ42</f>
        <v>0.80523472263252283</v>
      </c>
      <c r="K26" s="468">
        <f>data!NK42</f>
        <v>0.9981155127020872</v>
      </c>
      <c r="L26" s="468">
        <f>data!NL42</f>
        <v>1</v>
      </c>
      <c r="M26" s="469">
        <f>data!NM42</f>
        <v>0.21338596454765316</v>
      </c>
      <c r="N26" s="470">
        <f>data!NN42</f>
        <v>5.6333616371773196</v>
      </c>
      <c r="P26" s="631" t="str">
        <f>data!$NB$42</f>
        <v>CMG 0 total</v>
      </c>
      <c r="Q26" s="632"/>
      <c r="R26" s="473">
        <f>data!NO42</f>
        <v>1.4832128486305679E-4</v>
      </c>
      <c r="S26" s="474">
        <f>data!NP42</f>
        <v>0</v>
      </c>
      <c r="T26" s="474">
        <f>data!NQ42</f>
        <v>0.19122764370733358</v>
      </c>
      <c r="U26" s="474">
        <f>data!NR42</f>
        <v>6.2862268622118439E-2</v>
      </c>
      <c r="V26" s="474">
        <f>data!NS42</f>
        <v>1.2935238504280468E-2</v>
      </c>
      <c r="W26" s="474">
        <f>data!NT42</f>
        <v>3.8647163137538599E-3</v>
      </c>
      <c r="X26" s="474">
        <f>data!NU42</f>
        <v>7.1358983846152232E-2</v>
      </c>
      <c r="Y26" s="474">
        <f>data!NV42</f>
        <v>9.4061027080169719</v>
      </c>
      <c r="Z26" s="474">
        <f>data!NW42</f>
        <v>2.2414093834759012</v>
      </c>
      <c r="AA26" s="474">
        <f>data!NX42</f>
        <v>11.535034537242703</v>
      </c>
      <c r="AB26" s="474">
        <f>data!NY42</f>
        <v>2.5445087047302447E-3</v>
      </c>
      <c r="AC26" s="474">
        <f>data!NZ42</f>
        <v>1.2110287872210634</v>
      </c>
      <c r="AD26" s="474">
        <f>data!OA42</f>
        <v>0</v>
      </c>
      <c r="AE26" s="474">
        <f>data!OB42</f>
        <v>6.5156459065322775E-2</v>
      </c>
      <c r="AF26" s="474">
        <f>data!OC42</f>
        <v>0</v>
      </c>
      <c r="AG26" s="474">
        <f>data!OD42</f>
        <v>2.7986750364008404</v>
      </c>
      <c r="AH26" s="474">
        <f>data!OE42</f>
        <v>0.54314730504669706</v>
      </c>
      <c r="AI26" s="474">
        <f>data!OF42</f>
        <v>0.16820489675981884</v>
      </c>
      <c r="AJ26" s="474">
        <f>data!OG42</f>
        <v>0.43628591221844354</v>
      </c>
      <c r="AK26" s="474">
        <f>data!OH42</f>
        <v>1.6996285956880145E-5</v>
      </c>
      <c r="AL26" s="475">
        <f>data!OI42</f>
        <v>28.749977893333334</v>
      </c>
    </row>
    <row r="27" spans="1:44" ht="15.75" customHeight="1" thickBot="1" x14ac:dyDescent="0.2">
      <c r="L27" s="1"/>
      <c r="M27" s="1"/>
      <c r="N27" s="1"/>
      <c r="O27" s="1"/>
      <c r="P27" s="1"/>
      <c r="Q27" s="1"/>
      <c r="R27" s="10"/>
      <c r="V27" s="10"/>
      <c r="Y27" s="576" t="s">
        <v>1936</v>
      </c>
      <c r="AA27" s="10"/>
      <c r="AH27" s="13"/>
    </row>
    <row r="28" spans="1:44" ht="15.75" customHeight="1" x14ac:dyDescent="0.15">
      <c r="A28" s="627" t="str">
        <f>data!OJ25</f>
        <v>Busy</v>
      </c>
      <c r="B28" s="628"/>
      <c r="C28" s="602" t="str">
        <f>data!OJ28</f>
        <v>Floating-point operation pipeline A busy rate (%)</v>
      </c>
      <c r="D28" s="604" t="str">
        <f>data!OK28</f>
        <v>Floating-point operation pipeline B busy rate (%)</v>
      </c>
      <c r="E28" s="619" t="str">
        <f>data!OL28</f>
        <v>Integer operation pipeline A busy rate (%)</v>
      </c>
      <c r="F28" s="609" t="str">
        <f>data!OM28</f>
        <v>Integer operation pipeline B busy rate (%)</v>
      </c>
      <c r="G28" s="612" t="str">
        <f>data!ON28</f>
        <v>L1 busy rate (%)</v>
      </c>
      <c r="H28" s="612" t="str">
        <f>data!OO28</f>
        <v>L2 busy rate (%)</v>
      </c>
      <c r="I28" s="624" t="str">
        <f>data!OP28</f>
        <v>Memory busy rate (%)</v>
      </c>
      <c r="J28" s="619" t="str">
        <f>data!OQ28</f>
        <v>Address calculation operation pipeline A busy rate (%)</v>
      </c>
      <c r="K28" s="609" t="str">
        <f>data!OR28</f>
        <v>Address calculation operation pipeline B busy rate (%)</v>
      </c>
      <c r="L28" s="612" t="str">
        <f>data!OS28</f>
        <v>Floating-point pipeline A Active element rate (%)</v>
      </c>
      <c r="M28" s="612" t="str">
        <f>data!OT28</f>
        <v>Floating-point pipeline B Active element rate (%)</v>
      </c>
      <c r="N28" s="612" t="str">
        <f>data!OU28</f>
        <v>L1 pipeline 0 Active element rate (%)</v>
      </c>
      <c r="O28" s="612" t="str">
        <f>data!OV28</f>
        <v>L1 pipeline 1 Active element rate (%)</v>
      </c>
      <c r="P28" s="771" t="str">
        <f>data!OW28</f>
        <v>SFI(Store Fetch Interlock) rate</v>
      </c>
    </row>
    <row r="29" spans="1:44" ht="15.75" customHeight="1" x14ac:dyDescent="0.15">
      <c r="A29" s="629"/>
      <c r="B29" s="630"/>
      <c r="C29" s="603"/>
      <c r="D29" s="605"/>
      <c r="E29" s="620"/>
      <c r="F29" s="610"/>
      <c r="G29" s="613"/>
      <c r="H29" s="613"/>
      <c r="I29" s="625"/>
      <c r="J29" s="620"/>
      <c r="K29" s="610"/>
      <c r="L29" s="613"/>
      <c r="M29" s="613"/>
      <c r="N29" s="613"/>
      <c r="O29" s="613"/>
      <c r="P29" s="772"/>
    </row>
    <row r="30" spans="1:44" ht="15.75" customHeight="1" x14ac:dyDescent="0.15">
      <c r="A30" s="629"/>
      <c r="B30" s="630"/>
      <c r="C30" s="603"/>
      <c r="D30" s="605"/>
      <c r="E30" s="620"/>
      <c r="F30" s="610"/>
      <c r="G30" s="613"/>
      <c r="H30" s="613"/>
      <c r="I30" s="625"/>
      <c r="J30" s="620"/>
      <c r="K30" s="610"/>
      <c r="L30" s="613"/>
      <c r="M30" s="613"/>
      <c r="N30" s="613"/>
      <c r="O30" s="613"/>
      <c r="P30" s="772"/>
    </row>
    <row r="31" spans="1:44" ht="15.75" customHeight="1" x14ac:dyDescent="0.15">
      <c r="A31" s="629"/>
      <c r="B31" s="630"/>
      <c r="C31" s="603"/>
      <c r="D31" s="605"/>
      <c r="E31" s="620"/>
      <c r="F31" s="610"/>
      <c r="G31" s="613"/>
      <c r="H31" s="613"/>
      <c r="I31" s="625"/>
      <c r="J31" s="620"/>
      <c r="K31" s="610"/>
      <c r="L31" s="613"/>
      <c r="M31" s="613"/>
      <c r="N31" s="613"/>
      <c r="O31" s="613"/>
      <c r="P31" s="772"/>
    </row>
    <row r="32" spans="1:44" ht="15.75" customHeight="1" x14ac:dyDescent="0.15">
      <c r="A32" s="641"/>
      <c r="B32" s="643"/>
      <c r="C32" s="618"/>
      <c r="D32" s="606"/>
      <c r="E32" s="621"/>
      <c r="F32" s="622"/>
      <c r="G32" s="623"/>
      <c r="H32" s="623"/>
      <c r="I32" s="626"/>
      <c r="J32" s="620"/>
      <c r="K32" s="610"/>
      <c r="L32" s="613"/>
      <c r="M32" s="613"/>
      <c r="N32" s="613"/>
      <c r="O32" s="613"/>
      <c r="P32" s="772"/>
    </row>
    <row r="33" spans="1:21" ht="15.75" customHeight="1" thickBot="1" x14ac:dyDescent="0.2">
      <c r="A33" s="440" t="s">
        <v>1473</v>
      </c>
      <c r="B33" s="441" t="s">
        <v>1474</v>
      </c>
      <c r="C33" s="519"/>
      <c r="D33" s="520"/>
      <c r="E33" s="521"/>
      <c r="F33" s="521"/>
      <c r="G33" s="45"/>
      <c r="H33" s="14"/>
      <c r="I33" s="15"/>
      <c r="J33" s="633"/>
      <c r="K33" s="611"/>
      <c r="L33" s="614"/>
      <c r="M33" s="614"/>
      <c r="N33" s="614"/>
      <c r="O33" s="614"/>
      <c r="P33" s="773"/>
    </row>
    <row r="34" spans="1:21" ht="15.75" customHeight="1" thickBot="1" x14ac:dyDescent="0.2">
      <c r="A34" s="105">
        <f>data!$NA$30</f>
        <v>0</v>
      </c>
      <c r="B34" s="106">
        <f>data!$NB$30</f>
        <v>0</v>
      </c>
      <c r="C34" s="44">
        <f>data!OJ30</f>
        <v>0.1098736032113278</v>
      </c>
      <c r="D34" s="44">
        <f>data!OK30</f>
        <v>7.7771457780806019E-2</v>
      </c>
      <c r="E34" s="44">
        <f>data!OL30</f>
        <v>4.6797941474801949E-3</v>
      </c>
      <c r="F34" s="44">
        <f>data!OM30</f>
        <v>1.2632500843858908E-2</v>
      </c>
      <c r="G34" s="46">
        <f>data!ON30</f>
        <v>0.16799891626308217</v>
      </c>
      <c r="H34" s="644">
        <f>data!OO42</f>
        <v>0.16738103147846711</v>
      </c>
      <c r="I34" s="644">
        <f>data!OP42</f>
        <v>0.27995655745761033</v>
      </c>
      <c r="J34" s="44">
        <f>data!OQ30</f>
        <v>0.11192782500668645</v>
      </c>
      <c r="K34" s="44">
        <f>data!OR30</f>
        <v>9.2997229700791634E-2</v>
      </c>
      <c r="L34" s="128">
        <f>data!OS30</f>
        <v>1</v>
      </c>
      <c r="M34" s="128">
        <f>data!OT30</f>
        <v>0.94736684496334522</v>
      </c>
      <c r="N34" s="81">
        <f>data!OU30</f>
        <v>0.95335111565263164</v>
      </c>
      <c r="O34" s="81">
        <f>data!OV30</f>
        <v>0.92050770846418972</v>
      </c>
      <c r="P34" s="559">
        <f>data!OW30</f>
        <v>1.4816474202311782E-2</v>
      </c>
    </row>
    <row r="35" spans="1:21" ht="15.75" customHeight="1" thickBot="1" x14ac:dyDescent="0.2">
      <c r="A35" s="107">
        <f>data!$NA$31</f>
        <v>0</v>
      </c>
      <c r="B35" s="108">
        <f>data!$NB$31</f>
        <v>1</v>
      </c>
      <c r="C35" s="3">
        <f>data!OJ31</f>
        <v>0.10999648756560355</v>
      </c>
      <c r="D35" s="3">
        <f>data!OK31</f>
        <v>7.787924351741754E-2</v>
      </c>
      <c r="E35" s="3">
        <f>data!OL31</f>
        <v>4.6764354747760237E-3</v>
      </c>
      <c r="F35" s="3">
        <f>data!OM31</f>
        <v>1.2652647653181791E-2</v>
      </c>
      <c r="G35" s="3">
        <f>data!ON31</f>
        <v>0.1681572588556165</v>
      </c>
      <c r="H35" s="644"/>
      <c r="I35" s="644"/>
      <c r="J35" s="3">
        <f>data!OQ31</f>
        <v>0.11206199084154957</v>
      </c>
      <c r="K35" s="3">
        <f>data!OR31</f>
        <v>9.3109918071108452E-2</v>
      </c>
      <c r="L35" s="4">
        <f>data!OS31</f>
        <v>1</v>
      </c>
      <c r="M35" s="4">
        <f>data!OT31</f>
        <v>0.94730259010625295</v>
      </c>
      <c r="N35" s="47">
        <f>data!OU31</f>
        <v>0.95315943434115347</v>
      </c>
      <c r="O35" s="47">
        <f>data!OV31</f>
        <v>0.92112311078708631</v>
      </c>
      <c r="P35" s="560">
        <f>data!OW31</f>
        <v>1.4829967503167786E-2</v>
      </c>
    </row>
    <row r="36" spans="1:21" ht="15.75" customHeight="1" thickBot="1" x14ac:dyDescent="0.2">
      <c r="A36" s="107">
        <f>data!$NA$32</f>
        <v>0</v>
      </c>
      <c r="B36" s="108">
        <f>data!$NB$32</f>
        <v>2</v>
      </c>
      <c r="C36" s="3">
        <f>data!OJ32</f>
        <v>0.10980662067509143</v>
      </c>
      <c r="D36" s="3">
        <f>data!OK32</f>
        <v>7.7707078929806273E-2</v>
      </c>
      <c r="E36" s="3">
        <f>data!OL32</f>
        <v>4.6792634756953428E-3</v>
      </c>
      <c r="F36" s="3">
        <f>data!OM32</f>
        <v>1.2619076169999559E-2</v>
      </c>
      <c r="G36" s="3">
        <f>data!ON32</f>
        <v>0.1679145447750508</v>
      </c>
      <c r="H36" s="644"/>
      <c r="I36" s="644"/>
      <c r="J36" s="3">
        <f>data!OQ32</f>
        <v>0.11184047610763088</v>
      </c>
      <c r="K36" s="3">
        <f>data!OR32</f>
        <v>9.2925185856616369E-2</v>
      </c>
      <c r="L36" s="4">
        <f>data!OS32</f>
        <v>1</v>
      </c>
      <c r="M36" s="4">
        <f>data!OT32</f>
        <v>0.9473606717896057</v>
      </c>
      <c r="N36" s="47">
        <f>data!OU32</f>
        <v>0.9533449519113214</v>
      </c>
      <c r="O36" s="47">
        <f>data!OV32</f>
        <v>0.92044017586257076</v>
      </c>
      <c r="P36" s="560">
        <f>data!OW32</f>
        <v>1.481147781979845E-2</v>
      </c>
      <c r="U36" s="10"/>
    </row>
    <row r="37" spans="1:21" ht="15.75" customHeight="1" thickBot="1" x14ac:dyDescent="0.2">
      <c r="A37" s="107">
        <f>data!$NA$33</f>
        <v>0</v>
      </c>
      <c r="B37" s="108">
        <f>data!$NB$33</f>
        <v>3</v>
      </c>
      <c r="C37" s="3">
        <f>data!OJ33</f>
        <v>0.10979060766356519</v>
      </c>
      <c r="D37" s="3">
        <f>data!OK33</f>
        <v>7.7689022911733407E-2</v>
      </c>
      <c r="E37" s="3">
        <f>data!OL33</f>
        <v>4.6792842161628833E-3</v>
      </c>
      <c r="F37" s="3">
        <f>data!OM33</f>
        <v>1.2616923108134526E-2</v>
      </c>
      <c r="G37" s="3">
        <f>data!ON33</f>
        <v>0.16791374494889236</v>
      </c>
      <c r="H37" s="644"/>
      <c r="I37" s="644"/>
      <c r="J37" s="3">
        <f>data!OQ33</f>
        <v>0.11181263348782096</v>
      </c>
      <c r="K37" s="3">
        <f>data!OR33</f>
        <v>9.2900640681732663E-2</v>
      </c>
      <c r="L37" s="4">
        <f>data!OS33</f>
        <v>1</v>
      </c>
      <c r="M37" s="4">
        <f>data!OT33</f>
        <v>0.94737046608895448</v>
      </c>
      <c r="N37" s="47">
        <f>data!OU33</f>
        <v>0.95338988657107004</v>
      </c>
      <c r="O37" s="47">
        <f>data!OV33</f>
        <v>0.92025169009757801</v>
      </c>
      <c r="P37" s="560">
        <f>data!OW33</f>
        <v>1.4850077518408685E-2</v>
      </c>
    </row>
    <row r="38" spans="1:21" ht="15.75" customHeight="1" thickBot="1" x14ac:dyDescent="0.2">
      <c r="A38" s="107">
        <f>data!$NA$34</f>
        <v>0</v>
      </c>
      <c r="B38" s="108">
        <f>data!$NB$34</f>
        <v>4</v>
      </c>
      <c r="C38" s="3">
        <f>data!OJ34</f>
        <v>0.10991676091365231</v>
      </c>
      <c r="D38" s="3">
        <f>data!OK34</f>
        <v>7.7784356430018492E-2</v>
      </c>
      <c r="E38" s="3">
        <f>data!OL34</f>
        <v>4.6773697668307159E-3</v>
      </c>
      <c r="F38" s="3">
        <f>data!OM34</f>
        <v>1.2633001545029296E-2</v>
      </c>
      <c r="G38" s="3">
        <f>data!ON34</f>
        <v>0.16806155283086288</v>
      </c>
      <c r="H38" s="644"/>
      <c r="I38" s="644"/>
      <c r="J38" s="3">
        <f>data!OQ34</f>
        <v>0.11196291019674132</v>
      </c>
      <c r="K38" s="3">
        <f>data!OR34</f>
        <v>9.3022446751757581E-2</v>
      </c>
      <c r="L38" s="4">
        <f>data!OS34</f>
        <v>1</v>
      </c>
      <c r="M38" s="4">
        <f>data!OT34</f>
        <v>0.94736133631689257</v>
      </c>
      <c r="N38" s="47">
        <f>data!OU34</f>
        <v>0.95370076336666232</v>
      </c>
      <c r="O38" s="47">
        <f>data!OV34</f>
        <v>0.91923604601879649</v>
      </c>
      <c r="P38" s="560">
        <f>data!OW34</f>
        <v>1.4852790712207064E-2</v>
      </c>
    </row>
    <row r="39" spans="1:21" ht="15.75" customHeight="1" thickBot="1" x14ac:dyDescent="0.2">
      <c r="A39" s="107">
        <f>data!$NA$35</f>
        <v>0</v>
      </c>
      <c r="B39" s="108">
        <f>data!$NB$35</f>
        <v>5</v>
      </c>
      <c r="C39" s="3">
        <f>data!OJ35</f>
        <v>0.10990875538751847</v>
      </c>
      <c r="D39" s="3">
        <f>data!OK35</f>
        <v>7.778506667625508E-2</v>
      </c>
      <c r="E39" s="3">
        <f>data!OL35</f>
        <v>4.6734298508198397E-3</v>
      </c>
      <c r="F39" s="3">
        <f>data!OM35</f>
        <v>1.2647435793675327E-2</v>
      </c>
      <c r="G39" s="3">
        <f>data!ON35</f>
        <v>0.16805688994158344</v>
      </c>
      <c r="H39" s="644"/>
      <c r="I39" s="644"/>
      <c r="J39" s="3">
        <f>data!OQ35</f>
        <v>0.11194533805834476</v>
      </c>
      <c r="K39" s="3">
        <f>data!OR35</f>
        <v>9.3013164346892843E-2</v>
      </c>
      <c r="L39" s="4">
        <f>data!OS35</f>
        <v>1</v>
      </c>
      <c r="M39" s="4">
        <f>data!OT35</f>
        <v>0.94737819689059688</v>
      </c>
      <c r="N39" s="47">
        <f>data!OU35</f>
        <v>0.95357733945460943</v>
      </c>
      <c r="O39" s="47">
        <f>data!OV35</f>
        <v>0.91968098963587697</v>
      </c>
      <c r="P39" s="560">
        <f>data!OW35</f>
        <v>1.484017279111682E-2</v>
      </c>
    </row>
    <row r="40" spans="1:21" ht="15.75" customHeight="1" thickBot="1" x14ac:dyDescent="0.2">
      <c r="A40" s="107">
        <f>data!$NA$36</f>
        <v>0</v>
      </c>
      <c r="B40" s="108">
        <f>data!$NB$36</f>
        <v>6</v>
      </c>
      <c r="C40" s="3">
        <f>data!OJ36</f>
        <v>0.11007232777911986</v>
      </c>
      <c r="D40" s="3">
        <f>data!OK36</f>
        <v>7.7911673378127516E-2</v>
      </c>
      <c r="E40" s="3">
        <f>data!OL36</f>
        <v>4.6792595753756151E-3</v>
      </c>
      <c r="F40" s="3">
        <f>data!OM36</f>
        <v>1.2661909012498562E-2</v>
      </c>
      <c r="G40" s="3">
        <f>data!ON36</f>
        <v>0.16825949203203805</v>
      </c>
      <c r="H40" s="644"/>
      <c r="I40" s="644"/>
      <c r="J40" s="3">
        <f>data!OQ36</f>
        <v>0.11212611021519392</v>
      </c>
      <c r="K40" s="3">
        <f>data!OR36</f>
        <v>9.316738587457786E-2</v>
      </c>
      <c r="L40" s="4">
        <f>data!OS36</f>
        <v>1</v>
      </c>
      <c r="M40" s="4">
        <f>data!OT36</f>
        <v>0.94738325752638863</v>
      </c>
      <c r="N40" s="47">
        <f>data!OU36</f>
        <v>0.95373790005359382</v>
      </c>
      <c r="O40" s="47">
        <f>data!OV36</f>
        <v>0.9190881137200978</v>
      </c>
      <c r="P40" s="560">
        <f>data!OW36</f>
        <v>1.4873830163781576E-2</v>
      </c>
    </row>
    <row r="41" spans="1:21" ht="15.75" customHeight="1" thickBot="1" x14ac:dyDescent="0.2">
      <c r="A41" s="107">
        <f>data!$NA$37</f>
        <v>0</v>
      </c>
      <c r="B41" s="108">
        <f>data!$NB$37</f>
        <v>7</v>
      </c>
      <c r="C41" s="3">
        <f>data!OJ37</f>
        <v>0.10992325505205595</v>
      </c>
      <c r="D41" s="3">
        <f>data!OK37</f>
        <v>7.7785112577872434E-2</v>
      </c>
      <c r="E41" s="3">
        <f>data!OL37</f>
        <v>4.6752401761003034E-3</v>
      </c>
      <c r="F41" s="3">
        <f>data!OM37</f>
        <v>1.265891754702112E-2</v>
      </c>
      <c r="G41" s="3">
        <f>data!ON37</f>
        <v>0.16809511566717131</v>
      </c>
      <c r="H41" s="644"/>
      <c r="I41" s="644"/>
      <c r="J41" s="3">
        <f>data!OQ37</f>
        <v>0.11196676550263418</v>
      </c>
      <c r="K41" s="3">
        <f>data!OR37</f>
        <v>9.3032570864841041E-2</v>
      </c>
      <c r="L41" s="4">
        <f>data!OS37</f>
        <v>1</v>
      </c>
      <c r="M41" s="4">
        <f>data!OT37</f>
        <v>0.94744298753456369</v>
      </c>
      <c r="N41" s="47">
        <f>data!OU37</f>
        <v>0.9537586624772334</v>
      </c>
      <c r="O41" s="47">
        <f>data!OV37</f>
        <v>0.91914688977293946</v>
      </c>
      <c r="P41" s="560">
        <f>data!OW37</f>
        <v>1.4904994733939721E-2</v>
      </c>
    </row>
    <row r="42" spans="1:21" ht="15.75" customHeight="1" thickBot="1" x14ac:dyDescent="0.2">
      <c r="A42" s="107">
        <f>data!$NA$38</f>
        <v>0</v>
      </c>
      <c r="B42" s="108">
        <f>data!$NB$38</f>
        <v>8</v>
      </c>
      <c r="C42" s="3">
        <f>data!OJ38</f>
        <v>0.10986919850696285</v>
      </c>
      <c r="D42" s="3">
        <f>data!OK38</f>
        <v>7.7745042880622658E-2</v>
      </c>
      <c r="E42" s="3">
        <f>data!OL38</f>
        <v>4.6745495786639129E-3</v>
      </c>
      <c r="F42" s="3">
        <f>data!OM38</f>
        <v>1.2645890690494597E-2</v>
      </c>
      <c r="G42" s="3">
        <f>data!ON38</f>
        <v>0.16803688116293408</v>
      </c>
      <c r="H42" s="644"/>
      <c r="I42" s="644"/>
      <c r="J42" s="3">
        <f>data!OQ38</f>
        <v>0.11191340452734691</v>
      </c>
      <c r="K42" s="3">
        <f>data!OR38</f>
        <v>9.2988524043296925E-2</v>
      </c>
      <c r="L42" s="4">
        <f>data!OS38</f>
        <v>1</v>
      </c>
      <c r="M42" s="4">
        <f>data!OT38</f>
        <v>0.94742929968191048</v>
      </c>
      <c r="N42" s="47">
        <f>data!OU38</f>
        <v>0.95374627469802808</v>
      </c>
      <c r="O42" s="47">
        <f>data!OV38</f>
        <v>0.91914907774960153</v>
      </c>
      <c r="P42" s="560">
        <f>data!OW38</f>
        <v>1.4902426129542137E-2</v>
      </c>
    </row>
    <row r="43" spans="1:21" ht="15.75" customHeight="1" thickBot="1" x14ac:dyDescent="0.2">
      <c r="A43" s="107">
        <f>data!$NA$39</f>
        <v>0</v>
      </c>
      <c r="B43" s="108">
        <f>data!$NB$39</f>
        <v>9</v>
      </c>
      <c r="C43" s="3">
        <f>data!OJ39</f>
        <v>0.10997669558883374</v>
      </c>
      <c r="D43" s="3">
        <f>data!OK39</f>
        <v>7.784955137423781E-2</v>
      </c>
      <c r="E43" s="3">
        <f>data!OL39</f>
        <v>4.6804045724890917E-3</v>
      </c>
      <c r="F43" s="3">
        <f>data!OM39</f>
        <v>1.2656463423269891E-2</v>
      </c>
      <c r="G43" s="3">
        <f>data!ON39</f>
        <v>0.16817844233707968</v>
      </c>
      <c r="H43" s="644"/>
      <c r="I43" s="644"/>
      <c r="J43" s="3">
        <f>data!OQ39</f>
        <v>0.11203863336414725</v>
      </c>
      <c r="K43" s="3">
        <f>data!OR39</f>
        <v>9.3094115351237183E-2</v>
      </c>
      <c r="L43" s="4">
        <f>data!OS39</f>
        <v>1</v>
      </c>
      <c r="M43" s="4">
        <f>data!OT39</f>
        <v>0.94740647171478576</v>
      </c>
      <c r="N43" s="47">
        <f>data!OU39</f>
        <v>0.95371002694590856</v>
      </c>
      <c r="O43" s="47">
        <f>data!OV39</f>
        <v>0.91919642774506549</v>
      </c>
      <c r="P43" s="560">
        <f>data!OW39</f>
        <v>1.4924557889163772E-2</v>
      </c>
    </row>
    <row r="44" spans="1:21" ht="15.75" customHeight="1" thickBot="1" x14ac:dyDescent="0.2">
      <c r="A44" s="107">
        <f>data!$NA$40</f>
        <v>0</v>
      </c>
      <c r="B44" s="108">
        <f>data!$NB$40</f>
        <v>10</v>
      </c>
      <c r="C44" s="3">
        <f>data!OJ40</f>
        <v>0.10979078686564864</v>
      </c>
      <c r="D44" s="3">
        <f>data!OK40</f>
        <v>7.7707142027565734E-2</v>
      </c>
      <c r="E44" s="3">
        <f>data!OL40</f>
        <v>4.6708519867267127E-3</v>
      </c>
      <c r="F44" s="3">
        <f>data!OM40</f>
        <v>1.2635941989151101E-2</v>
      </c>
      <c r="G44" s="3">
        <f>data!ON40</f>
        <v>0.16794757633879145</v>
      </c>
      <c r="H44" s="644"/>
      <c r="I44" s="644"/>
      <c r="J44" s="3">
        <f>data!OQ40</f>
        <v>0.11184858189851</v>
      </c>
      <c r="K44" s="3">
        <f>data!OR40</f>
        <v>9.2938327375627114E-2</v>
      </c>
      <c r="L44" s="4">
        <f>data!OS40</f>
        <v>1</v>
      </c>
      <c r="M44" s="4">
        <f>data!OT40</f>
        <v>0.94741481460760602</v>
      </c>
      <c r="N44" s="47">
        <f>data!OU40</f>
        <v>0.95374817280133717</v>
      </c>
      <c r="O44" s="47">
        <f>data!OV40</f>
        <v>0.91914603435588937</v>
      </c>
      <c r="P44" s="560">
        <f>data!OW40</f>
        <v>1.4889791770170736E-2</v>
      </c>
    </row>
    <row r="45" spans="1:21" ht="15.75" customHeight="1" thickBot="1" x14ac:dyDescent="0.2">
      <c r="A45" s="114">
        <f>data!$NA$41</f>
        <v>0</v>
      </c>
      <c r="B45" s="463">
        <f>data!$NB$41</f>
        <v>11</v>
      </c>
      <c r="C45" s="31">
        <f>data!OJ41</f>
        <v>0.10976210990753797</v>
      </c>
      <c r="D45" s="31">
        <f>data!OK41</f>
        <v>7.7701365149411131E-2</v>
      </c>
      <c r="E45" s="31">
        <f>data!OL41</f>
        <v>4.6696079507347462E-3</v>
      </c>
      <c r="F45" s="31">
        <f>data!OM41</f>
        <v>1.2615209255724071E-2</v>
      </c>
      <c r="G45" s="31">
        <f>data!ON41</f>
        <v>0.16794559573658158</v>
      </c>
      <c r="H45" s="645"/>
      <c r="I45" s="645"/>
      <c r="J45" s="31">
        <f>data!OQ41</f>
        <v>0.11181378452839676</v>
      </c>
      <c r="K45" s="31">
        <f>data!OR41</f>
        <v>9.2902620094763355E-2</v>
      </c>
      <c r="L45" s="495">
        <f>data!OS41</f>
        <v>1</v>
      </c>
      <c r="M45" s="495">
        <f>data!OT41</f>
        <v>0.94736819139815942</v>
      </c>
      <c r="N45" s="496">
        <f>data!OU41</f>
        <v>0.95373439665427362</v>
      </c>
      <c r="O45" s="497">
        <f>data!OV41</f>
        <v>0.91917078205084957</v>
      </c>
      <c r="P45" s="561">
        <f>data!OW41</f>
        <v>1.4918057408340145E-2</v>
      </c>
    </row>
    <row r="46" spans="1:21" ht="15.75" customHeight="1" thickTop="1" thickBot="1" x14ac:dyDescent="0.2">
      <c r="A46" s="631" t="str">
        <f>data!$NB$42</f>
        <v>CMG 0 total</v>
      </c>
      <c r="B46" s="632"/>
      <c r="C46" s="471">
        <f>data!OJ42</f>
        <v>0.10989052446462048</v>
      </c>
      <c r="D46" s="471">
        <f>data!OK42</f>
        <v>7.777628398426531E-2</v>
      </c>
      <c r="E46" s="471">
        <f>data!OL42</f>
        <v>4.6762896942944337E-3</v>
      </c>
      <c r="F46" s="471">
        <f>data!OM42</f>
        <v>1.2639647463618755E-2</v>
      </c>
      <c r="G46" s="472">
        <f>data!ON42</f>
        <v>0.16804708008544911</v>
      </c>
      <c r="H46" s="466">
        <f>data!OO42</f>
        <v>0.16738103147846711</v>
      </c>
      <c r="I46" s="466">
        <f>data!OP42</f>
        <v>0.27995655745761033</v>
      </c>
      <c r="J46" s="471">
        <f>data!OQ42</f>
        <v>0.11193811882852486</v>
      </c>
      <c r="K46" s="471">
        <f>data!OR42</f>
        <v>9.300760546501409E-2</v>
      </c>
      <c r="L46" s="498">
        <f>data!OS42</f>
        <v>1</v>
      </c>
      <c r="M46" s="498">
        <f>data!OT42</f>
        <v>0.94738209276174501</v>
      </c>
      <c r="N46" s="499">
        <f>data!OU42</f>
        <v>0.95357991041065171</v>
      </c>
      <c r="O46" s="499">
        <f>data!OV42</f>
        <v>0.91967808718837862</v>
      </c>
      <c r="P46" s="487">
        <f>data!OW42</f>
        <v>1.48678853723655E-2</v>
      </c>
    </row>
    <row r="47" spans="1:21" ht="15.75" customHeight="1" thickBot="1" x14ac:dyDescent="0.2"/>
    <row r="48" spans="1:21" ht="15.75" customHeight="1" x14ac:dyDescent="0.15">
      <c r="A48" s="627" t="str">
        <f>data!OX25</f>
        <v>Cache</v>
      </c>
      <c r="B48" s="639"/>
      <c r="C48" s="646" t="str">
        <f>data!OX28</f>
        <v>L1I miss rate (/Effective instruction)</v>
      </c>
      <c r="D48" s="612" t="str">
        <f>data!OY28</f>
        <v>Load-store instruction</v>
      </c>
      <c r="E48" s="612" t="str">
        <f>data!OZ28</f>
        <v>L1D miss</v>
      </c>
      <c r="F48" s="612" t="str">
        <f>data!PA28</f>
        <v>L1D miss rate (/Load-store instruction)</v>
      </c>
      <c r="G48" s="612" t="str">
        <f>data!PB28</f>
        <v>L1D miss demand rate (%) (/L1D miss)</v>
      </c>
      <c r="H48" s="612" t="str">
        <f>data!PC28</f>
        <v>L1D miss hardware prefetch rate (%) (/L1D miss)</v>
      </c>
      <c r="I48" s="612" t="str">
        <f>data!PD28</f>
        <v>L1D miss software prefetch rate (%) (/L1D miss)</v>
      </c>
      <c r="J48" s="612" t="str">
        <f>data!PE28</f>
        <v>L2 miss</v>
      </c>
      <c r="K48" s="612" t="str">
        <f>data!PF28</f>
        <v>L2 miss rate (/Load-store instruction)</v>
      </c>
      <c r="L48" s="778" t="str">
        <f>data!PG28</f>
        <v>L2 miss demand rate (%) (/L2 miss)</v>
      </c>
      <c r="M48" s="778" t="str">
        <f>data!PH28</f>
        <v>L2 miss hardware prefetch rate (%) (/L2 miss)</v>
      </c>
      <c r="N48" s="778" t="str">
        <f>data!PI28</f>
        <v>L2 miss software prefetch rate (%) (/L2 miss)</v>
      </c>
      <c r="O48" s="612" t="str">
        <f>data!PJ28</f>
        <v>L1D TLB miss rate (/Load-store instruction)</v>
      </c>
      <c r="P48" s="760" t="str">
        <f>data!PK28</f>
        <v>L2D TLB miss rate (/Load-store instruction)</v>
      </c>
    </row>
    <row r="49" spans="1:21" ht="15.75" customHeight="1" x14ac:dyDescent="0.15">
      <c r="A49" s="629"/>
      <c r="B49" s="640"/>
      <c r="C49" s="647"/>
      <c r="D49" s="613"/>
      <c r="E49" s="613"/>
      <c r="F49" s="613"/>
      <c r="G49" s="613"/>
      <c r="H49" s="613"/>
      <c r="I49" s="613"/>
      <c r="J49" s="613"/>
      <c r="K49" s="613"/>
      <c r="L49" s="779"/>
      <c r="M49" s="779"/>
      <c r="N49" s="779"/>
      <c r="O49" s="613"/>
      <c r="P49" s="761"/>
    </row>
    <row r="50" spans="1:21" ht="15.75" customHeight="1" x14ac:dyDescent="0.15">
      <c r="A50" s="629"/>
      <c r="B50" s="640"/>
      <c r="C50" s="647"/>
      <c r="D50" s="613"/>
      <c r="E50" s="613"/>
      <c r="F50" s="613"/>
      <c r="G50" s="613"/>
      <c r="H50" s="613"/>
      <c r="I50" s="613"/>
      <c r="J50" s="613"/>
      <c r="K50" s="613"/>
      <c r="L50" s="779"/>
      <c r="M50" s="779"/>
      <c r="N50" s="779"/>
      <c r="O50" s="613"/>
      <c r="P50" s="761"/>
    </row>
    <row r="51" spans="1:21" ht="15.75" customHeight="1" x14ac:dyDescent="0.15">
      <c r="A51" s="629"/>
      <c r="B51" s="640"/>
      <c r="C51" s="647"/>
      <c r="D51" s="613"/>
      <c r="E51" s="613"/>
      <c r="F51" s="613"/>
      <c r="G51" s="613"/>
      <c r="H51" s="613"/>
      <c r="I51" s="613"/>
      <c r="J51" s="613"/>
      <c r="K51" s="613"/>
      <c r="L51" s="779"/>
      <c r="M51" s="779"/>
      <c r="N51" s="779"/>
      <c r="O51" s="613"/>
      <c r="P51" s="761"/>
      <c r="U51" s="10"/>
    </row>
    <row r="52" spans="1:21" ht="15.75" customHeight="1" x14ac:dyDescent="0.15">
      <c r="A52" s="629"/>
      <c r="B52" s="640"/>
      <c r="C52" s="647"/>
      <c r="D52" s="613"/>
      <c r="E52" s="613"/>
      <c r="F52" s="613"/>
      <c r="G52" s="613"/>
      <c r="H52" s="613"/>
      <c r="I52" s="613"/>
      <c r="J52" s="613"/>
      <c r="K52" s="613"/>
      <c r="L52" s="779"/>
      <c r="M52" s="779"/>
      <c r="N52" s="779"/>
      <c r="O52" s="613"/>
      <c r="P52" s="761"/>
    </row>
    <row r="53" spans="1:21" ht="15.75" customHeight="1" x14ac:dyDescent="0.15">
      <c r="A53" s="641"/>
      <c r="B53" s="642"/>
      <c r="C53" s="647"/>
      <c r="D53" s="613"/>
      <c r="E53" s="613"/>
      <c r="F53" s="613"/>
      <c r="G53" s="623"/>
      <c r="H53" s="623"/>
      <c r="I53" s="623"/>
      <c r="J53" s="613"/>
      <c r="K53" s="613"/>
      <c r="L53" s="780"/>
      <c r="M53" s="780"/>
      <c r="N53" s="780"/>
      <c r="O53" s="613"/>
      <c r="P53" s="761"/>
    </row>
    <row r="54" spans="1:21" ht="15.75" customHeight="1" thickBot="1" x14ac:dyDescent="0.2">
      <c r="A54" s="440" t="s">
        <v>1473</v>
      </c>
      <c r="B54" s="441" t="s">
        <v>1474</v>
      </c>
      <c r="C54" s="21"/>
      <c r="D54" s="22"/>
      <c r="E54" s="22"/>
      <c r="F54" s="22"/>
      <c r="G54" s="23"/>
      <c r="H54" s="24"/>
      <c r="I54" s="25"/>
      <c r="J54" s="22"/>
      <c r="K54" s="22"/>
      <c r="L54" s="23"/>
      <c r="M54" s="24"/>
      <c r="N54" s="25"/>
      <c r="O54" s="22"/>
      <c r="P54" s="522"/>
    </row>
    <row r="55" spans="1:21" ht="15.75" customHeight="1" x14ac:dyDescent="0.15">
      <c r="A55" s="105">
        <f>data!$NA$30</f>
        <v>0</v>
      </c>
      <c r="B55" s="106">
        <f>data!$NB$30</f>
        <v>0</v>
      </c>
      <c r="C55" s="550">
        <f>data!OX30</f>
        <v>3.3564037762216048E-8</v>
      </c>
      <c r="D55" s="5">
        <f>data!OY30</f>
        <v>3929115794</v>
      </c>
      <c r="E55" s="5">
        <f>data!OZ30</f>
        <v>467748158</v>
      </c>
      <c r="F55" s="11">
        <f>data!PA30</f>
        <v>0.11904667170010108</v>
      </c>
      <c r="G55" s="4">
        <f>data!PB30</f>
        <v>3.242107903715144E-2</v>
      </c>
      <c r="H55" s="452">
        <f>data!PC30</f>
        <v>0.95611663531126079</v>
      </c>
      <c r="I55" s="452">
        <f>data!PD30</f>
        <v>1.146228565158775E-2</v>
      </c>
      <c r="J55" s="5">
        <f>data!PE30</f>
        <v>463251793</v>
      </c>
      <c r="K55" s="11">
        <f>data!PF30</f>
        <v>0.11790230099795324</v>
      </c>
      <c r="L55" s="4">
        <f>data!PG30</f>
        <v>0.12639003657636735</v>
      </c>
      <c r="M55" s="452">
        <f>data!PH30</f>
        <v>0.87559944454527494</v>
      </c>
      <c r="N55" s="452">
        <f>data!PI30</f>
        <v>0</v>
      </c>
      <c r="O55" s="553">
        <f>data!PJ30</f>
        <v>4.6117246093053168E-7</v>
      </c>
      <c r="P55" s="554">
        <f>data!PK30</f>
        <v>7.6353056445452266E-10</v>
      </c>
    </row>
    <row r="56" spans="1:21" ht="15.75" customHeight="1" x14ac:dyDescent="0.15">
      <c r="A56" s="109">
        <f>data!$NA$31</f>
        <v>0</v>
      </c>
      <c r="B56" s="110">
        <f>data!$NB$31</f>
        <v>1</v>
      </c>
      <c r="C56" s="550">
        <f>data!OX31</f>
        <v>3.3341764650592553E-8</v>
      </c>
      <c r="D56" s="5">
        <f>data!OY31</f>
        <v>3929114518</v>
      </c>
      <c r="E56" s="5">
        <f>data!OZ31</f>
        <v>467746915</v>
      </c>
      <c r="F56" s="11">
        <f>data!PA31</f>
        <v>0.11904639400484891</v>
      </c>
      <c r="G56" s="4">
        <f>data!PB31</f>
        <v>3.157164596157732E-2</v>
      </c>
      <c r="H56" s="452">
        <f>data!PC31</f>
        <v>0.95696244196501012</v>
      </c>
      <c r="I56" s="452">
        <f>data!PD31</f>
        <v>1.1465912073412606E-2</v>
      </c>
      <c r="J56" s="5">
        <f>data!PE31</f>
        <v>461825365</v>
      </c>
      <c r="K56" s="11">
        <f>data!PF31</f>
        <v>0.11753929871076362</v>
      </c>
      <c r="L56" s="4">
        <f>data!PG31</f>
        <v>0.12423612422793569</v>
      </c>
      <c r="M56" s="452">
        <f>data!PH31</f>
        <v>0.87715331034685107</v>
      </c>
      <c r="N56" s="452">
        <f>data!PI31</f>
        <v>0</v>
      </c>
      <c r="O56" s="553">
        <f>data!PJ31</f>
        <v>4.2350509061950432E-7</v>
      </c>
      <c r="P56" s="554">
        <f>data!PK31</f>
        <v>7.6353081241497173E-10</v>
      </c>
    </row>
    <row r="57" spans="1:21" ht="15.75" customHeight="1" x14ac:dyDescent="0.15">
      <c r="A57" s="109">
        <f>data!$NA$32</f>
        <v>0</v>
      </c>
      <c r="B57" s="110">
        <f>data!$NB$32</f>
        <v>2</v>
      </c>
      <c r="C57" s="550">
        <f>data!OX32</f>
        <v>3.3934514203491264E-8</v>
      </c>
      <c r="D57" s="5">
        <f>data!OY32</f>
        <v>3929115711</v>
      </c>
      <c r="E57" s="5">
        <f>data!OZ32</f>
        <v>467770768</v>
      </c>
      <c r="F57" s="11">
        <f>data!PA32</f>
        <v>0.11905242869035984</v>
      </c>
      <c r="G57" s="4">
        <f>data!PB32</f>
        <v>3.3127995719476E-2</v>
      </c>
      <c r="H57" s="452">
        <f>data!PC32</f>
        <v>0.95541106792718611</v>
      </c>
      <c r="I57" s="452">
        <f>data!PD32</f>
        <v>1.1460936353337925E-2</v>
      </c>
      <c r="J57" s="5">
        <f>data!PE32</f>
        <v>462052038</v>
      </c>
      <c r="K57" s="11">
        <f>data!PF32</f>
        <v>0.11759695361132622</v>
      </c>
      <c r="L57" s="4">
        <f>data!PG32</f>
        <v>0.10366540204031523</v>
      </c>
      <c r="M57" s="452">
        <f>data!PH32</f>
        <v>0.89861740894392572</v>
      </c>
      <c r="N57" s="452">
        <f>data!PI32</f>
        <v>0</v>
      </c>
      <c r="O57" s="553">
        <f>data!PJ32</f>
        <v>4.4004812460968526E-7</v>
      </c>
      <c r="P57" s="554">
        <f>data!PK32</f>
        <v>2.5451019352786886E-10</v>
      </c>
    </row>
    <row r="58" spans="1:21" ht="15.75" customHeight="1" x14ac:dyDescent="0.15">
      <c r="A58" s="109">
        <f>data!$NA$33</f>
        <v>0</v>
      </c>
      <c r="B58" s="110">
        <f>data!$NB$33</f>
        <v>3</v>
      </c>
      <c r="C58" s="550">
        <f>data!OX33</f>
        <v>3.4527249761765554E-8</v>
      </c>
      <c r="D58" s="5">
        <f>data!OY33</f>
        <v>3929114523</v>
      </c>
      <c r="E58" s="5">
        <f>data!OZ33</f>
        <v>467786290</v>
      </c>
      <c r="F58" s="11">
        <f>data!PA33</f>
        <v>0.11905641519525645</v>
      </c>
      <c r="G58" s="4">
        <f>data!PB33</f>
        <v>3.3158030347576029E-2</v>
      </c>
      <c r="H58" s="452">
        <f>data!PC33</f>
        <v>0.9553658979616525</v>
      </c>
      <c r="I58" s="452">
        <f>data!PD33</f>
        <v>1.1476071690771443E-2</v>
      </c>
      <c r="J58" s="5">
        <f>data!PE33</f>
        <v>461406197</v>
      </c>
      <c r="K58" s="11">
        <f>data!PF33</f>
        <v>0.11743261600013179</v>
      </c>
      <c r="L58" s="4">
        <f>data!PG33</f>
        <v>0.15794089767223202</v>
      </c>
      <c r="M58" s="452">
        <f>data!PH33</f>
        <v>0.8443853289350004</v>
      </c>
      <c r="N58" s="452">
        <f>data!PI33</f>
        <v>0</v>
      </c>
      <c r="O58" s="553">
        <f>data!PJ33</f>
        <v>4.4539297334194808E-7</v>
      </c>
      <c r="P58" s="554">
        <f>data!PK33</f>
        <v>5.0902054096222632E-10</v>
      </c>
    </row>
    <row r="59" spans="1:21" ht="15.75" customHeight="1" x14ac:dyDescent="0.25">
      <c r="A59" s="109">
        <f>data!$NA$34</f>
        <v>0</v>
      </c>
      <c r="B59" s="110">
        <f>data!$NB$34</f>
        <v>4</v>
      </c>
      <c r="C59" s="550">
        <f>data!OX34</f>
        <v>3.3564051323033605E-8</v>
      </c>
      <c r="D59" s="5">
        <f>data!OY34</f>
        <v>3929115711</v>
      </c>
      <c r="E59" s="5">
        <f>data!OZ34</f>
        <v>467737451</v>
      </c>
      <c r="F59" s="11">
        <f>data!PA34</f>
        <v>0.11904394917424208</v>
      </c>
      <c r="G59" s="4">
        <f>data!PB34</f>
        <v>3.1712241489937912E-2</v>
      </c>
      <c r="H59" s="452">
        <f>data!PC34</f>
        <v>0.95682283948650504</v>
      </c>
      <c r="I59" s="452">
        <f>data!PD34</f>
        <v>1.1464919023557086E-2</v>
      </c>
      <c r="J59" s="5">
        <f>data!PE34</f>
        <v>461848072</v>
      </c>
      <c r="K59" s="11">
        <f>data!PF34</f>
        <v>0.1175450421851931</v>
      </c>
      <c r="L59" s="4">
        <f>data!PG34</f>
        <v>0.13968957460635187</v>
      </c>
      <c r="M59" s="452">
        <f>data!PH34</f>
        <v>0.86151743240931644</v>
      </c>
      <c r="N59" s="452">
        <f>data!PI34</f>
        <v>0</v>
      </c>
      <c r="O59" s="553">
        <f>data!PJ34</f>
        <v>4.0874337080575739E-7</v>
      </c>
      <c r="P59" s="554">
        <f>data!PK34</f>
        <v>1.2725509676393443E-9</v>
      </c>
      <c r="U59" s="9"/>
    </row>
    <row r="60" spans="1:21" ht="15.75" customHeight="1" x14ac:dyDescent="0.15">
      <c r="A60" s="109">
        <f>data!$NA$35</f>
        <v>0</v>
      </c>
      <c r="B60" s="110">
        <f>data!$NB$35</f>
        <v>5</v>
      </c>
      <c r="C60" s="550">
        <f>data!OX35</f>
        <v>3.1637631065405932E-8</v>
      </c>
      <c r="D60" s="5">
        <f>data!OY35</f>
        <v>3929114518</v>
      </c>
      <c r="E60" s="5">
        <f>data!OZ35</f>
        <v>467747482</v>
      </c>
      <c r="F60" s="11">
        <f>data!PA35</f>
        <v>0.11904653831217245</v>
      </c>
      <c r="G60" s="4">
        <f>data!PB35</f>
        <v>3.2433151612347964E-2</v>
      </c>
      <c r="H60" s="452">
        <f>data!PC35</f>
        <v>0.95608813346856247</v>
      </c>
      <c r="I60" s="452">
        <f>data!PD35</f>
        <v>1.1478714919089613E-2</v>
      </c>
      <c r="J60" s="5">
        <f>data!PE35</f>
        <v>461440326</v>
      </c>
      <c r="K60" s="11">
        <f>data!PF35</f>
        <v>0.11744130233060313</v>
      </c>
      <c r="L60" s="4">
        <f>data!PG35</f>
        <v>8.9373041042241447E-2</v>
      </c>
      <c r="M60" s="452">
        <f>data!PH35</f>
        <v>0.91242358840561111</v>
      </c>
      <c r="N60" s="452">
        <f>data!PI35</f>
        <v>0</v>
      </c>
      <c r="O60" s="553">
        <f>data!PJ35</f>
        <v>4.0161720733027514E-7</v>
      </c>
      <c r="P60" s="554">
        <f>data!PK35</f>
        <v>5.0902054160998112E-10</v>
      </c>
    </row>
    <row r="61" spans="1:21" ht="15.75" customHeight="1" x14ac:dyDescent="0.15">
      <c r="A61" s="109">
        <f>data!$NA$36</f>
        <v>0</v>
      </c>
      <c r="B61" s="110">
        <f>data!$NB$36</f>
        <v>6</v>
      </c>
      <c r="C61" s="550">
        <f>data!OX36</f>
        <v>3.4749524429511565E-8</v>
      </c>
      <c r="D61" s="5">
        <f>data!OY36</f>
        <v>3929115946</v>
      </c>
      <c r="E61" s="5">
        <f>data!OZ36</f>
        <v>467663314</v>
      </c>
      <c r="F61" s="11">
        <f>data!PA36</f>
        <v>0.11902507343314729</v>
      </c>
      <c r="G61" s="4">
        <f>data!PB36</f>
        <v>3.0851113542765513E-2</v>
      </c>
      <c r="H61" s="452">
        <f>data!PC36</f>
        <v>0.95767957543918014</v>
      </c>
      <c r="I61" s="452">
        <f>data!PD36</f>
        <v>1.1469311018054327E-2</v>
      </c>
      <c r="J61" s="5">
        <f>data!PE36</f>
        <v>461746857</v>
      </c>
      <c r="K61" s="11">
        <f>data!PF36</f>
        <v>0.11751927490713963</v>
      </c>
      <c r="L61" s="4">
        <f>data!PG36</f>
        <v>0.12305755166889185</v>
      </c>
      <c r="M61" s="452">
        <f>data!PH36</f>
        <v>0.87780952060134454</v>
      </c>
      <c r="N61" s="452">
        <f>data!PI36</f>
        <v>0</v>
      </c>
      <c r="O61" s="553">
        <f>data!PJ36</f>
        <v>4.023805919012195E-7</v>
      </c>
      <c r="P61" s="554">
        <f>data!PK36</f>
        <v>2.5451017830564171E-10</v>
      </c>
    </row>
    <row r="62" spans="1:21" ht="15.75" customHeight="1" x14ac:dyDescent="0.15">
      <c r="A62" s="109">
        <f>data!$NA$37</f>
        <v>0</v>
      </c>
      <c r="B62" s="110">
        <f>data!$NB$37</f>
        <v>7</v>
      </c>
      <c r="C62" s="550">
        <f>data!OX37</f>
        <v>3.3045393112994406E-8</v>
      </c>
      <c r="D62" s="5">
        <f>data!OY37</f>
        <v>3929115728</v>
      </c>
      <c r="E62" s="5">
        <f>data!OZ37</f>
        <v>467704198</v>
      </c>
      <c r="F62" s="11">
        <f>data!PA37</f>
        <v>0.11903548543174904</v>
      </c>
      <c r="G62" s="4">
        <f>data!PB37</f>
        <v>3.2076430068733314E-2</v>
      </c>
      <c r="H62" s="452">
        <f>data!PC37</f>
        <v>0.95646011712727885</v>
      </c>
      <c r="I62" s="452">
        <f>data!PD37</f>
        <v>1.1463452803987875E-2</v>
      </c>
      <c r="J62" s="5">
        <f>data!PE37</f>
        <v>461377202</v>
      </c>
      <c r="K62" s="11">
        <f>data!PF37</f>
        <v>0.11742520046230616</v>
      </c>
      <c r="L62" s="4">
        <f>data!PG37</f>
        <v>0.12438292513123363</v>
      </c>
      <c r="M62" s="452">
        <f>data!PH37</f>
        <v>0.8772334675876472</v>
      </c>
      <c r="N62" s="452">
        <f>data!PI37</f>
        <v>0</v>
      </c>
      <c r="O62" s="553">
        <f>data!PJ37</f>
        <v>4.3928459212846073E-7</v>
      </c>
      <c r="P62" s="554">
        <f>data!PK37</f>
        <v>2.5451019242668637E-10</v>
      </c>
    </row>
    <row r="63" spans="1:21" ht="15.75" customHeight="1" x14ac:dyDescent="0.15">
      <c r="A63" s="109">
        <f>data!$NA$38</f>
        <v>0</v>
      </c>
      <c r="B63" s="110">
        <f>data!$NB$38</f>
        <v>8</v>
      </c>
      <c r="C63" s="550">
        <f>data!OX38</f>
        <v>3.1044893844276821E-8</v>
      </c>
      <c r="D63" s="5">
        <f>data!OY38</f>
        <v>3929114518</v>
      </c>
      <c r="E63" s="5">
        <f>data!OZ38</f>
        <v>467760897</v>
      </c>
      <c r="F63" s="11">
        <f>data!PA38</f>
        <v>0.11904995256745531</v>
      </c>
      <c r="G63" s="4">
        <f>data!PB38</f>
        <v>3.2488936329365725E-2</v>
      </c>
      <c r="H63" s="452">
        <f>data!PC38</f>
        <v>0.9560410604394749</v>
      </c>
      <c r="I63" s="452">
        <f>data!PD38</f>
        <v>1.1470003231159358E-2</v>
      </c>
      <c r="J63" s="5">
        <f>data!PE38</f>
        <v>462398615</v>
      </c>
      <c r="K63" s="11">
        <f>data!PF38</f>
        <v>0.11768519672350257</v>
      </c>
      <c r="L63" s="4">
        <f>data!PG38</f>
        <v>0.10273780994958748</v>
      </c>
      <c r="M63" s="452">
        <f>data!PH38</f>
        <v>0.89904510064511955</v>
      </c>
      <c r="N63" s="452">
        <f>data!PI38</f>
        <v>0</v>
      </c>
      <c r="O63" s="553">
        <f>data!PJ38</f>
        <v>4.0467133057993502E-7</v>
      </c>
      <c r="P63" s="554">
        <f>data!PK38</f>
        <v>2.5451027080499056E-10</v>
      </c>
    </row>
    <row r="64" spans="1:21" ht="15.75" customHeight="1" x14ac:dyDescent="0.15">
      <c r="A64" s="109">
        <f>data!$NA$39</f>
        <v>0</v>
      </c>
      <c r="B64" s="110">
        <f>data!$NB$39</f>
        <v>9</v>
      </c>
      <c r="C64" s="550">
        <f>data!OX39</f>
        <v>3.0674429512708846E-8</v>
      </c>
      <c r="D64" s="5">
        <f>data!OY39</f>
        <v>3929115709</v>
      </c>
      <c r="E64" s="5">
        <f>data!OZ39</f>
        <v>467964761</v>
      </c>
      <c r="F64" s="11">
        <f>data!PA39</f>
        <v>0.11910180194695813</v>
      </c>
      <c r="G64" s="4">
        <f>data!PB39</f>
        <v>3.2013451115392853E-2</v>
      </c>
      <c r="H64" s="452">
        <f>data!PC39</f>
        <v>0.95652597012534457</v>
      </c>
      <c r="I64" s="452">
        <f>data!PD39</f>
        <v>1.1460578759262601E-2</v>
      </c>
      <c r="J64" s="5">
        <f>data!PE39</f>
        <v>461807285</v>
      </c>
      <c r="K64" s="11">
        <f>data!PF39</f>
        <v>0.11753466153775723</v>
      </c>
      <c r="L64" s="4">
        <f>data!PG39</f>
        <v>0.12996315836462183</v>
      </c>
      <c r="M64" s="452">
        <f>data!PH39</f>
        <v>0.87144939882703709</v>
      </c>
      <c r="N64" s="452">
        <f>data!PI39</f>
        <v>0</v>
      </c>
      <c r="O64" s="553">
        <f>data!PJ39</f>
        <v>3.845649026163612E-7</v>
      </c>
      <c r="P64" s="554">
        <f>data!PK39</f>
        <v>2.5451019365741972E-10</v>
      </c>
    </row>
    <row r="65" spans="1:37" ht="15.75" customHeight="1" x14ac:dyDescent="0.15">
      <c r="A65" s="109">
        <f>data!$NA$40</f>
        <v>0</v>
      </c>
      <c r="B65" s="110">
        <f>data!$NB$40</f>
        <v>10</v>
      </c>
      <c r="C65" s="550">
        <f>data!OX40</f>
        <v>3.3415858490891149E-8</v>
      </c>
      <c r="D65" s="5">
        <f>data!OY40</f>
        <v>3929115730</v>
      </c>
      <c r="E65" s="5">
        <f>data!OZ40</f>
        <v>467778910</v>
      </c>
      <c r="F65" s="11">
        <f>data!PA40</f>
        <v>0.11905450033664444</v>
      </c>
      <c r="G65" s="4">
        <f>data!PB40</f>
        <v>3.3202728186270729E-2</v>
      </c>
      <c r="H65" s="452">
        <f>data!PC40</f>
        <v>0.95533368317096634</v>
      </c>
      <c r="I65" s="452">
        <f>data!PD40</f>
        <v>1.1463588642762881E-2</v>
      </c>
      <c r="J65" s="5">
        <f>data!PE40</f>
        <v>462120070</v>
      </c>
      <c r="K65" s="11">
        <f>data!PF40</f>
        <v>0.11761426788006572</v>
      </c>
      <c r="L65" s="4">
        <f>data!PG40</f>
        <v>0.13211362051344352</v>
      </c>
      <c r="M65" s="452">
        <f>data!PH40</f>
        <v>0.87007008038178912</v>
      </c>
      <c r="N65" s="452">
        <f>data!PI40</f>
        <v>0</v>
      </c>
      <c r="O65" s="553">
        <f>data!PJ40</f>
        <v>4.3826655113566736E-7</v>
      </c>
      <c r="P65" s="554">
        <f>data!PK40</f>
        <v>5.0902038459427104E-10</v>
      </c>
    </row>
    <row r="66" spans="1:37" ht="15.75" customHeight="1" thickBot="1" x14ac:dyDescent="0.2">
      <c r="A66" s="114">
        <f>data!$NA$41</f>
        <v>0</v>
      </c>
      <c r="B66" s="463">
        <f>data!$NB$41</f>
        <v>11</v>
      </c>
      <c r="C66" s="551">
        <f>data!OX41</f>
        <v>3.0155780158392837E-8</v>
      </c>
      <c r="D66" s="33">
        <f>data!OY41</f>
        <v>3929114518</v>
      </c>
      <c r="E66" s="33">
        <f>data!OZ41</f>
        <v>467773736</v>
      </c>
      <c r="F66" s="116">
        <f>data!PA41</f>
        <v>0.11905322022482216</v>
      </c>
      <c r="G66" s="32">
        <f>data!PB41</f>
        <v>3.3146335090519063E-2</v>
      </c>
      <c r="H66" s="453">
        <f>data!PC41</f>
        <v>0.95537641087228553</v>
      </c>
      <c r="I66" s="453">
        <f>data!PD41</f>
        <v>1.1477254037195453E-2</v>
      </c>
      <c r="J66" s="33">
        <f>data!PE41</f>
        <v>460428473</v>
      </c>
      <c r="K66" s="116">
        <f>data!PF41</f>
        <v>0.11718377534955829</v>
      </c>
      <c r="L66" s="32">
        <f>data!PG41</f>
        <v>0.12422912645749622</v>
      </c>
      <c r="M66" s="453">
        <f>data!PH41</f>
        <v>0.87805855412370892</v>
      </c>
      <c r="N66" s="453">
        <f>data!PI41</f>
        <v>0</v>
      </c>
      <c r="O66" s="555">
        <f>data!PJ41</f>
        <v>4.0288975868430008E-7</v>
      </c>
      <c r="P66" s="556">
        <f>data!PK41</f>
        <v>2.5451027080499056E-10</v>
      </c>
    </row>
    <row r="67" spans="1:37" ht="15.75" customHeight="1" thickTop="1" thickBot="1" x14ac:dyDescent="0.2">
      <c r="A67" s="631" t="str">
        <f>data!$NB$42</f>
        <v>CMG 0 total</v>
      </c>
      <c r="B67" s="632"/>
      <c r="C67" s="552">
        <f>data!OX42</f>
        <v>3.2804594130497692E-8</v>
      </c>
      <c r="D67" s="467">
        <f>data!OY42</f>
        <v>47149382924</v>
      </c>
      <c r="E67" s="467">
        <f>data!OZ42</f>
        <v>5613182880</v>
      </c>
      <c r="F67" s="465">
        <f>data!PA42</f>
        <v>0.11905103591807084</v>
      </c>
      <c r="G67" s="466">
        <f>data!PB42</f>
        <v>3.2350291961269574E-2</v>
      </c>
      <c r="H67" s="476">
        <f>data!PC42</f>
        <v>0.95618195589593902</v>
      </c>
      <c r="I67" s="476">
        <f>data!PD42</f>
        <v>1.14677521427914E-2</v>
      </c>
      <c r="J67" s="467">
        <f>data!PE42</f>
        <v>5541702293</v>
      </c>
      <c r="K67" s="465">
        <f>data!PF42</f>
        <v>0.11753499090184615</v>
      </c>
      <c r="L67" s="466">
        <f>data!PG42</f>
        <v>0.12302732415477832</v>
      </c>
      <c r="M67" s="476">
        <f>data!PH42</f>
        <v>0.87873106124559386</v>
      </c>
      <c r="N67" s="476">
        <f>data!PI42</f>
        <v>0</v>
      </c>
      <c r="O67" s="557">
        <f>data!PJ42</f>
        <v>4.2104474690579514E-7</v>
      </c>
      <c r="P67" s="558">
        <f>data!PK42</f>
        <v>4.8781126228255529E-10</v>
      </c>
    </row>
    <row r="68" spans="1:37" ht="15.75" customHeight="1" thickBot="1" x14ac:dyDescent="0.2">
      <c r="AG68" s="10"/>
    </row>
    <row r="69" spans="1:37" ht="15.75" customHeight="1" x14ac:dyDescent="0.15">
      <c r="A69" s="627" t="str">
        <f>data!PL25</f>
        <v>Instruction</v>
      </c>
      <c r="B69" s="639"/>
      <c r="C69" s="756" t="str">
        <f>data!PN25</f>
        <v>Load-store instruction</v>
      </c>
      <c r="D69" s="743"/>
      <c r="E69" s="743"/>
      <c r="F69" s="743"/>
      <c r="G69" s="743"/>
      <c r="H69" s="743"/>
      <c r="I69" s="743"/>
      <c r="J69" s="743"/>
      <c r="K69" s="743"/>
      <c r="L69" s="743"/>
      <c r="M69" s="743"/>
      <c r="N69" s="743"/>
      <c r="O69" s="743"/>
      <c r="P69" s="744"/>
      <c r="Q69" s="742" t="str">
        <f>data!PZ26</f>
        <v>Prefetch instruction</v>
      </c>
      <c r="R69" s="743"/>
      <c r="S69" s="744"/>
      <c r="T69" s="741" t="str">
        <f>data!QC28</f>
        <v>DCZVA instruction</v>
      </c>
      <c r="U69" s="742" t="str">
        <f>data!QD26</f>
        <v>Floating-point instruction</v>
      </c>
      <c r="V69" s="743"/>
      <c r="W69" s="744"/>
      <c r="X69" s="806" t="str">
        <f>data!QG26</f>
        <v>Floating-point move and conversion instruction</v>
      </c>
      <c r="Y69" s="807"/>
      <c r="Z69" s="741" t="str">
        <f>data!QI28</f>
        <v>Integer instruction</v>
      </c>
      <c r="AA69" s="741" t="str">
        <f>data!QJ28</f>
        <v>Branch instruction</v>
      </c>
      <c r="AB69" s="741" t="str">
        <f>data!QK28</f>
        <v>Predicate instruction</v>
      </c>
      <c r="AC69" s="741" t="str">
        <f>data!QL28</f>
        <v>Crypto-graphic instruction</v>
      </c>
      <c r="AD69" s="741" t="str">
        <f>data!QM28</f>
        <v>Other instruction</v>
      </c>
      <c r="AE69" s="738" t="str">
        <f>data!QN28</f>
        <v>Total</v>
      </c>
      <c r="AG69" s="648" t="str">
        <f>data!RR25</f>
        <v>Power Consumption (W)</v>
      </c>
      <c r="AH69" s="731"/>
      <c r="AI69" s="596" t="str">
        <f>data!RR28</f>
        <v>Power consumption used by core</v>
      </c>
      <c r="AJ69" s="598" t="str">
        <f>data!RS28</f>
        <v>Power consumption used by L2 cache</v>
      </c>
      <c r="AK69" s="600" t="str">
        <f>data!RT28</f>
        <v>Power consumption used by memory</v>
      </c>
    </row>
    <row r="70" spans="1:37" ht="15.75" customHeight="1" x14ac:dyDescent="0.15">
      <c r="A70" s="629"/>
      <c r="B70" s="640"/>
      <c r="C70" s="781" t="str">
        <f>data!PL26</f>
        <v>Load instruction</v>
      </c>
      <c r="D70" s="737"/>
      <c r="E70" s="737"/>
      <c r="F70" s="737"/>
      <c r="G70" s="737"/>
      <c r="H70" s="737"/>
      <c r="I70" s="737"/>
      <c r="J70" s="737"/>
      <c r="K70" s="737" t="str">
        <f>data!PT26</f>
        <v>Store instruction</v>
      </c>
      <c r="L70" s="737"/>
      <c r="M70" s="737"/>
      <c r="N70" s="737"/>
      <c r="O70" s="737"/>
      <c r="P70" s="737"/>
      <c r="Q70" s="636" t="str">
        <f>data!PZ28</f>
        <v>Contiguous prefetch instruction</v>
      </c>
      <c r="R70" s="636" t="str">
        <f>data!QA28</f>
        <v>Gathering prefetch instruction</v>
      </c>
      <c r="S70" s="636" t="str">
        <f>data!QB28</f>
        <v>Scalar prefetch instruction</v>
      </c>
      <c r="T70" s="637"/>
      <c r="U70" s="636" t="str">
        <f>data!QD28</f>
        <v>Floating-point instruction except FMA and reciprocal</v>
      </c>
      <c r="V70" s="636" t="str">
        <f>data!QE28</f>
        <v>FMA instruction</v>
      </c>
      <c r="W70" s="636" t="str">
        <f>data!QF28</f>
        <v>Floating-point reciprocal instruction</v>
      </c>
      <c r="X70" s="808"/>
      <c r="Y70" s="809"/>
      <c r="Z70" s="637"/>
      <c r="AA70" s="637"/>
      <c r="AB70" s="637"/>
      <c r="AC70" s="637"/>
      <c r="AD70" s="637"/>
      <c r="AE70" s="739"/>
      <c r="AF70" s="1"/>
      <c r="AG70" s="650"/>
      <c r="AH70" s="732"/>
      <c r="AI70" s="597"/>
      <c r="AJ70" s="599"/>
      <c r="AK70" s="601"/>
    </row>
    <row r="71" spans="1:37" ht="15.75" customHeight="1" x14ac:dyDescent="0.15">
      <c r="A71" s="629"/>
      <c r="B71" s="640"/>
      <c r="C71" s="782" t="str">
        <f>data!PL27</f>
        <v>SIMD</v>
      </c>
      <c r="D71" s="735"/>
      <c r="E71" s="735"/>
      <c r="F71" s="735"/>
      <c r="G71" s="735"/>
      <c r="H71" s="735"/>
      <c r="I71" s="736"/>
      <c r="J71" s="514" t="str">
        <f>data!PS27</f>
        <v>Non-SIMD</v>
      </c>
      <c r="K71" s="734" t="str">
        <f>data!PL27</f>
        <v>SIMD</v>
      </c>
      <c r="L71" s="735"/>
      <c r="M71" s="735"/>
      <c r="N71" s="735"/>
      <c r="O71" s="736"/>
      <c r="P71" s="514" t="str">
        <f>data!PY27</f>
        <v>Non-SIMD</v>
      </c>
      <c r="Q71" s="637"/>
      <c r="R71" s="637"/>
      <c r="S71" s="637"/>
      <c r="T71" s="637"/>
      <c r="U71" s="637"/>
      <c r="V71" s="637"/>
      <c r="W71" s="637"/>
      <c r="X71" s="636" t="str">
        <f>data!QG28</f>
        <v>Floating-point conversion instruction</v>
      </c>
      <c r="Y71" s="636" t="str">
        <f>data!QH28</f>
        <v>Floating-point move instruction</v>
      </c>
      <c r="Z71" s="637"/>
      <c r="AA71" s="637"/>
      <c r="AB71" s="637"/>
      <c r="AC71" s="637"/>
      <c r="AD71" s="637"/>
      <c r="AE71" s="739"/>
      <c r="AF71" s="16"/>
      <c r="AG71" s="650"/>
      <c r="AH71" s="732"/>
      <c r="AI71" s="597"/>
      <c r="AJ71" s="599"/>
      <c r="AK71" s="601"/>
    </row>
    <row r="72" spans="1:37" ht="15.75" customHeight="1" x14ac:dyDescent="0.15">
      <c r="A72" s="629"/>
      <c r="B72" s="640"/>
      <c r="C72" s="673" t="str">
        <f>data!PL28</f>
        <v>Single vector contiguous load instruction</v>
      </c>
      <c r="D72" s="636" t="str">
        <f>data!PM28</f>
        <v>Multiple vector contiguous structure load instruction</v>
      </c>
      <c r="E72" s="636" t="str">
        <f>data!PN28</f>
        <v>Non-contiguous gather load instruction</v>
      </c>
      <c r="F72" s="636" t="str">
        <f>data!PO28</f>
        <v>Broadcast load instruction</v>
      </c>
      <c r="G72" s="636" t="str">
        <f>data!PP28</f>
        <v>Floating-point register fill instruction</v>
      </c>
      <c r="H72" s="636" t="str">
        <f>data!PQ28</f>
        <v>Predicate register fill instruction</v>
      </c>
      <c r="I72" s="636" t="str">
        <f>data!PR28</f>
        <v>First-fault load instruction</v>
      </c>
      <c r="J72" s="636" t="str">
        <f>data!PS28</f>
        <v>Non-SIMD load instruction</v>
      </c>
      <c r="K72" s="636" t="str">
        <f>data!PT28</f>
        <v>Single vector contiguous store instruction</v>
      </c>
      <c r="L72" s="636" t="str">
        <f>data!PU28</f>
        <v>Multiple vector contiguous structure store instruction</v>
      </c>
      <c r="M72" s="636" t="str">
        <f>data!PV28</f>
        <v>Non-contiguous scatter store instruction</v>
      </c>
      <c r="N72" s="636" t="str">
        <f>data!PW28</f>
        <v>Floating-point register spill instruction</v>
      </c>
      <c r="O72" s="636" t="str">
        <f>data!PX28</f>
        <v>Predicate register spill instruction</v>
      </c>
      <c r="P72" s="636" t="str">
        <f>data!PY28</f>
        <v>Non-SIMD store instruction</v>
      </c>
      <c r="Q72" s="637"/>
      <c r="R72" s="637"/>
      <c r="S72" s="637"/>
      <c r="T72" s="637"/>
      <c r="U72" s="637"/>
      <c r="V72" s="637"/>
      <c r="W72" s="637"/>
      <c r="X72" s="637"/>
      <c r="Y72" s="637"/>
      <c r="Z72" s="637"/>
      <c r="AA72" s="637"/>
      <c r="AB72" s="637"/>
      <c r="AC72" s="637"/>
      <c r="AD72" s="637"/>
      <c r="AE72" s="739"/>
      <c r="AF72" s="16"/>
      <c r="AG72" s="650"/>
      <c r="AH72" s="732"/>
      <c r="AI72" s="597"/>
      <c r="AJ72" s="599"/>
      <c r="AK72" s="601"/>
    </row>
    <row r="73" spans="1:37" ht="15.75" customHeight="1" x14ac:dyDescent="0.15">
      <c r="A73" s="629"/>
      <c r="B73" s="640"/>
      <c r="C73" s="674"/>
      <c r="D73" s="637"/>
      <c r="E73" s="637"/>
      <c r="F73" s="637"/>
      <c r="G73" s="637"/>
      <c r="H73" s="637"/>
      <c r="I73" s="637"/>
      <c r="J73" s="637"/>
      <c r="K73" s="637"/>
      <c r="L73" s="637"/>
      <c r="M73" s="637"/>
      <c r="N73" s="637"/>
      <c r="O73" s="637"/>
      <c r="P73" s="637"/>
      <c r="Q73" s="637"/>
      <c r="R73" s="637"/>
      <c r="S73" s="637"/>
      <c r="T73" s="637"/>
      <c r="U73" s="637"/>
      <c r="V73" s="637"/>
      <c r="W73" s="637"/>
      <c r="X73" s="637"/>
      <c r="Y73" s="637"/>
      <c r="Z73" s="637"/>
      <c r="AA73" s="637"/>
      <c r="AB73" s="637"/>
      <c r="AC73" s="637"/>
      <c r="AD73" s="637"/>
      <c r="AE73" s="739"/>
      <c r="AF73" s="16"/>
      <c r="AG73" s="650"/>
      <c r="AH73" s="732"/>
      <c r="AI73" s="597"/>
      <c r="AJ73" s="599"/>
      <c r="AK73" s="601"/>
    </row>
    <row r="74" spans="1:37" ht="15.75" customHeight="1" x14ac:dyDescent="0.15">
      <c r="A74" s="629"/>
      <c r="B74" s="640"/>
      <c r="C74" s="674"/>
      <c r="D74" s="637"/>
      <c r="E74" s="637"/>
      <c r="F74" s="637"/>
      <c r="G74" s="637"/>
      <c r="H74" s="637"/>
      <c r="I74" s="637"/>
      <c r="J74" s="637"/>
      <c r="K74" s="637"/>
      <c r="L74" s="637"/>
      <c r="M74" s="637"/>
      <c r="N74" s="637"/>
      <c r="O74" s="637"/>
      <c r="P74" s="637"/>
      <c r="Q74" s="637"/>
      <c r="R74" s="637"/>
      <c r="S74" s="637"/>
      <c r="T74" s="637"/>
      <c r="U74" s="637"/>
      <c r="V74" s="637"/>
      <c r="W74" s="637"/>
      <c r="X74" s="637"/>
      <c r="Y74" s="637"/>
      <c r="Z74" s="637"/>
      <c r="AA74" s="637"/>
      <c r="AB74" s="637"/>
      <c r="AC74" s="637"/>
      <c r="AD74" s="637"/>
      <c r="AE74" s="739"/>
      <c r="AG74" s="650"/>
      <c r="AH74" s="732"/>
      <c r="AI74" s="597"/>
      <c r="AJ74" s="599"/>
      <c r="AK74" s="601"/>
    </row>
    <row r="75" spans="1:37" ht="15.75" customHeight="1" x14ac:dyDescent="0.15">
      <c r="A75" s="641"/>
      <c r="B75" s="642"/>
      <c r="C75" s="674"/>
      <c r="D75" s="637"/>
      <c r="E75" s="637"/>
      <c r="F75" s="637"/>
      <c r="G75" s="637"/>
      <c r="H75" s="637"/>
      <c r="I75" s="637"/>
      <c r="J75" s="637"/>
      <c r="K75" s="637"/>
      <c r="L75" s="637"/>
      <c r="M75" s="637"/>
      <c r="N75" s="637"/>
      <c r="O75" s="637"/>
      <c r="P75" s="637"/>
      <c r="Q75" s="637"/>
      <c r="R75" s="637"/>
      <c r="S75" s="637"/>
      <c r="T75" s="637"/>
      <c r="U75" s="637"/>
      <c r="V75" s="637"/>
      <c r="W75" s="637"/>
      <c r="X75" s="637"/>
      <c r="Y75" s="637"/>
      <c r="Z75" s="637"/>
      <c r="AA75" s="637"/>
      <c r="AB75" s="637"/>
      <c r="AC75" s="637"/>
      <c r="AD75" s="637"/>
      <c r="AE75" s="739"/>
      <c r="AG75" s="652"/>
      <c r="AH75" s="733"/>
      <c r="AI75" s="597"/>
      <c r="AJ75" s="599"/>
      <c r="AK75" s="601"/>
    </row>
    <row r="76" spans="1:37" ht="15.75" customHeight="1" thickBot="1" x14ac:dyDescent="0.2">
      <c r="A76" s="440" t="s">
        <v>1473</v>
      </c>
      <c r="B76" s="441" t="s">
        <v>1474</v>
      </c>
      <c r="C76" s="675"/>
      <c r="D76" s="638"/>
      <c r="E76" s="638"/>
      <c r="F76" s="638"/>
      <c r="G76" s="638"/>
      <c r="H76" s="665"/>
      <c r="I76" s="638"/>
      <c r="J76" s="638"/>
      <c r="K76" s="638"/>
      <c r="L76" s="638"/>
      <c r="M76" s="638"/>
      <c r="N76" s="638"/>
      <c r="O76" s="665"/>
      <c r="P76" s="638"/>
      <c r="Q76" s="665"/>
      <c r="R76" s="665"/>
      <c r="S76" s="665"/>
      <c r="T76" s="665"/>
      <c r="U76" s="665"/>
      <c r="V76" s="665"/>
      <c r="W76" s="665"/>
      <c r="X76" s="665"/>
      <c r="Y76" s="665"/>
      <c r="Z76" s="665"/>
      <c r="AA76" s="665"/>
      <c r="AB76" s="665"/>
      <c r="AC76" s="665"/>
      <c r="AD76" s="665"/>
      <c r="AE76" s="740"/>
      <c r="AG76" s="440" t="s">
        <v>1473</v>
      </c>
      <c r="AH76" s="441" t="s">
        <v>1474</v>
      </c>
      <c r="AI76" s="569"/>
      <c r="AJ76" s="570"/>
      <c r="AK76" s="571"/>
    </row>
    <row r="77" spans="1:37" ht="15.75" customHeight="1" x14ac:dyDescent="0.15">
      <c r="A77" s="105">
        <f>data!$NA$30</f>
        <v>0</v>
      </c>
      <c r="B77" s="106">
        <f>data!$NB$30</f>
        <v>0</v>
      </c>
      <c r="C77" s="442">
        <f>data!PL30</f>
        <v>220367005</v>
      </c>
      <c r="D77" s="443">
        <f>data!PM30</f>
        <v>0</v>
      </c>
      <c r="E77" s="443">
        <f>data!PN30</f>
        <v>1322202000</v>
      </c>
      <c r="F77" s="443">
        <f>data!PO30</f>
        <v>0</v>
      </c>
      <c r="G77" s="443">
        <f>data!PP30</f>
        <v>1101835000</v>
      </c>
      <c r="H77" s="443">
        <f>data!PQ30</f>
        <v>0</v>
      </c>
      <c r="I77" s="443">
        <f>data!PR30</f>
        <v>0</v>
      </c>
      <c r="J77" s="443">
        <f>data!PS30</f>
        <v>387076041</v>
      </c>
      <c r="K77" s="443">
        <f>data!PT30</f>
        <v>21504005</v>
      </c>
      <c r="L77" s="443">
        <f>data!PU30</f>
        <v>0</v>
      </c>
      <c r="M77" s="443">
        <f>data!PV30</f>
        <v>661101000</v>
      </c>
      <c r="N77" s="443">
        <f>data!PW30</f>
        <v>86003000</v>
      </c>
      <c r="O77" s="443">
        <f>data!PX30</f>
        <v>0</v>
      </c>
      <c r="P77" s="443">
        <f>data!PY30</f>
        <v>129027743</v>
      </c>
      <c r="Q77" s="443">
        <f>data!PZ30</f>
        <v>0</v>
      </c>
      <c r="R77" s="443">
        <f>data!QA30</f>
        <v>0</v>
      </c>
      <c r="S77" s="443">
        <f>data!QB30</f>
        <v>5362042</v>
      </c>
      <c r="T77" s="443">
        <f>data!QC30</f>
        <v>8</v>
      </c>
      <c r="U77" s="443">
        <f>data!QD30</f>
        <v>2719670000</v>
      </c>
      <c r="V77" s="443">
        <f>data!QE30</f>
        <v>3085138000</v>
      </c>
      <c r="W77" s="443">
        <f>data!QF30</f>
        <v>220367000</v>
      </c>
      <c r="X77" s="443">
        <f>data!QG30</f>
        <v>0</v>
      </c>
      <c r="Y77" s="443">
        <f>data!QH30</f>
        <v>1085738001</v>
      </c>
      <c r="Z77" s="443">
        <f>data!QI30</f>
        <v>521367032</v>
      </c>
      <c r="AA77" s="443">
        <f>data!QJ30</f>
        <v>400468501</v>
      </c>
      <c r="AB77" s="443">
        <f>data!QK30</f>
        <v>37627017</v>
      </c>
      <c r="AC77" s="443">
        <f>data!QL30</f>
        <v>0</v>
      </c>
      <c r="AD77" s="443">
        <f>data!QM30</f>
        <v>1491734924</v>
      </c>
      <c r="AE77" s="444">
        <f>data!QN30</f>
        <v>13496588319</v>
      </c>
      <c r="AG77" s="105">
        <f>data!$NA$30</f>
        <v>0</v>
      </c>
      <c r="AH77" s="106">
        <f>data!$NB$30</f>
        <v>0</v>
      </c>
      <c r="AI77" s="36">
        <f>data!RR30</f>
        <v>1.7548096583738397</v>
      </c>
      <c r="AJ77" s="717">
        <f>data!RS42</f>
        <v>2.0992464077683683</v>
      </c>
      <c r="AK77" s="729">
        <f>data!RT42</f>
        <v>5.9431564470508471</v>
      </c>
    </row>
    <row r="78" spans="1:37" ht="15.75" customHeight="1" x14ac:dyDescent="0.15">
      <c r="A78" s="109">
        <f>data!$NA$31</f>
        <v>0</v>
      </c>
      <c r="B78" s="110">
        <f>data!$NB$31</f>
        <v>1</v>
      </c>
      <c r="C78" s="445">
        <f>data!PL31</f>
        <v>220366990</v>
      </c>
      <c r="D78" s="446">
        <f>data!PM31</f>
        <v>0</v>
      </c>
      <c r="E78" s="446">
        <f>data!PN31</f>
        <v>1322202000</v>
      </c>
      <c r="F78" s="446">
        <f>data!PO31</f>
        <v>0</v>
      </c>
      <c r="G78" s="446">
        <f>data!PP31</f>
        <v>1101835000</v>
      </c>
      <c r="H78" s="446">
        <f>data!PQ31</f>
        <v>0</v>
      </c>
      <c r="I78" s="446">
        <f>data!PR31</f>
        <v>0</v>
      </c>
      <c r="J78" s="446">
        <f>data!PS31</f>
        <v>387075155</v>
      </c>
      <c r="K78" s="446">
        <f>data!PT31</f>
        <v>21503990</v>
      </c>
      <c r="L78" s="446">
        <f>data!PU31</f>
        <v>0</v>
      </c>
      <c r="M78" s="446">
        <f>data!PV31</f>
        <v>661101000</v>
      </c>
      <c r="N78" s="446">
        <f>data!PW31</f>
        <v>86003000</v>
      </c>
      <c r="O78" s="446">
        <f>data!PX31</f>
        <v>0</v>
      </c>
      <c r="P78" s="446">
        <f>data!PY31</f>
        <v>129027383</v>
      </c>
      <c r="Q78" s="446">
        <f>data!PZ31</f>
        <v>0</v>
      </c>
      <c r="R78" s="446">
        <f>data!QA31</f>
        <v>0</v>
      </c>
      <c r="S78" s="446">
        <f>data!QB31</f>
        <v>5362041</v>
      </c>
      <c r="T78" s="446">
        <f>data!QC31</f>
        <v>8</v>
      </c>
      <c r="U78" s="446">
        <f>data!QD31</f>
        <v>2719670000</v>
      </c>
      <c r="V78" s="446">
        <f>data!QE31</f>
        <v>3085138000</v>
      </c>
      <c r="W78" s="446">
        <f>data!QF31</f>
        <v>220367000</v>
      </c>
      <c r="X78" s="446">
        <f>data!QG31</f>
        <v>0</v>
      </c>
      <c r="Y78" s="446">
        <f>data!QH31</f>
        <v>1085738009</v>
      </c>
      <c r="Z78" s="446">
        <f>data!QI31</f>
        <v>521367032</v>
      </c>
      <c r="AA78" s="446">
        <f>data!QJ31</f>
        <v>400468707</v>
      </c>
      <c r="AB78" s="446">
        <f>data!QK31</f>
        <v>37627017</v>
      </c>
      <c r="AC78" s="446">
        <f>data!QL31</f>
        <v>0</v>
      </c>
      <c r="AD78" s="446">
        <f>data!QM31</f>
        <v>1491733848</v>
      </c>
      <c r="AE78" s="447">
        <f>data!QN31</f>
        <v>13496586180</v>
      </c>
      <c r="AG78" s="109">
        <f>data!$NA$31</f>
        <v>0</v>
      </c>
      <c r="AH78" s="110">
        <f>data!$NB$31</f>
        <v>1</v>
      </c>
      <c r="AI78" s="37">
        <f>data!RR31</f>
        <v>1.7552958646796015</v>
      </c>
      <c r="AJ78" s="718"/>
      <c r="AK78" s="730"/>
    </row>
    <row r="79" spans="1:37" ht="15.75" customHeight="1" x14ac:dyDescent="0.15">
      <c r="A79" s="109">
        <f>data!$NA$32</f>
        <v>0</v>
      </c>
      <c r="B79" s="110">
        <f>data!$NB$32</f>
        <v>2</v>
      </c>
      <c r="C79" s="445">
        <f>data!PL32</f>
        <v>220367000</v>
      </c>
      <c r="D79" s="446">
        <f>data!PM32</f>
        <v>0</v>
      </c>
      <c r="E79" s="446">
        <f>data!PN32</f>
        <v>1322202000</v>
      </c>
      <c r="F79" s="446">
        <f>data!PO32</f>
        <v>0</v>
      </c>
      <c r="G79" s="446">
        <f>data!PP32</f>
        <v>1101835000</v>
      </c>
      <c r="H79" s="446">
        <f>data!PQ32</f>
        <v>0</v>
      </c>
      <c r="I79" s="446">
        <f>data!PR32</f>
        <v>0</v>
      </c>
      <c r="J79" s="446">
        <f>data!PS32</f>
        <v>387076067</v>
      </c>
      <c r="K79" s="446">
        <f>data!PT32</f>
        <v>21504000</v>
      </c>
      <c r="L79" s="446">
        <f>data!PU32</f>
        <v>0</v>
      </c>
      <c r="M79" s="446">
        <f>data!PV32</f>
        <v>661101000</v>
      </c>
      <c r="N79" s="446">
        <f>data!PW32</f>
        <v>86003000</v>
      </c>
      <c r="O79" s="446">
        <f>data!PX32</f>
        <v>0</v>
      </c>
      <c r="P79" s="446">
        <f>data!PY32</f>
        <v>129027644</v>
      </c>
      <c r="Q79" s="446">
        <f>data!PZ32</f>
        <v>0</v>
      </c>
      <c r="R79" s="446">
        <f>data!QA32</f>
        <v>0</v>
      </c>
      <c r="S79" s="446">
        <f>data!QB32</f>
        <v>5362041</v>
      </c>
      <c r="T79" s="446">
        <f>data!QC32</f>
        <v>8</v>
      </c>
      <c r="U79" s="446">
        <f>data!QD32</f>
        <v>2719670000</v>
      </c>
      <c r="V79" s="446">
        <f>data!QE32</f>
        <v>3085138000</v>
      </c>
      <c r="W79" s="446">
        <f>data!QF32</f>
        <v>220367000</v>
      </c>
      <c r="X79" s="446">
        <f>data!QG32</f>
        <v>0</v>
      </c>
      <c r="Y79" s="446">
        <f>data!QH32</f>
        <v>1085738009</v>
      </c>
      <c r="Z79" s="446">
        <f>data!QI32</f>
        <v>521367032</v>
      </c>
      <c r="AA79" s="446">
        <f>data!QJ32</f>
        <v>400468428</v>
      </c>
      <c r="AB79" s="446">
        <f>data!QK32</f>
        <v>37627017</v>
      </c>
      <c r="AC79" s="446">
        <f>data!QL32</f>
        <v>0</v>
      </c>
      <c r="AD79" s="446">
        <f>data!QM32</f>
        <v>1491730122</v>
      </c>
      <c r="AE79" s="447">
        <f>data!QN32</f>
        <v>13496583368</v>
      </c>
      <c r="AG79" s="109">
        <f>data!$NA$32</f>
        <v>0</v>
      </c>
      <c r="AH79" s="110">
        <f>data!$NB$32</f>
        <v>2</v>
      </c>
      <c r="AI79" s="37">
        <f>data!RR32</f>
        <v>1.7549649815610227</v>
      </c>
      <c r="AJ79" s="718"/>
      <c r="AK79" s="730"/>
    </row>
    <row r="80" spans="1:37" ht="15.75" customHeight="1" x14ac:dyDescent="0.15">
      <c r="A80" s="109">
        <f>data!$NA$33</f>
        <v>0</v>
      </c>
      <c r="B80" s="110">
        <f>data!$NB$33</f>
        <v>3</v>
      </c>
      <c r="C80" s="445">
        <f>data!PL33</f>
        <v>220366990</v>
      </c>
      <c r="D80" s="446">
        <f>data!PM33</f>
        <v>0</v>
      </c>
      <c r="E80" s="446">
        <f>data!PN33</f>
        <v>1322202000</v>
      </c>
      <c r="F80" s="446">
        <f>data!PO33</f>
        <v>0</v>
      </c>
      <c r="G80" s="446">
        <f>data!PP33</f>
        <v>1101835000</v>
      </c>
      <c r="H80" s="446">
        <f>data!PQ33</f>
        <v>0</v>
      </c>
      <c r="I80" s="446">
        <f>data!PR33</f>
        <v>0</v>
      </c>
      <c r="J80" s="446">
        <f>data!PS33</f>
        <v>387075160</v>
      </c>
      <c r="K80" s="446">
        <f>data!PT33</f>
        <v>21503990</v>
      </c>
      <c r="L80" s="446">
        <f>data!PU33</f>
        <v>0</v>
      </c>
      <c r="M80" s="446">
        <f>data!PV33</f>
        <v>661101000</v>
      </c>
      <c r="N80" s="446">
        <f>data!PW33</f>
        <v>86003000</v>
      </c>
      <c r="O80" s="446">
        <f>data!PX33</f>
        <v>0</v>
      </c>
      <c r="P80" s="446">
        <f>data!PY33</f>
        <v>129027383</v>
      </c>
      <c r="Q80" s="446">
        <f>data!PZ33</f>
        <v>0</v>
      </c>
      <c r="R80" s="446">
        <f>data!QA33</f>
        <v>0</v>
      </c>
      <c r="S80" s="446">
        <f>data!QB33</f>
        <v>5362041</v>
      </c>
      <c r="T80" s="446">
        <f>data!QC33</f>
        <v>8</v>
      </c>
      <c r="U80" s="446">
        <f>data!QD33</f>
        <v>2719670000</v>
      </c>
      <c r="V80" s="446">
        <f>data!QE33</f>
        <v>3085138000</v>
      </c>
      <c r="W80" s="446">
        <f>data!QF33</f>
        <v>220367000</v>
      </c>
      <c r="X80" s="446">
        <f>data!QG33</f>
        <v>0</v>
      </c>
      <c r="Y80" s="446">
        <f>data!QH33</f>
        <v>1085738009</v>
      </c>
      <c r="Z80" s="446">
        <f>data!QI33</f>
        <v>521367032</v>
      </c>
      <c r="AA80" s="446">
        <f>data!QJ33</f>
        <v>400468054</v>
      </c>
      <c r="AB80" s="446">
        <f>data!QK33</f>
        <v>37627017</v>
      </c>
      <c r="AC80" s="446">
        <f>data!QL33</f>
        <v>0</v>
      </c>
      <c r="AD80" s="446">
        <f>data!QM33</f>
        <v>1491734439</v>
      </c>
      <c r="AE80" s="447">
        <f>data!QN33</f>
        <v>13496586123</v>
      </c>
      <c r="AG80" s="109">
        <f>data!$NA$33</f>
        <v>0</v>
      </c>
      <c r="AH80" s="110">
        <f>data!$NB$33</f>
        <v>3</v>
      </c>
      <c r="AI80" s="37">
        <f>data!RR33</f>
        <v>1.7554920429775238</v>
      </c>
      <c r="AJ80" s="718"/>
      <c r="AK80" s="730"/>
    </row>
    <row r="81" spans="1:55" ht="15.75" customHeight="1" x14ac:dyDescent="0.15">
      <c r="A81" s="109">
        <f>data!$NA$34</f>
        <v>0</v>
      </c>
      <c r="B81" s="110">
        <f>data!$NB$34</f>
        <v>4</v>
      </c>
      <c r="C81" s="445">
        <f>data!PL34</f>
        <v>220367010</v>
      </c>
      <c r="D81" s="446">
        <f>data!PM34</f>
        <v>0</v>
      </c>
      <c r="E81" s="446">
        <f>data!PN34</f>
        <v>1322202000</v>
      </c>
      <c r="F81" s="446">
        <f>data!PO34</f>
        <v>0</v>
      </c>
      <c r="G81" s="446">
        <f>data!PP34</f>
        <v>1101835000</v>
      </c>
      <c r="H81" s="446">
        <f>data!PQ34</f>
        <v>0</v>
      </c>
      <c r="I81" s="446">
        <f>data!PR34</f>
        <v>0</v>
      </c>
      <c r="J81" s="446">
        <f>data!PS34</f>
        <v>387076057</v>
      </c>
      <c r="K81" s="446">
        <f>data!PT34</f>
        <v>21504010</v>
      </c>
      <c r="L81" s="446">
        <f>data!PU34</f>
        <v>0</v>
      </c>
      <c r="M81" s="446">
        <f>data!PV34</f>
        <v>661101000</v>
      </c>
      <c r="N81" s="446">
        <f>data!PW34</f>
        <v>86003000</v>
      </c>
      <c r="O81" s="446">
        <f>data!PX34</f>
        <v>0</v>
      </c>
      <c r="P81" s="446">
        <f>data!PY34</f>
        <v>129027634</v>
      </c>
      <c r="Q81" s="446">
        <f>data!PZ34</f>
        <v>0</v>
      </c>
      <c r="R81" s="446">
        <f>data!QA34</f>
        <v>0</v>
      </c>
      <c r="S81" s="446">
        <f>data!QB34</f>
        <v>5362041</v>
      </c>
      <c r="T81" s="446">
        <f>data!QC34</f>
        <v>8</v>
      </c>
      <c r="U81" s="446">
        <f>data!QD34</f>
        <v>2719670000</v>
      </c>
      <c r="V81" s="446">
        <f>data!QE34</f>
        <v>3085138000</v>
      </c>
      <c r="W81" s="446">
        <f>data!QF34</f>
        <v>220367000</v>
      </c>
      <c r="X81" s="446">
        <f>data!QG34</f>
        <v>0</v>
      </c>
      <c r="Y81" s="446">
        <f>data!QH34</f>
        <v>1085738001</v>
      </c>
      <c r="Z81" s="446">
        <f>data!QI34</f>
        <v>521367032</v>
      </c>
      <c r="AA81" s="446">
        <f>data!QJ34</f>
        <v>400468686</v>
      </c>
      <c r="AB81" s="446">
        <f>data!QK34</f>
        <v>37627017</v>
      </c>
      <c r="AC81" s="446">
        <f>data!QL34</f>
        <v>0</v>
      </c>
      <c r="AD81" s="446">
        <f>data!QM34</f>
        <v>1491729370</v>
      </c>
      <c r="AE81" s="447">
        <f>data!QN34</f>
        <v>13496582866</v>
      </c>
      <c r="AG81" s="109">
        <f>data!$NA$34</f>
        <v>0</v>
      </c>
      <c r="AH81" s="110">
        <f>data!$NB$34</f>
        <v>4</v>
      </c>
      <c r="AI81" s="37">
        <f>data!RR34</f>
        <v>1.7554955360437658</v>
      </c>
      <c r="AJ81" s="718"/>
      <c r="AK81" s="730"/>
    </row>
    <row r="82" spans="1:55" ht="15.75" customHeight="1" x14ac:dyDescent="0.15">
      <c r="A82" s="109">
        <f>data!$NA$35</f>
        <v>0</v>
      </c>
      <c r="B82" s="110">
        <f>data!$NB$35</f>
        <v>5</v>
      </c>
      <c r="C82" s="445">
        <f>data!PL35</f>
        <v>220367000</v>
      </c>
      <c r="D82" s="446">
        <f>data!PM35</f>
        <v>0</v>
      </c>
      <c r="E82" s="446">
        <f>data!PN35</f>
        <v>1322202000</v>
      </c>
      <c r="F82" s="446">
        <f>data!PO35</f>
        <v>0</v>
      </c>
      <c r="G82" s="446">
        <f>data!PP35</f>
        <v>1101835000</v>
      </c>
      <c r="H82" s="446">
        <f>data!PQ35</f>
        <v>0</v>
      </c>
      <c r="I82" s="446">
        <f>data!PR35</f>
        <v>0</v>
      </c>
      <c r="J82" s="446">
        <f>data!PS35</f>
        <v>387075145</v>
      </c>
      <c r="K82" s="446">
        <f>data!PT35</f>
        <v>21504000</v>
      </c>
      <c r="L82" s="446">
        <f>data!PU35</f>
        <v>0</v>
      </c>
      <c r="M82" s="446">
        <f>data!PV35</f>
        <v>661101000</v>
      </c>
      <c r="N82" s="446">
        <f>data!PW35</f>
        <v>86003000</v>
      </c>
      <c r="O82" s="446">
        <f>data!PX35</f>
        <v>0</v>
      </c>
      <c r="P82" s="446">
        <f>data!PY35</f>
        <v>129027373</v>
      </c>
      <c r="Q82" s="446">
        <f>data!PZ35</f>
        <v>0</v>
      </c>
      <c r="R82" s="446">
        <f>data!QA35</f>
        <v>0</v>
      </c>
      <c r="S82" s="446">
        <f>data!QB35</f>
        <v>5362041</v>
      </c>
      <c r="T82" s="446">
        <f>data!QC35</f>
        <v>8</v>
      </c>
      <c r="U82" s="446">
        <f>data!QD35</f>
        <v>2719670000</v>
      </c>
      <c r="V82" s="446">
        <f>data!QE35</f>
        <v>3085138000</v>
      </c>
      <c r="W82" s="446">
        <f>data!QF35</f>
        <v>220367000</v>
      </c>
      <c r="X82" s="446">
        <f>data!QG35</f>
        <v>0</v>
      </c>
      <c r="Y82" s="446">
        <f>data!QH35</f>
        <v>1085738001</v>
      </c>
      <c r="Z82" s="446">
        <f>data!QI35</f>
        <v>521367032</v>
      </c>
      <c r="AA82" s="446">
        <f>data!QJ35</f>
        <v>400468206</v>
      </c>
      <c r="AB82" s="446">
        <f>data!QK35</f>
        <v>37627017</v>
      </c>
      <c r="AC82" s="446">
        <f>data!QL35</f>
        <v>0</v>
      </c>
      <c r="AD82" s="446">
        <f>data!QM35</f>
        <v>1491733908</v>
      </c>
      <c r="AE82" s="447">
        <f>data!QN35</f>
        <v>13496585731</v>
      </c>
      <c r="AG82" s="109">
        <f>data!$NA$35</f>
        <v>0</v>
      </c>
      <c r="AH82" s="110">
        <f>data!$NB$35</f>
        <v>5</v>
      </c>
      <c r="AI82" s="37">
        <f>data!RR35</f>
        <v>1.7550144704440591</v>
      </c>
      <c r="AJ82" s="718"/>
      <c r="AK82" s="730"/>
    </row>
    <row r="83" spans="1:55" ht="15.75" customHeight="1" x14ac:dyDescent="0.15">
      <c r="A83" s="109">
        <f>data!$NA$36</f>
        <v>0</v>
      </c>
      <c r="B83" s="110">
        <f>data!$NB$36</f>
        <v>6</v>
      </c>
      <c r="C83" s="445">
        <f>data!PL36</f>
        <v>220366995</v>
      </c>
      <c r="D83" s="446">
        <f>data!PM36</f>
        <v>0</v>
      </c>
      <c r="E83" s="446">
        <f>data!PN36</f>
        <v>1322202000</v>
      </c>
      <c r="F83" s="446">
        <f>data!PO36</f>
        <v>0</v>
      </c>
      <c r="G83" s="446">
        <f>data!PP36</f>
        <v>1101835000</v>
      </c>
      <c r="H83" s="446">
        <f>data!PQ36</f>
        <v>0</v>
      </c>
      <c r="I83" s="446">
        <f>data!PR36</f>
        <v>0</v>
      </c>
      <c r="J83" s="446">
        <f>data!PS36</f>
        <v>387076223</v>
      </c>
      <c r="K83" s="446">
        <f>data!PT36</f>
        <v>21503995</v>
      </c>
      <c r="L83" s="446">
        <f>data!PU36</f>
        <v>0</v>
      </c>
      <c r="M83" s="446">
        <f>data!PV36</f>
        <v>661101000</v>
      </c>
      <c r="N83" s="446">
        <f>data!PW36</f>
        <v>86003000</v>
      </c>
      <c r="O83" s="446">
        <f>data!PX36</f>
        <v>0</v>
      </c>
      <c r="P83" s="446">
        <f>data!PY36</f>
        <v>129027733</v>
      </c>
      <c r="Q83" s="446">
        <f>data!PZ36</f>
        <v>0</v>
      </c>
      <c r="R83" s="446">
        <f>data!QA36</f>
        <v>0</v>
      </c>
      <c r="S83" s="446">
        <f>data!QB36</f>
        <v>5362041</v>
      </c>
      <c r="T83" s="446">
        <f>data!QC36</f>
        <v>8</v>
      </c>
      <c r="U83" s="446">
        <f>data!QD36</f>
        <v>2719670000</v>
      </c>
      <c r="V83" s="446">
        <f>data!QE36</f>
        <v>3085138000</v>
      </c>
      <c r="W83" s="446">
        <f>data!QF36</f>
        <v>220367000</v>
      </c>
      <c r="X83" s="446">
        <f>data!QG36</f>
        <v>0</v>
      </c>
      <c r="Y83" s="446">
        <f>data!QH36</f>
        <v>1085738017</v>
      </c>
      <c r="Z83" s="446">
        <f>data!QI36</f>
        <v>521367032</v>
      </c>
      <c r="AA83" s="446">
        <f>data!QJ36</f>
        <v>400469197</v>
      </c>
      <c r="AB83" s="446">
        <f>data!QK36</f>
        <v>37627017</v>
      </c>
      <c r="AC83" s="446">
        <f>data!QL36</f>
        <v>0</v>
      </c>
      <c r="AD83" s="446">
        <f>data!QM36</f>
        <v>1491733327</v>
      </c>
      <c r="AE83" s="447">
        <f>data!QN36</f>
        <v>13496587585</v>
      </c>
      <c r="AG83" s="109">
        <f>data!$NA$36</f>
        <v>0</v>
      </c>
      <c r="AH83" s="110">
        <f>data!$NB$36</f>
        <v>6</v>
      </c>
      <c r="AI83" s="37">
        <f>data!RR36</f>
        <v>1.7551026358764241</v>
      </c>
      <c r="AJ83" s="718"/>
      <c r="AK83" s="730"/>
    </row>
    <row r="84" spans="1:55" ht="15.75" customHeight="1" x14ac:dyDescent="0.15">
      <c r="A84" s="109">
        <f>data!$NA$37</f>
        <v>0</v>
      </c>
      <c r="B84" s="110">
        <f>data!$NB$37</f>
        <v>7</v>
      </c>
      <c r="C84" s="445">
        <f>data!PL37</f>
        <v>220367010</v>
      </c>
      <c r="D84" s="446">
        <f>data!PM37</f>
        <v>0</v>
      </c>
      <c r="E84" s="446">
        <f>data!PN37</f>
        <v>1322202000</v>
      </c>
      <c r="F84" s="446">
        <f>data!PO37</f>
        <v>0</v>
      </c>
      <c r="G84" s="446">
        <f>data!PP37</f>
        <v>1101835000</v>
      </c>
      <c r="H84" s="446">
        <f>data!PQ37</f>
        <v>0</v>
      </c>
      <c r="I84" s="446">
        <f>data!PR37</f>
        <v>0</v>
      </c>
      <c r="J84" s="446">
        <f>data!PS37</f>
        <v>387076065</v>
      </c>
      <c r="K84" s="446">
        <f>data!PT37</f>
        <v>21504010</v>
      </c>
      <c r="L84" s="446">
        <f>data!PU37</f>
        <v>0</v>
      </c>
      <c r="M84" s="446">
        <f>data!PV37</f>
        <v>661101000</v>
      </c>
      <c r="N84" s="446">
        <f>data!PW37</f>
        <v>86003000</v>
      </c>
      <c r="O84" s="446">
        <f>data!PX37</f>
        <v>0</v>
      </c>
      <c r="P84" s="446">
        <f>data!PY37</f>
        <v>129027643</v>
      </c>
      <c r="Q84" s="446">
        <f>data!PZ37</f>
        <v>0</v>
      </c>
      <c r="R84" s="446">
        <f>data!QA37</f>
        <v>0</v>
      </c>
      <c r="S84" s="446">
        <f>data!QB37</f>
        <v>5362041</v>
      </c>
      <c r="T84" s="446">
        <f>data!QC37</f>
        <v>8</v>
      </c>
      <c r="U84" s="446">
        <f>data!QD37</f>
        <v>2719670000</v>
      </c>
      <c r="V84" s="446">
        <f>data!QE37</f>
        <v>3085138000</v>
      </c>
      <c r="W84" s="446">
        <f>data!QF37</f>
        <v>220367000</v>
      </c>
      <c r="X84" s="446">
        <f>data!QG37</f>
        <v>0</v>
      </c>
      <c r="Y84" s="446">
        <f>data!QH37</f>
        <v>1085738001</v>
      </c>
      <c r="Z84" s="446">
        <f>data!QI37</f>
        <v>521367032</v>
      </c>
      <c r="AA84" s="446">
        <f>data!QJ37</f>
        <v>400468199</v>
      </c>
      <c r="AB84" s="446">
        <f>data!QK37</f>
        <v>37627017</v>
      </c>
      <c r="AC84" s="446">
        <f>data!QL37</f>
        <v>0</v>
      </c>
      <c r="AD84" s="446">
        <f>data!QM37</f>
        <v>1491733275</v>
      </c>
      <c r="AE84" s="447">
        <f>data!QN37</f>
        <v>13496586301</v>
      </c>
      <c r="AG84" s="109">
        <f>data!$NA$37</f>
        <v>0</v>
      </c>
      <c r="AH84" s="110">
        <f>data!$NB$37</f>
        <v>7</v>
      </c>
      <c r="AI84" s="37">
        <f>data!RR37</f>
        <v>1.7551612786766031</v>
      </c>
      <c r="AJ84" s="718"/>
      <c r="AK84" s="730"/>
    </row>
    <row r="85" spans="1:55" ht="15.75" customHeight="1" x14ac:dyDescent="0.15">
      <c r="A85" s="109">
        <f>data!$NA$38</f>
        <v>0</v>
      </c>
      <c r="B85" s="110">
        <f>data!$NB$38</f>
        <v>8</v>
      </c>
      <c r="C85" s="445">
        <f>data!PL38</f>
        <v>220367000</v>
      </c>
      <c r="D85" s="446">
        <f>data!PM38</f>
        <v>0</v>
      </c>
      <c r="E85" s="446">
        <f>data!PN38</f>
        <v>1322202000</v>
      </c>
      <c r="F85" s="446">
        <f>data!PO38</f>
        <v>0</v>
      </c>
      <c r="G85" s="446">
        <f>data!PP38</f>
        <v>1101835000</v>
      </c>
      <c r="H85" s="446">
        <f>data!PQ38</f>
        <v>0</v>
      </c>
      <c r="I85" s="446">
        <f>data!PR38</f>
        <v>0</v>
      </c>
      <c r="J85" s="446">
        <f>data!PS38</f>
        <v>387075145</v>
      </c>
      <c r="K85" s="446">
        <f>data!PT38</f>
        <v>21504000</v>
      </c>
      <c r="L85" s="446">
        <f>data!PU38</f>
        <v>0</v>
      </c>
      <c r="M85" s="446">
        <f>data!PV38</f>
        <v>661101000</v>
      </c>
      <c r="N85" s="446">
        <f>data!PW38</f>
        <v>86003000</v>
      </c>
      <c r="O85" s="446">
        <f>data!PX38</f>
        <v>0</v>
      </c>
      <c r="P85" s="446">
        <f>data!PY38</f>
        <v>129027373</v>
      </c>
      <c r="Q85" s="446">
        <f>data!PZ38</f>
        <v>0</v>
      </c>
      <c r="R85" s="446">
        <f>data!QA38</f>
        <v>0</v>
      </c>
      <c r="S85" s="446">
        <f>data!QB38</f>
        <v>5362041</v>
      </c>
      <c r="T85" s="446">
        <f>data!QC38</f>
        <v>8</v>
      </c>
      <c r="U85" s="446">
        <f>data!QD38</f>
        <v>2719670000</v>
      </c>
      <c r="V85" s="446">
        <f>data!QE38</f>
        <v>3085138000</v>
      </c>
      <c r="W85" s="446">
        <f>data!QF38</f>
        <v>220367000</v>
      </c>
      <c r="X85" s="446">
        <f>data!QG38</f>
        <v>0</v>
      </c>
      <c r="Y85" s="446">
        <f>data!QH38</f>
        <v>1085738001</v>
      </c>
      <c r="Z85" s="446">
        <f>data!QI38</f>
        <v>521367032</v>
      </c>
      <c r="AA85" s="446">
        <f>data!QJ38</f>
        <v>400468687</v>
      </c>
      <c r="AB85" s="446">
        <f>data!QK38</f>
        <v>37627017</v>
      </c>
      <c r="AC85" s="446">
        <f>data!QL38</f>
        <v>0</v>
      </c>
      <c r="AD85" s="446">
        <f>data!QM38</f>
        <v>1491731131</v>
      </c>
      <c r="AE85" s="447">
        <f>data!QN38</f>
        <v>13496583435</v>
      </c>
      <c r="AG85" s="109">
        <f>data!$NA$38</f>
        <v>0</v>
      </c>
      <c r="AH85" s="110">
        <f>data!$NB$38</f>
        <v>8</v>
      </c>
      <c r="AI85" s="37">
        <f>data!RR38</f>
        <v>1.7554422557919593</v>
      </c>
      <c r="AJ85" s="718"/>
      <c r="AK85" s="730"/>
    </row>
    <row r="86" spans="1:55" ht="15.75" customHeight="1" x14ac:dyDescent="0.15">
      <c r="A86" s="109">
        <f>data!$NA$39</f>
        <v>0</v>
      </c>
      <c r="B86" s="110">
        <f>data!$NB$39</f>
        <v>9</v>
      </c>
      <c r="C86" s="445">
        <f>data!PL39</f>
        <v>220367000</v>
      </c>
      <c r="D86" s="446">
        <f>data!PM39</f>
        <v>0</v>
      </c>
      <c r="E86" s="446">
        <f>data!PN39</f>
        <v>1322202000</v>
      </c>
      <c r="F86" s="446">
        <f>data!PO39</f>
        <v>0</v>
      </c>
      <c r="G86" s="446">
        <f>data!PP39</f>
        <v>1101835000</v>
      </c>
      <c r="H86" s="446">
        <f>data!PQ39</f>
        <v>0</v>
      </c>
      <c r="I86" s="446">
        <f>data!PR39</f>
        <v>0</v>
      </c>
      <c r="J86" s="446">
        <f>data!PS39</f>
        <v>387076065</v>
      </c>
      <c r="K86" s="446">
        <f>data!PT39</f>
        <v>21504000</v>
      </c>
      <c r="L86" s="446">
        <f>data!PU39</f>
        <v>0</v>
      </c>
      <c r="M86" s="446">
        <f>data!PV39</f>
        <v>661101000</v>
      </c>
      <c r="N86" s="446">
        <f>data!PW39</f>
        <v>86003000</v>
      </c>
      <c r="O86" s="446">
        <f>data!PX39</f>
        <v>0</v>
      </c>
      <c r="P86" s="446">
        <f>data!PY39</f>
        <v>129027644</v>
      </c>
      <c r="Q86" s="446">
        <f>data!PZ39</f>
        <v>0</v>
      </c>
      <c r="R86" s="446">
        <f>data!QA39</f>
        <v>0</v>
      </c>
      <c r="S86" s="446">
        <f>data!QB39</f>
        <v>5362041</v>
      </c>
      <c r="T86" s="446">
        <f>data!QC39</f>
        <v>8</v>
      </c>
      <c r="U86" s="446">
        <f>data!QD39</f>
        <v>2719670000</v>
      </c>
      <c r="V86" s="446">
        <f>data!QE39</f>
        <v>3085138000</v>
      </c>
      <c r="W86" s="446">
        <f>data!QF39</f>
        <v>220367000</v>
      </c>
      <c r="X86" s="446">
        <f>data!QG39</f>
        <v>0</v>
      </c>
      <c r="Y86" s="446">
        <f>data!QH39</f>
        <v>1085738009</v>
      </c>
      <c r="Z86" s="446">
        <f>data!QI39</f>
        <v>521367032</v>
      </c>
      <c r="AA86" s="446">
        <f>data!QJ39</f>
        <v>400468231</v>
      </c>
      <c r="AB86" s="446">
        <f>data!QK39</f>
        <v>37627017</v>
      </c>
      <c r="AC86" s="446">
        <f>data!QL39</f>
        <v>0</v>
      </c>
      <c r="AD86" s="446">
        <f>data!QM39</f>
        <v>1491730478</v>
      </c>
      <c r="AE86" s="447">
        <f>data!QN39</f>
        <v>13496583525</v>
      </c>
      <c r="AG86" s="109">
        <f>data!$NA$39</f>
        <v>0</v>
      </c>
      <c r="AH86" s="110">
        <f>data!$NB$39</f>
        <v>9</v>
      </c>
      <c r="AI86" s="37">
        <f>data!RR39</f>
        <v>1.75482823706376</v>
      </c>
      <c r="AJ86" s="718"/>
      <c r="AK86" s="730"/>
    </row>
    <row r="87" spans="1:55" ht="15.75" customHeight="1" x14ac:dyDescent="0.15">
      <c r="A87" s="109">
        <f>data!$NA$40</f>
        <v>0</v>
      </c>
      <c r="B87" s="110">
        <f>data!$NB$40</f>
        <v>10</v>
      </c>
      <c r="C87" s="445">
        <f>data!PL40</f>
        <v>220367000</v>
      </c>
      <c r="D87" s="446">
        <f>data!PM40</f>
        <v>0</v>
      </c>
      <c r="E87" s="446">
        <f>data!PN40</f>
        <v>1322202000</v>
      </c>
      <c r="F87" s="446">
        <f>data!PO40</f>
        <v>0</v>
      </c>
      <c r="G87" s="446">
        <f>data!PP40</f>
        <v>1101835000</v>
      </c>
      <c r="H87" s="446">
        <f>data!PQ40</f>
        <v>0</v>
      </c>
      <c r="I87" s="446">
        <f>data!PR40</f>
        <v>0</v>
      </c>
      <c r="J87" s="446">
        <f>data!PS40</f>
        <v>387076077</v>
      </c>
      <c r="K87" s="446">
        <f>data!PT40</f>
        <v>21504000</v>
      </c>
      <c r="L87" s="446">
        <f>data!PU40</f>
        <v>0</v>
      </c>
      <c r="M87" s="446">
        <f>data!PV40</f>
        <v>661101000</v>
      </c>
      <c r="N87" s="446">
        <f>data!PW40</f>
        <v>86003000</v>
      </c>
      <c r="O87" s="446">
        <f>data!PX40</f>
        <v>0</v>
      </c>
      <c r="P87" s="446">
        <f>data!PY40</f>
        <v>129027653</v>
      </c>
      <c r="Q87" s="446">
        <f>data!PZ40</f>
        <v>0</v>
      </c>
      <c r="R87" s="446">
        <f>data!QA40</f>
        <v>0</v>
      </c>
      <c r="S87" s="446">
        <f>data!QB40</f>
        <v>5362041</v>
      </c>
      <c r="T87" s="446">
        <f>data!QC40</f>
        <v>8</v>
      </c>
      <c r="U87" s="446">
        <f>data!QD40</f>
        <v>2719670000</v>
      </c>
      <c r="V87" s="446">
        <f>data!QE40</f>
        <v>3085138000</v>
      </c>
      <c r="W87" s="446">
        <f>data!QF40</f>
        <v>220367000</v>
      </c>
      <c r="X87" s="446">
        <f>data!QG40</f>
        <v>0</v>
      </c>
      <c r="Y87" s="446">
        <f>data!QH40</f>
        <v>1085738009</v>
      </c>
      <c r="Z87" s="446">
        <f>data!QI40</f>
        <v>521367032</v>
      </c>
      <c r="AA87" s="446">
        <f>data!QJ40</f>
        <v>400468068</v>
      </c>
      <c r="AB87" s="446">
        <f>data!QK40</f>
        <v>37627017</v>
      </c>
      <c r="AC87" s="446">
        <f>data!QL40</f>
        <v>0</v>
      </c>
      <c r="AD87" s="446">
        <f>data!QM40</f>
        <v>1491732859</v>
      </c>
      <c r="AE87" s="447">
        <f>data!QN40</f>
        <v>13496585764</v>
      </c>
      <c r="AG87" s="109">
        <f>data!$NA$40</f>
        <v>0</v>
      </c>
      <c r="AH87" s="110">
        <f>data!$NB$40</f>
        <v>10</v>
      </c>
      <c r="AI87" s="37">
        <f>data!RR40</f>
        <v>1.7550618671086651</v>
      </c>
      <c r="AJ87" s="718"/>
      <c r="AK87" s="730"/>
    </row>
    <row r="88" spans="1:55" ht="15.75" customHeight="1" thickBot="1" x14ac:dyDescent="0.2">
      <c r="A88" s="114">
        <f>data!$NA$41</f>
        <v>0</v>
      </c>
      <c r="B88" s="463">
        <f>data!$NB$41</f>
        <v>11</v>
      </c>
      <c r="C88" s="448">
        <f>data!PL41</f>
        <v>220367000</v>
      </c>
      <c r="D88" s="449">
        <f>data!PM41</f>
        <v>0</v>
      </c>
      <c r="E88" s="449">
        <f>data!PN41</f>
        <v>1322202000</v>
      </c>
      <c r="F88" s="449">
        <f>data!PO41</f>
        <v>0</v>
      </c>
      <c r="G88" s="449">
        <f>data!PP41</f>
        <v>1101835000</v>
      </c>
      <c r="H88" s="449">
        <f>data!PQ41</f>
        <v>0</v>
      </c>
      <c r="I88" s="449">
        <f>data!PR41</f>
        <v>0</v>
      </c>
      <c r="J88" s="449">
        <f>data!PS41</f>
        <v>387075145</v>
      </c>
      <c r="K88" s="449">
        <f>data!PT41</f>
        <v>21504000</v>
      </c>
      <c r="L88" s="449">
        <f>data!PU41</f>
        <v>0</v>
      </c>
      <c r="M88" s="449">
        <f>data!PV41</f>
        <v>661101000</v>
      </c>
      <c r="N88" s="449">
        <f>data!PW41</f>
        <v>86003000</v>
      </c>
      <c r="O88" s="449">
        <f>data!PX41</f>
        <v>0</v>
      </c>
      <c r="P88" s="449">
        <f>data!PY41</f>
        <v>129027373</v>
      </c>
      <c r="Q88" s="449">
        <f>data!PZ41</f>
        <v>0</v>
      </c>
      <c r="R88" s="449">
        <f>data!QA41</f>
        <v>0</v>
      </c>
      <c r="S88" s="449">
        <f>data!QB41</f>
        <v>5362041</v>
      </c>
      <c r="T88" s="449">
        <f>data!QC41</f>
        <v>8</v>
      </c>
      <c r="U88" s="449">
        <f>data!QD41</f>
        <v>2719670000</v>
      </c>
      <c r="V88" s="449">
        <f>data!QE41</f>
        <v>3085138000</v>
      </c>
      <c r="W88" s="449">
        <f>data!QF41</f>
        <v>220367000</v>
      </c>
      <c r="X88" s="449">
        <f>data!QG41</f>
        <v>0</v>
      </c>
      <c r="Y88" s="449">
        <f>data!QH41</f>
        <v>1085738001</v>
      </c>
      <c r="Z88" s="449">
        <f>data!QI41</f>
        <v>521367032</v>
      </c>
      <c r="AA88" s="449">
        <f>data!QJ41</f>
        <v>400468373</v>
      </c>
      <c r="AB88" s="449">
        <f>data!QK41</f>
        <v>37627017</v>
      </c>
      <c r="AC88" s="449">
        <f>data!QL41</f>
        <v>0</v>
      </c>
      <c r="AD88" s="449">
        <f>data!QM41</f>
        <v>1491731347</v>
      </c>
      <c r="AE88" s="450">
        <f>data!QN41</f>
        <v>13496583337</v>
      </c>
      <c r="AG88" s="114">
        <f>data!$NA$41</f>
        <v>0</v>
      </c>
      <c r="AH88" s="463">
        <f>data!$NB$41</f>
        <v>11</v>
      </c>
      <c r="AI88" s="491">
        <f>data!RR41</f>
        <v>1.7552028957723915</v>
      </c>
      <c r="AJ88" s="718"/>
      <c r="AK88" s="730"/>
    </row>
    <row r="89" spans="1:55" ht="15.75" customHeight="1" thickTop="1" thickBot="1" x14ac:dyDescent="0.2">
      <c r="A89" s="666" t="str">
        <f>data!$NB$42</f>
        <v>CMG 0 total</v>
      </c>
      <c r="B89" s="667"/>
      <c r="C89" s="479">
        <f>data!PL42</f>
        <v>2644404000</v>
      </c>
      <c r="D89" s="480">
        <f>data!PM42</f>
        <v>0</v>
      </c>
      <c r="E89" s="480">
        <f>data!PN42</f>
        <v>15866424000</v>
      </c>
      <c r="F89" s="480">
        <f>data!PO42</f>
        <v>0</v>
      </c>
      <c r="G89" s="480">
        <f>data!PP42</f>
        <v>13222020000</v>
      </c>
      <c r="H89" s="480">
        <f>data!PQ42</f>
        <v>0</v>
      </c>
      <c r="I89" s="480">
        <f>data!PR42</f>
        <v>0</v>
      </c>
      <c r="J89" s="480">
        <f>data!PS42</f>
        <v>4644908345</v>
      </c>
      <c r="K89" s="480">
        <f>data!PT42</f>
        <v>258048000</v>
      </c>
      <c r="L89" s="480">
        <f>data!PU42</f>
        <v>0</v>
      </c>
      <c r="M89" s="480">
        <f>data!PV42</f>
        <v>7933212000</v>
      </c>
      <c r="N89" s="480">
        <f>data!PW42</f>
        <v>1032036000</v>
      </c>
      <c r="O89" s="480">
        <f>data!PX42</f>
        <v>0</v>
      </c>
      <c r="P89" s="480">
        <f>data!PY42</f>
        <v>1548330579</v>
      </c>
      <c r="Q89" s="480">
        <f>data!PZ42</f>
        <v>0</v>
      </c>
      <c r="R89" s="480">
        <f>data!QA42</f>
        <v>0</v>
      </c>
      <c r="S89" s="480">
        <f>data!QB42</f>
        <v>64344493</v>
      </c>
      <c r="T89" s="480">
        <f>data!QC42</f>
        <v>96</v>
      </c>
      <c r="U89" s="480">
        <f>data!QD42</f>
        <v>32636040000</v>
      </c>
      <c r="V89" s="480">
        <f>data!QE42</f>
        <v>37021656000</v>
      </c>
      <c r="W89" s="480">
        <f>data!QF42</f>
        <v>2644404000</v>
      </c>
      <c r="X89" s="480">
        <f>data!QG42</f>
        <v>0</v>
      </c>
      <c r="Y89" s="480">
        <f>data!QH42</f>
        <v>13028856068</v>
      </c>
      <c r="Z89" s="480">
        <f>data!QI42</f>
        <v>6256404384</v>
      </c>
      <c r="AA89" s="480">
        <f>data!QJ42</f>
        <v>4805621337</v>
      </c>
      <c r="AB89" s="480">
        <f>data!QK42</f>
        <v>451524204</v>
      </c>
      <c r="AC89" s="480">
        <f>data!QL42</f>
        <v>0</v>
      </c>
      <c r="AD89" s="480">
        <f>data!QM42</f>
        <v>17900789028</v>
      </c>
      <c r="AE89" s="481">
        <f>data!QN42</f>
        <v>161959022534</v>
      </c>
      <c r="AG89" s="745" t="str">
        <f>data!$NB$42</f>
        <v>CMG 0 total</v>
      </c>
      <c r="AH89" s="746"/>
      <c r="AI89" s="492">
        <f>data!RR42</f>
        <v>21.061871724369617</v>
      </c>
      <c r="AJ89" s="493">
        <f>data!RS42</f>
        <v>2.0992464077683683</v>
      </c>
      <c r="AK89" s="494">
        <f>data!RT42</f>
        <v>5.9431564470508471</v>
      </c>
    </row>
    <row r="90" spans="1:55" ht="15.75" customHeight="1" thickBot="1" x14ac:dyDescent="0.2">
      <c r="A90" s="668"/>
      <c r="B90" s="669"/>
      <c r="C90" s="757">
        <f>data!PL43</f>
        <v>47149382924</v>
      </c>
      <c r="D90" s="758"/>
      <c r="E90" s="758"/>
      <c r="F90" s="758"/>
      <c r="G90" s="758"/>
      <c r="H90" s="758"/>
      <c r="I90" s="758"/>
      <c r="J90" s="758"/>
      <c r="K90" s="758"/>
      <c r="L90" s="758"/>
      <c r="M90" s="758"/>
      <c r="N90" s="758"/>
      <c r="O90" s="758"/>
      <c r="P90" s="759"/>
      <c r="Q90" s="770">
        <f>data!PZ43</f>
        <v>64344493</v>
      </c>
      <c r="R90" s="758"/>
      <c r="S90" s="759"/>
      <c r="T90" s="43">
        <f>data!QC43</f>
        <v>96</v>
      </c>
      <c r="U90" s="770">
        <f>data!QD43</f>
        <v>72302100000</v>
      </c>
      <c r="V90" s="758"/>
      <c r="W90" s="759"/>
      <c r="X90" s="769">
        <f>data!QG43</f>
        <v>13028856068</v>
      </c>
      <c r="Y90" s="769"/>
      <c r="Z90" s="43">
        <f>data!QI43</f>
        <v>6256404384</v>
      </c>
      <c r="AA90" s="43">
        <f>data!QJ43</f>
        <v>4805621337</v>
      </c>
      <c r="AB90" s="43">
        <f>data!QK43</f>
        <v>451524204</v>
      </c>
      <c r="AC90" s="43">
        <f>data!QL43</f>
        <v>0</v>
      </c>
      <c r="AD90" s="43">
        <f>data!QM43</f>
        <v>17900789028</v>
      </c>
      <c r="AE90" s="451">
        <f>data!QN43</f>
        <v>161959022534</v>
      </c>
    </row>
    <row r="91" spans="1:55" ht="15.75" customHeight="1" thickBot="1" x14ac:dyDescent="0.2">
      <c r="AG91" s="500"/>
      <c r="AX91"/>
      <c r="AY91"/>
      <c r="AZ91"/>
      <c r="BA91"/>
      <c r="BB91"/>
      <c r="BC91"/>
    </row>
    <row r="92" spans="1:55" ht="15.75" customHeight="1" x14ac:dyDescent="0.15">
      <c r="A92" s="648" t="str">
        <f>data!RC25</f>
        <v xml:space="preserve">Hardware Prefetch Rate (%) (/Hardware Prefetch) </v>
      </c>
      <c r="B92" s="649"/>
      <c r="C92" s="660" t="str">
        <f>data!RC27</f>
        <v>L1</v>
      </c>
      <c r="D92" s="660"/>
      <c r="E92" s="661"/>
      <c r="F92" s="659" t="str">
        <f>data!RF27</f>
        <v>L2</v>
      </c>
      <c r="G92" s="660"/>
      <c r="H92" s="661"/>
      <c r="I92" s="127" t="str">
        <f>data!RI27</f>
        <v>L1/L2</v>
      </c>
      <c r="K92" s="627" t="str">
        <f>data!QO25</f>
        <v>FLOPS</v>
      </c>
      <c r="L92" s="628"/>
      <c r="M92" s="670" t="str">
        <f>data!QO28</f>
        <v>Double precision floating-point operation</v>
      </c>
      <c r="N92" s="612" t="str">
        <f>data!QP28</f>
        <v>Single precision floating-point operation</v>
      </c>
      <c r="O92" s="612" t="str">
        <f>data!QQ28</f>
        <v>Half precision floating-point operation</v>
      </c>
      <c r="P92" s="760" t="str">
        <f>data!QR28</f>
        <v>GFLOPS by Active element rate</v>
      </c>
      <c r="R92" s="648" t="str">
        <f>data!QS25</f>
        <v>Extra</v>
      </c>
      <c r="S92" s="731"/>
      <c r="T92" s="753" t="str">
        <f>data!QS26</f>
        <v>Gather instruction rate (%)</v>
      </c>
      <c r="U92" s="754"/>
      <c r="V92" s="755"/>
      <c r="W92" s="724" t="str">
        <f>data!QV26</f>
        <v>Instruction</v>
      </c>
      <c r="X92" s="725"/>
      <c r="Y92" s="725"/>
      <c r="Z92" s="725"/>
      <c r="AA92" s="725"/>
      <c r="AB92" s="725"/>
      <c r="AC92" s="726" t="str">
        <f>data!RB28</f>
        <v>Branch prediction miss rate (%)</v>
      </c>
      <c r="AN92" s="434"/>
      <c r="AO92" s="434"/>
      <c r="AP92" s="435"/>
      <c r="AQ92" s="435"/>
    </row>
    <row r="93" spans="1:55" ht="15.75" customHeight="1" x14ac:dyDescent="0.15">
      <c r="A93" s="650"/>
      <c r="B93" s="651"/>
      <c r="C93" s="662" t="str">
        <f>data!RC28</f>
        <v>Stream mode prefetch rate</v>
      </c>
      <c r="D93" s="634" t="str">
        <f>data!RD28</f>
        <v>Injection mode allocate prefetch rate</v>
      </c>
      <c r="E93" s="634" t="str">
        <f>data!RE28</f>
        <v>Injection mode unallocate prefetch rate</v>
      </c>
      <c r="F93" s="634" t="str">
        <f>data!RF28</f>
        <v>Stream mode prefetch rate</v>
      </c>
      <c r="G93" s="634" t="str">
        <f>data!RG28</f>
        <v>Injection mode allocate prefetch rate</v>
      </c>
      <c r="H93" s="634" t="str">
        <f>data!RH28</f>
        <v>Injection mode unallocate prefetch rate</v>
      </c>
      <c r="I93" s="656" t="str">
        <f>data!RI28</f>
        <v>Other hardware prefetch</v>
      </c>
      <c r="K93" s="629"/>
      <c r="L93" s="630"/>
      <c r="M93" s="671"/>
      <c r="N93" s="613"/>
      <c r="O93" s="613"/>
      <c r="P93" s="761"/>
      <c r="R93" s="650"/>
      <c r="S93" s="732"/>
      <c r="T93" s="722" t="str">
        <f>data!QS28</f>
        <v>0 flow rate (%)</v>
      </c>
      <c r="U93" s="722" t="str">
        <f>data!QT28</f>
        <v>1 flow rate (%)</v>
      </c>
      <c r="V93" s="719" t="str">
        <f>data!QU28</f>
        <v>2 flows rate (%)</v>
      </c>
      <c r="W93" s="764" t="str">
        <f>data!QV28</f>
        <v>Micro-operation instruction</v>
      </c>
      <c r="X93" s="747" t="str">
        <f>data!QW28</f>
        <v>Element manipulated instruction</v>
      </c>
      <c r="Y93" s="747" t="str">
        <f>data!QX28</f>
        <v>Register manipulated instruction</v>
      </c>
      <c r="Z93" s="747" t="str">
        <f>data!QY28</f>
        <v>MOVPRFX instruction</v>
      </c>
      <c r="AA93" s="747" t="str">
        <f>data!QZ28</f>
        <v>Math functional instruction</v>
      </c>
      <c r="AB93" s="750" t="str">
        <f>data!RA28</f>
        <v>Micro decomposition instruction rate (%)</v>
      </c>
      <c r="AC93" s="727"/>
      <c r="AN93" s="434"/>
      <c r="AO93" s="434"/>
      <c r="AP93" s="435"/>
      <c r="AQ93" s="435"/>
    </row>
    <row r="94" spans="1:55" ht="15.75" customHeight="1" x14ac:dyDescent="0.15">
      <c r="A94" s="650"/>
      <c r="B94" s="651"/>
      <c r="C94" s="663"/>
      <c r="D94" s="599"/>
      <c r="E94" s="599"/>
      <c r="F94" s="599"/>
      <c r="G94" s="599"/>
      <c r="H94" s="599"/>
      <c r="I94" s="657"/>
      <c r="K94" s="629"/>
      <c r="L94" s="630"/>
      <c r="M94" s="671"/>
      <c r="N94" s="613"/>
      <c r="O94" s="613"/>
      <c r="P94" s="761"/>
      <c r="R94" s="650"/>
      <c r="S94" s="732"/>
      <c r="T94" s="708"/>
      <c r="U94" s="708"/>
      <c r="V94" s="720"/>
      <c r="W94" s="765"/>
      <c r="X94" s="748"/>
      <c r="Y94" s="748"/>
      <c r="Z94" s="748"/>
      <c r="AA94" s="748"/>
      <c r="AB94" s="751"/>
      <c r="AC94" s="727"/>
      <c r="AN94" s="434"/>
      <c r="AO94" s="434"/>
      <c r="AP94" s="433"/>
      <c r="AQ94" s="433"/>
    </row>
    <row r="95" spans="1:55" ht="15.75" customHeight="1" x14ac:dyDescent="0.15">
      <c r="A95" s="650"/>
      <c r="B95" s="651"/>
      <c r="C95" s="663"/>
      <c r="D95" s="599"/>
      <c r="E95" s="599"/>
      <c r="F95" s="599"/>
      <c r="G95" s="599"/>
      <c r="H95" s="599"/>
      <c r="I95" s="657"/>
      <c r="K95" s="629"/>
      <c r="L95" s="630"/>
      <c r="M95" s="671"/>
      <c r="N95" s="613"/>
      <c r="O95" s="613"/>
      <c r="P95" s="761"/>
      <c r="R95" s="650"/>
      <c r="S95" s="732"/>
      <c r="T95" s="708"/>
      <c r="U95" s="708"/>
      <c r="V95" s="720"/>
      <c r="W95" s="765"/>
      <c r="X95" s="748"/>
      <c r="Y95" s="748"/>
      <c r="Z95" s="748"/>
      <c r="AA95" s="748"/>
      <c r="AB95" s="751"/>
      <c r="AC95" s="727"/>
      <c r="AN95" s="432"/>
    </row>
    <row r="96" spans="1:55" ht="15.75" customHeight="1" x14ac:dyDescent="0.15">
      <c r="A96" s="652"/>
      <c r="B96" s="653"/>
      <c r="C96" s="663"/>
      <c r="D96" s="599"/>
      <c r="E96" s="599"/>
      <c r="F96" s="599"/>
      <c r="G96" s="599"/>
      <c r="H96" s="599"/>
      <c r="I96" s="657"/>
      <c r="K96" s="641"/>
      <c r="L96" s="643"/>
      <c r="M96" s="671"/>
      <c r="N96" s="613"/>
      <c r="O96" s="613"/>
      <c r="P96" s="761"/>
      <c r="R96" s="652"/>
      <c r="S96" s="733"/>
      <c r="T96" s="708"/>
      <c r="U96" s="708"/>
      <c r="V96" s="720"/>
      <c r="W96" s="765"/>
      <c r="X96" s="748"/>
      <c r="Y96" s="748"/>
      <c r="Z96" s="748"/>
      <c r="AA96" s="748"/>
      <c r="AB96" s="751"/>
      <c r="AC96" s="727"/>
      <c r="AN96" s="432"/>
    </row>
    <row r="97" spans="1:40" ht="15.75" customHeight="1" thickBot="1" x14ac:dyDescent="0.2">
      <c r="A97" s="440" t="s">
        <v>1473</v>
      </c>
      <c r="B97" s="441" t="s">
        <v>1474</v>
      </c>
      <c r="C97" s="664"/>
      <c r="D97" s="635"/>
      <c r="E97" s="635"/>
      <c r="F97" s="635"/>
      <c r="G97" s="635"/>
      <c r="H97" s="635"/>
      <c r="I97" s="658"/>
      <c r="K97" s="440" t="s">
        <v>1473</v>
      </c>
      <c r="L97" s="441" t="s">
        <v>1474</v>
      </c>
      <c r="M97" s="672"/>
      <c r="N97" s="614"/>
      <c r="O97" s="614"/>
      <c r="P97" s="762"/>
      <c r="R97" s="440" t="s">
        <v>1473</v>
      </c>
      <c r="S97" s="441" t="s">
        <v>1474</v>
      </c>
      <c r="T97" s="723"/>
      <c r="U97" s="723"/>
      <c r="V97" s="721"/>
      <c r="W97" s="766"/>
      <c r="X97" s="749"/>
      <c r="Y97" s="749"/>
      <c r="Z97" s="749"/>
      <c r="AA97" s="749"/>
      <c r="AB97" s="752"/>
      <c r="AC97" s="728"/>
      <c r="AN97" s="432"/>
    </row>
    <row r="98" spans="1:40" ht="15.75" customHeight="1" x14ac:dyDescent="0.15">
      <c r="A98" s="111">
        <f>data!$NA$30</f>
        <v>0</v>
      </c>
      <c r="B98" s="112">
        <f>data!$NB$30</f>
        <v>0</v>
      </c>
      <c r="C98" s="125">
        <f>data!RC30</f>
        <v>0.51489440154695021</v>
      </c>
      <c r="D98" s="48">
        <f>data!RD30</f>
        <v>0</v>
      </c>
      <c r="E98" s="48">
        <f>data!RE30</f>
        <v>0</v>
      </c>
      <c r="F98" s="48">
        <f>data!RF30</f>
        <v>0.29823987992109524</v>
      </c>
      <c r="G98" s="48">
        <f>data!RG30</f>
        <v>0</v>
      </c>
      <c r="H98" s="48">
        <f>data!RH30</f>
        <v>0</v>
      </c>
      <c r="I98" s="126">
        <f>data!RI30</f>
        <v>0.18686571853195449</v>
      </c>
      <c r="K98" s="111">
        <f>data!$NA$30</f>
        <v>0</v>
      </c>
      <c r="L98" s="112">
        <f>data!$NB$30</f>
        <v>0</v>
      </c>
      <c r="M98" s="572">
        <f>data!QO30</f>
        <v>68453632000</v>
      </c>
      <c r="N98" s="572">
        <f>data!QP30</f>
        <v>0</v>
      </c>
      <c r="O98" s="572">
        <f>data!QQ30</f>
        <v>0</v>
      </c>
      <c r="P98" s="129">
        <f>data!QR30</f>
        <v>2.3807147477317741</v>
      </c>
      <c r="R98" s="105">
        <f>data!$NA$30</f>
        <v>0</v>
      </c>
      <c r="S98" s="106">
        <f>data!$NB$30</f>
        <v>0</v>
      </c>
      <c r="T98" s="6">
        <f>data!QS30</f>
        <v>3.6586660996554811E-2</v>
      </c>
      <c r="U98" s="6">
        <f>data!QT30</f>
        <v>0.73801072235460663</v>
      </c>
      <c r="V98" s="38">
        <f>data!QU30</f>
        <v>0.22540261664883859</v>
      </c>
      <c r="W98" s="96">
        <f>data!QV30</f>
        <v>16307668708</v>
      </c>
      <c r="X98" s="97">
        <f>data!QW30</f>
        <v>553630000</v>
      </c>
      <c r="Y98" s="97">
        <f>data!QX30</f>
        <v>257994009</v>
      </c>
      <c r="Z98" s="97">
        <f>data!QY30</f>
        <v>827734000</v>
      </c>
      <c r="AA98" s="97">
        <f>data!QZ30</f>
        <v>0</v>
      </c>
      <c r="AB98" s="81">
        <f>data!RA30</f>
        <v>0.99999886225307044</v>
      </c>
      <c r="AC98" s="456">
        <f>data!RB30</f>
        <v>3.6011528906739157E-2</v>
      </c>
      <c r="AN98" s="432"/>
    </row>
    <row r="99" spans="1:40" ht="15.75" customHeight="1" x14ac:dyDescent="0.15">
      <c r="A99" s="109">
        <f>data!$NA$31</f>
        <v>0</v>
      </c>
      <c r="B99" s="110">
        <f>data!$NB$31</f>
        <v>1</v>
      </c>
      <c r="C99" s="7">
        <f>data!RC31</f>
        <v>0.52934120968797227</v>
      </c>
      <c r="D99" s="6">
        <f>data!RD31</f>
        <v>0</v>
      </c>
      <c r="E99" s="6">
        <f>data!RE31</f>
        <v>0</v>
      </c>
      <c r="F99" s="6">
        <f>data!RF31</f>
        <v>0.27878257025403658</v>
      </c>
      <c r="G99" s="6">
        <f>data!RG31</f>
        <v>0</v>
      </c>
      <c r="H99" s="6">
        <f>data!RH31</f>
        <v>0</v>
      </c>
      <c r="I99" s="8">
        <f>data!RI31</f>
        <v>0.19187622005799118</v>
      </c>
      <c r="K99" s="109">
        <f>data!$NA$31</f>
        <v>0</v>
      </c>
      <c r="L99" s="110">
        <f>data!$NB$31</f>
        <v>1</v>
      </c>
      <c r="M99" s="573">
        <f>data!QO31</f>
        <v>68453632000</v>
      </c>
      <c r="N99" s="573">
        <f>data!QP31</f>
        <v>0</v>
      </c>
      <c r="O99" s="573">
        <f>data!QQ31</f>
        <v>0</v>
      </c>
      <c r="P99" s="26">
        <f>data!QR31</f>
        <v>2.3843998134056914</v>
      </c>
      <c r="R99" s="109">
        <f>data!$NA$31</f>
        <v>0</v>
      </c>
      <c r="S99" s="110">
        <f>data!$NB$31</f>
        <v>1</v>
      </c>
      <c r="T99" s="6">
        <f>data!QS31</f>
        <v>3.6586577340449226E-2</v>
      </c>
      <c r="U99" s="6">
        <f>data!QT31</f>
        <v>0.73801003207580973</v>
      </c>
      <c r="V99" s="38">
        <f>data!QU31</f>
        <v>0.22540339058374106</v>
      </c>
      <c r="W99" s="96">
        <f>data!QV31</f>
        <v>16307663010</v>
      </c>
      <c r="X99" s="97">
        <f>data!QW31</f>
        <v>553630000</v>
      </c>
      <c r="Y99" s="97">
        <f>data!QX31</f>
        <v>257994001</v>
      </c>
      <c r="Z99" s="97">
        <f>data!QY31</f>
        <v>827734000</v>
      </c>
      <c r="AA99" s="97">
        <f>data!QZ31</f>
        <v>0</v>
      </c>
      <c r="AB99" s="459">
        <f>data!RA31</f>
        <v>0.99999889377159745</v>
      </c>
      <c r="AC99" s="457">
        <f>data!RB31</f>
        <v>3.571340719014033E-2</v>
      </c>
      <c r="AN99" s="432"/>
    </row>
    <row r="100" spans="1:40" ht="15.75" customHeight="1" x14ac:dyDescent="0.15">
      <c r="A100" s="109">
        <f>data!$NA$32</f>
        <v>0</v>
      </c>
      <c r="B100" s="110">
        <f>data!$NB$32</f>
        <v>2</v>
      </c>
      <c r="C100" s="7">
        <f>data!RC32</f>
        <v>0.51036806830264314</v>
      </c>
      <c r="D100" s="6">
        <f>data!RD32</f>
        <v>0</v>
      </c>
      <c r="E100" s="6">
        <f>data!RE32</f>
        <v>0</v>
      </c>
      <c r="F100" s="6">
        <f>data!RF32</f>
        <v>0.3048557453710648</v>
      </c>
      <c r="G100" s="6">
        <f>data!RG32</f>
        <v>0</v>
      </c>
      <c r="H100" s="6">
        <f>data!RH32</f>
        <v>0</v>
      </c>
      <c r="I100" s="8">
        <f>data!RI32</f>
        <v>0.18477618632629203</v>
      </c>
      <c r="K100" s="109">
        <f>data!$NA$32</f>
        <v>0</v>
      </c>
      <c r="L100" s="110">
        <f>data!$NB$32</f>
        <v>2</v>
      </c>
      <c r="M100" s="573">
        <f>data!QO32</f>
        <v>68453632000</v>
      </c>
      <c r="N100" s="573">
        <f>data!QP32</f>
        <v>0</v>
      </c>
      <c r="O100" s="573">
        <f>data!QQ32</f>
        <v>0</v>
      </c>
      <c r="P100" s="26">
        <f>data!QR32</f>
        <v>2.3787298687635161</v>
      </c>
      <c r="R100" s="109">
        <f>data!$NA$32</f>
        <v>0</v>
      </c>
      <c r="S100" s="110">
        <f>data!$NB$32</f>
        <v>2</v>
      </c>
      <c r="T100" s="6">
        <f>data!QS32</f>
        <v>3.658668140391555E-2</v>
      </c>
      <c r="U100" s="6">
        <f>data!QT32</f>
        <v>0.73801080973374222</v>
      </c>
      <c r="V100" s="38">
        <f>data!QU32</f>
        <v>0.2254025088623422</v>
      </c>
      <c r="W100" s="96">
        <f>data!QV32</f>
        <v>16307664260</v>
      </c>
      <c r="X100" s="97">
        <f>data!QW32</f>
        <v>553630000</v>
      </c>
      <c r="Y100" s="97">
        <f>data!QX32</f>
        <v>257994001</v>
      </c>
      <c r="Z100" s="97">
        <f>data!QY32</f>
        <v>827734000</v>
      </c>
      <c r="AA100" s="97">
        <f>data!QZ32</f>
        <v>0</v>
      </c>
      <c r="AB100" s="459">
        <f>data!RA32</f>
        <v>0.99999889352639881</v>
      </c>
      <c r="AC100" s="457">
        <f>data!RB32</f>
        <v>3.6321025536624828E-2</v>
      </c>
      <c r="AN100" s="432"/>
    </row>
    <row r="101" spans="1:40" ht="15.75" customHeight="1" x14ac:dyDescent="0.15">
      <c r="A101" s="109">
        <f>data!$NA$33</f>
        <v>0</v>
      </c>
      <c r="B101" s="110">
        <f>data!$NB$33</f>
        <v>3</v>
      </c>
      <c r="C101" s="7">
        <f>data!RC33</f>
        <v>0.52323764524572403</v>
      </c>
      <c r="D101" s="6">
        <f>data!RD33</f>
        <v>0</v>
      </c>
      <c r="E101" s="6">
        <f>data!RE33</f>
        <v>0</v>
      </c>
      <c r="F101" s="6">
        <f>data!RF33</f>
        <v>0.28674954839196903</v>
      </c>
      <c r="G101" s="6">
        <f>data!RG33</f>
        <v>0</v>
      </c>
      <c r="H101" s="6">
        <f>data!RH33</f>
        <v>0</v>
      </c>
      <c r="I101" s="8">
        <f>data!RI33</f>
        <v>0.19001280636230694</v>
      </c>
      <c r="K101" s="109">
        <f>data!$NA$33</f>
        <v>0</v>
      </c>
      <c r="L101" s="110">
        <f>data!$NB$33</f>
        <v>3</v>
      </c>
      <c r="M101" s="573">
        <f>data!QO33</f>
        <v>68453632000</v>
      </c>
      <c r="N101" s="573">
        <f>data!QP33</f>
        <v>0</v>
      </c>
      <c r="O101" s="573">
        <f>data!QQ33</f>
        <v>0</v>
      </c>
      <c r="P101" s="26">
        <f>data!QR33</f>
        <v>2.3786093901062348</v>
      </c>
      <c r="R101" s="109">
        <f>data!$NA$33</f>
        <v>0</v>
      </c>
      <c r="S101" s="110">
        <f>data!$NB$33</f>
        <v>3</v>
      </c>
      <c r="T101" s="6">
        <f>data!QS33</f>
        <v>3.6586673939661307E-2</v>
      </c>
      <c r="U101" s="6">
        <f>data!QT33</f>
        <v>0.73801075975773278</v>
      </c>
      <c r="V101" s="38">
        <f>data!QU33</f>
        <v>0.22540256630260591</v>
      </c>
      <c r="W101" s="96">
        <f>data!QV33</f>
        <v>16307661165</v>
      </c>
      <c r="X101" s="97">
        <f>data!QW33</f>
        <v>553630000</v>
      </c>
      <c r="Y101" s="97">
        <f>data!QX33</f>
        <v>257994001</v>
      </c>
      <c r="Z101" s="97">
        <f>data!QY33</f>
        <v>827734000</v>
      </c>
      <c r="AA101" s="97">
        <f>data!QZ33</f>
        <v>0</v>
      </c>
      <c r="AB101" s="459">
        <f>data!RA33</f>
        <v>0.99999889469128544</v>
      </c>
      <c r="AC101" s="457">
        <f>data!RB33</f>
        <v>3.5673072689088953E-2</v>
      </c>
      <c r="AN101" s="432"/>
    </row>
    <row r="102" spans="1:40" ht="15.75" customHeight="1" x14ac:dyDescent="0.15">
      <c r="A102" s="109">
        <f>data!$NA$34</f>
        <v>0</v>
      </c>
      <c r="B102" s="110">
        <f>data!$NB$34</f>
        <v>4</v>
      </c>
      <c r="C102" s="7">
        <f>data!RC34</f>
        <v>0.52752415960158894</v>
      </c>
      <c r="D102" s="6">
        <f>data!RD34</f>
        <v>0</v>
      </c>
      <c r="E102" s="6">
        <f>data!RE34</f>
        <v>0</v>
      </c>
      <c r="F102" s="6">
        <f>data!RF34</f>
        <v>0.2814101476443624</v>
      </c>
      <c r="G102" s="6">
        <f>data!RG34</f>
        <v>0</v>
      </c>
      <c r="H102" s="6">
        <f>data!RH34</f>
        <v>0</v>
      </c>
      <c r="I102" s="8">
        <f>data!RI34</f>
        <v>0.19106569275404872</v>
      </c>
      <c r="K102" s="109">
        <f>data!$NA$34</f>
        <v>0</v>
      </c>
      <c r="L102" s="110">
        <f>data!$NB$34</f>
        <v>4</v>
      </c>
      <c r="M102" s="573">
        <f>data!QO34</f>
        <v>68453632000</v>
      </c>
      <c r="N102" s="573">
        <f>data!QP34</f>
        <v>0</v>
      </c>
      <c r="O102" s="573">
        <f>data!QQ34</f>
        <v>0</v>
      </c>
      <c r="P102" s="26">
        <f>data!QR34</f>
        <v>2.3816376438619296</v>
      </c>
      <c r="R102" s="109">
        <f>data!$NA$34</f>
        <v>0</v>
      </c>
      <c r="S102" s="110">
        <f>data!$NB$34</f>
        <v>4</v>
      </c>
      <c r="T102" s="6">
        <f>data!QS34</f>
        <v>3.6586680656798216E-2</v>
      </c>
      <c r="U102" s="6">
        <f>data!QT34</f>
        <v>0.73801083134443235</v>
      </c>
      <c r="V102" s="38">
        <f>data!QU34</f>
        <v>0.22540248799876941</v>
      </c>
      <c r="W102" s="96">
        <f>data!QV34</f>
        <v>16307665237</v>
      </c>
      <c r="X102" s="97">
        <f>data!QW34</f>
        <v>553630000</v>
      </c>
      <c r="Y102" s="97">
        <f>data!QX34</f>
        <v>257994009</v>
      </c>
      <c r="Z102" s="97">
        <f>data!QY34</f>
        <v>827734000</v>
      </c>
      <c r="AA102" s="97">
        <f>data!QZ34</f>
        <v>0</v>
      </c>
      <c r="AB102" s="459">
        <f>data!RA34</f>
        <v>0.99999889328118174</v>
      </c>
      <c r="AC102" s="457">
        <f>data!RB34</f>
        <v>3.5847229763178036E-2</v>
      </c>
      <c r="AN102" s="432"/>
    </row>
    <row r="103" spans="1:40" ht="15.75" customHeight="1" x14ac:dyDescent="0.15">
      <c r="A103" s="109">
        <f>data!$NA$35</f>
        <v>0</v>
      </c>
      <c r="B103" s="110">
        <f>data!$NB$35</f>
        <v>5</v>
      </c>
      <c r="C103" s="7">
        <f>data!RC35</f>
        <v>0.5092205520088442</v>
      </c>
      <c r="D103" s="6">
        <f>data!RD35</f>
        <v>0</v>
      </c>
      <c r="E103" s="6">
        <f>data!RE35</f>
        <v>0</v>
      </c>
      <c r="F103" s="6">
        <f>data!RF35</f>
        <v>0.30594664319450521</v>
      </c>
      <c r="G103" s="6">
        <f>data!RG35</f>
        <v>0</v>
      </c>
      <c r="H103" s="6">
        <f>data!RH35</f>
        <v>0</v>
      </c>
      <c r="I103" s="8">
        <f>data!RI35</f>
        <v>0.18483280479665057</v>
      </c>
      <c r="K103" s="109">
        <f>data!$NA$35</f>
        <v>0</v>
      </c>
      <c r="L103" s="110">
        <f>data!$NB$35</f>
        <v>5</v>
      </c>
      <c r="M103" s="573">
        <f>data!QO35</f>
        <v>68453632000</v>
      </c>
      <c r="N103" s="573">
        <f>data!QP35</f>
        <v>0</v>
      </c>
      <c r="O103" s="573">
        <f>data!QQ35</f>
        <v>0</v>
      </c>
      <c r="P103" s="26">
        <f>data!QR35</f>
        <v>2.3811313526243425</v>
      </c>
      <c r="R103" s="109">
        <f>data!$NA$35</f>
        <v>0</v>
      </c>
      <c r="S103" s="110">
        <f>data!$NB$35</f>
        <v>5</v>
      </c>
      <c r="T103" s="6">
        <f>data!QS35</f>
        <v>3.658661868767199E-2</v>
      </c>
      <c r="U103" s="6">
        <f>data!QT35</f>
        <v>0.73801034066757587</v>
      </c>
      <c r="V103" s="38">
        <f>data!QU35</f>
        <v>0.22540304064475217</v>
      </c>
      <c r="W103" s="96">
        <f>data!QV35</f>
        <v>16307661534</v>
      </c>
      <c r="X103" s="97">
        <f>data!QW35</f>
        <v>553630000</v>
      </c>
      <c r="Y103" s="97">
        <f>data!QX35</f>
        <v>257994001</v>
      </c>
      <c r="Z103" s="97">
        <f>data!QY35</f>
        <v>827734000</v>
      </c>
      <c r="AA103" s="97">
        <f>data!QZ35</f>
        <v>0</v>
      </c>
      <c r="AB103" s="459">
        <f>data!RA35</f>
        <v>0.99999889469131042</v>
      </c>
      <c r="AC103" s="457">
        <f>data!RB35</f>
        <v>3.6101207994524293E-2</v>
      </c>
      <c r="AN103" s="432"/>
    </row>
    <row r="104" spans="1:40" ht="15.75" customHeight="1" x14ac:dyDescent="0.15">
      <c r="A104" s="109">
        <f>data!$NA$36</f>
        <v>0</v>
      </c>
      <c r="B104" s="110">
        <f>data!$NB$36</f>
        <v>6</v>
      </c>
      <c r="C104" s="7">
        <f>data!RC36</f>
        <v>0.51910878211777911</v>
      </c>
      <c r="D104" s="6">
        <f>data!RD36</f>
        <v>0</v>
      </c>
      <c r="E104" s="6">
        <f>data!RE36</f>
        <v>0</v>
      </c>
      <c r="F104" s="6">
        <f>data!RF36</f>
        <v>0.29267526761376922</v>
      </c>
      <c r="G104" s="6">
        <f>data!RG36</f>
        <v>0</v>
      </c>
      <c r="H104" s="6">
        <f>data!RH36</f>
        <v>0</v>
      </c>
      <c r="I104" s="8">
        <f>data!RI36</f>
        <v>0.1882159502684517</v>
      </c>
      <c r="K104" s="109">
        <f>data!$NA$36</f>
        <v>0</v>
      </c>
      <c r="L104" s="110">
        <f>data!$NB$36</f>
        <v>6</v>
      </c>
      <c r="M104" s="573">
        <f>data!QO36</f>
        <v>68453632000</v>
      </c>
      <c r="N104" s="573">
        <f>data!QP36</f>
        <v>0</v>
      </c>
      <c r="O104" s="573">
        <f>data!QQ36</f>
        <v>0</v>
      </c>
      <c r="P104" s="26">
        <f>data!QR36</f>
        <v>2.3851012630229587</v>
      </c>
      <c r="R104" s="109">
        <f>data!$NA$36</f>
        <v>0</v>
      </c>
      <c r="S104" s="110">
        <f>data!$NB$36</f>
        <v>6</v>
      </c>
      <c r="T104" s="6">
        <f>data!QS36</f>
        <v>3.6586690431585786E-2</v>
      </c>
      <c r="U104" s="6">
        <f>data!QT36</f>
        <v>0.73801090637254185</v>
      </c>
      <c r="V104" s="38">
        <f>data!QU36</f>
        <v>0.22540240319587232</v>
      </c>
      <c r="W104" s="96">
        <f>data!QV36</f>
        <v>16307664656</v>
      </c>
      <c r="X104" s="97">
        <f>data!QW36</f>
        <v>553630000</v>
      </c>
      <c r="Y104" s="97">
        <f>data!QX36</f>
        <v>257994017</v>
      </c>
      <c r="Z104" s="97">
        <f>data!QY36</f>
        <v>827734000</v>
      </c>
      <c r="AA104" s="97">
        <f>data!QZ36</f>
        <v>0</v>
      </c>
      <c r="AB104" s="459">
        <f>data!RA36</f>
        <v>0.99999889420095522</v>
      </c>
      <c r="AC104" s="457">
        <f>data!RB36</f>
        <v>3.587255925703569E-2</v>
      </c>
      <c r="AN104" s="432"/>
    </row>
    <row r="105" spans="1:40" ht="15.75" customHeight="1" x14ac:dyDescent="0.15">
      <c r="A105" s="109">
        <f>data!$NA$37</f>
        <v>0</v>
      </c>
      <c r="B105" s="110">
        <f>data!$NB$37</f>
        <v>7</v>
      </c>
      <c r="C105" s="7">
        <f>data!RC37</f>
        <v>0.52784861396427052</v>
      </c>
      <c r="D105" s="6">
        <f>data!RD37</f>
        <v>0</v>
      </c>
      <c r="E105" s="6">
        <f>data!RE37</f>
        <v>0</v>
      </c>
      <c r="F105" s="6">
        <f>data!RF37</f>
        <v>0.28009011888016921</v>
      </c>
      <c r="G105" s="6">
        <f>data!RG37</f>
        <v>0</v>
      </c>
      <c r="H105" s="6">
        <f>data!RH37</f>
        <v>0</v>
      </c>
      <c r="I105" s="8">
        <f>data!RI37</f>
        <v>0.19206126715556029</v>
      </c>
      <c r="K105" s="109">
        <f>data!$NA$37</f>
        <v>0</v>
      </c>
      <c r="L105" s="110">
        <f>data!$NB$37</f>
        <v>7</v>
      </c>
      <c r="M105" s="573">
        <f>data!QO37</f>
        <v>68453632000</v>
      </c>
      <c r="N105" s="573">
        <f>data!QP37</f>
        <v>0</v>
      </c>
      <c r="O105" s="573">
        <f>data!QQ37</f>
        <v>0</v>
      </c>
      <c r="P105" s="26">
        <f>data!QR37</f>
        <v>2.3814266762723371</v>
      </c>
      <c r="R105" s="109">
        <f>data!$NA$37</f>
        <v>0</v>
      </c>
      <c r="S105" s="110">
        <f>data!$NB$37</f>
        <v>7</v>
      </c>
      <c r="T105" s="6">
        <f>data!QS37</f>
        <v>3.6586671670639302E-2</v>
      </c>
      <c r="U105" s="6">
        <f>data!QT37</f>
        <v>0.73801079358999921</v>
      </c>
      <c r="V105" s="38">
        <f>data!QU37</f>
        <v>0.22540253473936145</v>
      </c>
      <c r="W105" s="96">
        <f>data!QV37</f>
        <v>16307661625</v>
      </c>
      <c r="X105" s="97">
        <f>data!QW37</f>
        <v>553630000</v>
      </c>
      <c r="Y105" s="97">
        <f>data!QX37</f>
        <v>257994001</v>
      </c>
      <c r="Z105" s="97">
        <f>data!QY37</f>
        <v>827734000</v>
      </c>
      <c r="AA105" s="97">
        <f>data!QZ37</f>
        <v>0</v>
      </c>
      <c r="AB105" s="459">
        <f>data!RA37</f>
        <v>0.99999889469131664</v>
      </c>
      <c r="AC105" s="457">
        <f>data!RB37</f>
        <v>3.6049651473074894E-2</v>
      </c>
      <c r="AN105" s="432"/>
    </row>
    <row r="106" spans="1:40" ht="15.75" customHeight="1" x14ac:dyDescent="0.15">
      <c r="A106" s="109">
        <f>data!$NA$38</f>
        <v>0</v>
      </c>
      <c r="B106" s="110">
        <f>data!$NB$38</f>
        <v>8</v>
      </c>
      <c r="C106" s="7">
        <f>data!RC38</f>
        <v>0.51460365993898394</v>
      </c>
      <c r="D106" s="6">
        <f>data!RD38</f>
        <v>0</v>
      </c>
      <c r="E106" s="6">
        <f>data!RE38</f>
        <v>0</v>
      </c>
      <c r="F106" s="6">
        <f>data!RF38</f>
        <v>0.2981238191717534</v>
      </c>
      <c r="G106" s="6">
        <f>data!RG38</f>
        <v>0</v>
      </c>
      <c r="H106" s="6">
        <f>data!RH38</f>
        <v>0</v>
      </c>
      <c r="I106" s="8">
        <f>data!RI38</f>
        <v>0.18727252088926269</v>
      </c>
      <c r="K106" s="109">
        <f>data!$NA$38</f>
        <v>0</v>
      </c>
      <c r="L106" s="110">
        <f>data!$NB$38</f>
        <v>8</v>
      </c>
      <c r="M106" s="573">
        <f>data!QO38</f>
        <v>68453632000</v>
      </c>
      <c r="N106" s="573">
        <f>data!QP38</f>
        <v>0</v>
      </c>
      <c r="O106" s="573">
        <f>data!QQ38</f>
        <v>0</v>
      </c>
      <c r="P106" s="26">
        <f>data!QR38</f>
        <v>2.3805731389837081</v>
      </c>
      <c r="R106" s="109">
        <f>data!$NA$38</f>
        <v>0</v>
      </c>
      <c r="S106" s="110">
        <f>data!$NB$38</f>
        <v>8</v>
      </c>
      <c r="T106" s="6">
        <f>data!QS38</f>
        <v>3.6586689366251292E-2</v>
      </c>
      <c r="U106" s="6">
        <f>data!QT38</f>
        <v>0.73801089376976425</v>
      </c>
      <c r="V106" s="38">
        <f>data!QU38</f>
        <v>0.22540241686398446</v>
      </c>
      <c r="W106" s="96">
        <f>data!QV38</f>
        <v>16307661086</v>
      </c>
      <c r="X106" s="97">
        <f>data!QW38</f>
        <v>553630000</v>
      </c>
      <c r="Y106" s="97">
        <f>data!QX38</f>
        <v>257994001</v>
      </c>
      <c r="Z106" s="97">
        <f>data!QY38</f>
        <v>827734000</v>
      </c>
      <c r="AA106" s="97">
        <f>data!QZ38</f>
        <v>0</v>
      </c>
      <c r="AB106" s="459">
        <f>data!RA38</f>
        <v>0.99999889469128012</v>
      </c>
      <c r="AC106" s="457">
        <f>data!RB38</f>
        <v>3.6327641766408569E-2</v>
      </c>
      <c r="AN106" s="432"/>
    </row>
    <row r="107" spans="1:40" ht="15.75" customHeight="1" x14ac:dyDescent="0.15">
      <c r="A107" s="109">
        <f>data!$NA$39</f>
        <v>0</v>
      </c>
      <c r="B107" s="110">
        <f>data!$NB$39</f>
        <v>9</v>
      </c>
      <c r="C107" s="7">
        <f>data!RC39</f>
        <v>0.53154304355575666</v>
      </c>
      <c r="D107" s="6">
        <f>data!RD39</f>
        <v>0</v>
      </c>
      <c r="E107" s="6">
        <f>data!RE39</f>
        <v>0</v>
      </c>
      <c r="F107" s="6">
        <f>data!RF39</f>
        <v>0.27539500611002488</v>
      </c>
      <c r="G107" s="6">
        <f>data!RG39</f>
        <v>0</v>
      </c>
      <c r="H107" s="6">
        <f>data!RH39</f>
        <v>0</v>
      </c>
      <c r="I107" s="8">
        <f>data!RI39</f>
        <v>0.19306195033421841</v>
      </c>
      <c r="K107" s="109">
        <f>data!$NA$39</f>
        <v>0</v>
      </c>
      <c r="L107" s="110">
        <f>data!$NB$39</f>
        <v>9</v>
      </c>
      <c r="M107" s="573">
        <f>data!QO39</f>
        <v>68453632000</v>
      </c>
      <c r="N107" s="573">
        <f>data!QP39</f>
        <v>0</v>
      </c>
      <c r="O107" s="573">
        <f>data!QQ39</f>
        <v>0</v>
      </c>
      <c r="P107" s="26">
        <f>data!QR39</f>
        <v>2.3826288458705753</v>
      </c>
      <c r="R107" s="109">
        <f>data!$NA$39</f>
        <v>0</v>
      </c>
      <c r="S107" s="110">
        <f>data!$NB$39</f>
        <v>9</v>
      </c>
      <c r="T107" s="6">
        <f>data!QS39</f>
        <v>3.6586686087235108E-2</v>
      </c>
      <c r="U107" s="6">
        <f>data!QT39</f>
        <v>0.73801087414017263</v>
      </c>
      <c r="V107" s="38">
        <f>data!QU39</f>
        <v>0.22540243977259225</v>
      </c>
      <c r="W107" s="96">
        <f>data!QV39</f>
        <v>16307664286</v>
      </c>
      <c r="X107" s="97">
        <f>data!QW39</f>
        <v>553630000</v>
      </c>
      <c r="Y107" s="97">
        <f>data!QX39</f>
        <v>257994009</v>
      </c>
      <c r="Z107" s="97">
        <f>data!QY39</f>
        <v>827734000</v>
      </c>
      <c r="AA107" s="97">
        <f>data!QZ39</f>
        <v>0</v>
      </c>
      <c r="AB107" s="459">
        <f>data!RA39</f>
        <v>0.99999889352640059</v>
      </c>
      <c r="AC107" s="457">
        <f>data!RB39</f>
        <v>3.5886057588423288E-2</v>
      </c>
    </row>
    <row r="108" spans="1:40" ht="15.75" customHeight="1" x14ac:dyDescent="0.15">
      <c r="A108" s="109">
        <f>data!$NA$40</f>
        <v>0</v>
      </c>
      <c r="B108" s="110">
        <f>data!$NB$40</f>
        <v>10</v>
      </c>
      <c r="C108" s="7">
        <f>data!RC40</f>
        <v>0.51068785292495911</v>
      </c>
      <c r="D108" s="6">
        <f>data!RD40</f>
        <v>0</v>
      </c>
      <c r="E108" s="6">
        <f>data!RE40</f>
        <v>0</v>
      </c>
      <c r="F108" s="6">
        <f>data!RF40</f>
        <v>0.30293918134279496</v>
      </c>
      <c r="G108" s="6">
        <f>data!RG40</f>
        <v>0</v>
      </c>
      <c r="H108" s="6">
        <f>data!RH40</f>
        <v>0</v>
      </c>
      <c r="I108" s="8">
        <f>data!RI40</f>
        <v>0.18637296573224596</v>
      </c>
      <c r="K108" s="109">
        <f>data!$NA$40</f>
        <v>0</v>
      </c>
      <c r="L108" s="110">
        <f>data!$NB$40</f>
        <v>10</v>
      </c>
      <c r="M108" s="573">
        <f>data!QO40</f>
        <v>68453632000</v>
      </c>
      <c r="N108" s="573">
        <f>data!QP40</f>
        <v>0</v>
      </c>
      <c r="O108" s="573">
        <f>data!QQ40</f>
        <v>0</v>
      </c>
      <c r="P108" s="26">
        <f>data!QR40</f>
        <v>2.378878691961456</v>
      </c>
      <c r="R108" s="109">
        <f>data!$NA$40</f>
        <v>0</v>
      </c>
      <c r="S108" s="110">
        <f>data!$NB$40</f>
        <v>10</v>
      </c>
      <c r="T108" s="6">
        <f>data!QS40</f>
        <v>3.6586548991679589E-2</v>
      </c>
      <c r="U108" s="6">
        <f>data!QT40</f>
        <v>0.738009956564744</v>
      </c>
      <c r="V108" s="38">
        <f>data!QU40</f>
        <v>0.22540349444357641</v>
      </c>
      <c r="W108" s="96">
        <f>data!QV40</f>
        <v>16307664271</v>
      </c>
      <c r="X108" s="97">
        <f>data!QW40</f>
        <v>553630000</v>
      </c>
      <c r="Y108" s="97">
        <f>data!QX40</f>
        <v>257994009</v>
      </c>
      <c r="Z108" s="97">
        <f>data!QY40</f>
        <v>827734000</v>
      </c>
      <c r="AA108" s="97">
        <f>data!QZ40</f>
        <v>0</v>
      </c>
      <c r="AB108" s="459">
        <f>data!RA40</f>
        <v>0.99999889352639959</v>
      </c>
      <c r="AC108" s="457">
        <f>data!RB40</f>
        <v>3.5677830872647753E-2</v>
      </c>
    </row>
    <row r="109" spans="1:40" ht="15.75" customHeight="1" thickBot="1" x14ac:dyDescent="0.2">
      <c r="A109" s="114">
        <f>data!$NA$41</f>
        <v>0</v>
      </c>
      <c r="B109" s="463">
        <f>data!$NB$41</f>
        <v>11</v>
      </c>
      <c r="C109" s="35">
        <f>data!RC41</f>
        <v>0.52015458154643412</v>
      </c>
      <c r="D109" s="12">
        <f>data!RD41</f>
        <v>0</v>
      </c>
      <c r="E109" s="12">
        <f>data!RE41</f>
        <v>0</v>
      </c>
      <c r="F109" s="12">
        <f>data!RF41</f>
        <v>0.2907830533206367</v>
      </c>
      <c r="G109" s="12">
        <f>data!RG41</f>
        <v>0</v>
      </c>
      <c r="H109" s="12">
        <f>data!RH41</f>
        <v>0</v>
      </c>
      <c r="I109" s="27">
        <f>data!RI41</f>
        <v>0.18906236513292915</v>
      </c>
      <c r="K109" s="114">
        <f>data!$NA$41</f>
        <v>0</v>
      </c>
      <c r="L109" s="463">
        <f>data!$NB$41</f>
        <v>11</v>
      </c>
      <c r="M109" s="574">
        <f>data!QO41</f>
        <v>68453632000</v>
      </c>
      <c r="N109" s="574">
        <f>data!QP41</f>
        <v>0</v>
      </c>
      <c r="O109" s="574">
        <f>data!QQ41</f>
        <v>0</v>
      </c>
      <c r="P109" s="34">
        <f>data!QR41</f>
        <v>2.378164505105218</v>
      </c>
      <c r="R109" s="114">
        <f>data!$NA$41</f>
        <v>0</v>
      </c>
      <c r="S109" s="463">
        <f>data!$NB$41</f>
        <v>11</v>
      </c>
      <c r="T109" s="12">
        <f>data!QS41</f>
        <v>3.6586683084929669E-2</v>
      </c>
      <c r="U109" s="12">
        <f>data!QT41</f>
        <v>0.73801075383016534</v>
      </c>
      <c r="V109" s="79">
        <f>data!QU41</f>
        <v>0.22540256308490503</v>
      </c>
      <c r="W109" s="99">
        <f>data!QV41</f>
        <v>16307661283</v>
      </c>
      <c r="X109" s="100">
        <f>data!QW41</f>
        <v>553630000</v>
      </c>
      <c r="Y109" s="100">
        <f>data!QX41</f>
        <v>257994001</v>
      </c>
      <c r="Z109" s="100">
        <f>data!QY41</f>
        <v>827734000</v>
      </c>
      <c r="AA109" s="100">
        <f>data!QZ41</f>
        <v>0</v>
      </c>
      <c r="AB109" s="477">
        <f>data!RA41</f>
        <v>0.99999889469129344</v>
      </c>
      <c r="AC109" s="478">
        <f>data!RB41</f>
        <v>3.6037956984932742E-2</v>
      </c>
    </row>
    <row r="110" spans="1:40" ht="15.75" customHeight="1" thickTop="1" thickBot="1" x14ac:dyDescent="0.2">
      <c r="A110" s="631" t="str">
        <f>data!$NB$42</f>
        <v>CMG 0 total</v>
      </c>
      <c r="B110" s="632"/>
      <c r="C110" s="488">
        <f>data!RC42</f>
        <v>0.51987771420349216</v>
      </c>
      <c r="D110" s="489">
        <f>data!RD42</f>
        <v>0</v>
      </c>
      <c r="E110" s="489">
        <f>data!RE42</f>
        <v>0</v>
      </c>
      <c r="F110" s="489">
        <f>data!RF42</f>
        <v>0.29133258176801513</v>
      </c>
      <c r="G110" s="489">
        <f>data!RG42</f>
        <v>0</v>
      </c>
      <c r="H110" s="489">
        <f>data!RH42</f>
        <v>0</v>
      </c>
      <c r="I110" s="490">
        <f>data!RI42</f>
        <v>0.18878970402849268</v>
      </c>
      <c r="K110" s="631" t="str">
        <f>data!$NB$42</f>
        <v>CMG 0 total</v>
      </c>
      <c r="L110" s="632"/>
      <c r="M110" s="575">
        <f>data!QO42</f>
        <v>821443584000</v>
      </c>
      <c r="N110" s="575">
        <f>data!QP42</f>
        <v>0</v>
      </c>
      <c r="O110" s="575">
        <f>data!QQ42</f>
        <v>0</v>
      </c>
      <c r="P110" s="487">
        <f>data!QR42</f>
        <v>28.571972717602673</v>
      </c>
      <c r="R110" s="666" t="str">
        <f>data!$NB$42</f>
        <v>CMG 0 total</v>
      </c>
      <c r="S110" s="667"/>
      <c r="T110" s="482">
        <f>data!QS42</f>
        <v>3.6586655221447655E-2</v>
      </c>
      <c r="U110" s="482">
        <f>data!QT42</f>
        <v>0.73801063951677393</v>
      </c>
      <c r="V110" s="483">
        <f>data!QU42</f>
        <v>0.2254027052617785</v>
      </c>
      <c r="W110" s="484">
        <f>data!QV42</f>
        <v>195691961121</v>
      </c>
      <c r="X110" s="485">
        <f>data!QW42</f>
        <v>6643560000</v>
      </c>
      <c r="Y110" s="485">
        <f>data!QX42</f>
        <v>3095928060</v>
      </c>
      <c r="Z110" s="485">
        <f>data!QY42</f>
        <v>9932808000</v>
      </c>
      <c r="AA110" s="485">
        <f>data!QZ42</f>
        <v>0</v>
      </c>
      <c r="AB110" s="486">
        <f>data!RA42</f>
        <v>0.99999889146187415</v>
      </c>
      <c r="AC110" s="483">
        <f>data!RB42</f>
        <v>3.5959930835234875E-2</v>
      </c>
    </row>
    <row r="111" spans="1:40" ht="15.75" customHeight="1" thickBot="1" x14ac:dyDescent="0.3">
      <c r="R111" s="668"/>
      <c r="S111" s="669"/>
      <c r="T111" s="803">
        <f>data!QS43</f>
        <v>0.77459729473822159</v>
      </c>
      <c r="U111" s="804"/>
      <c r="V111" s="805"/>
      <c r="W111" s="460">
        <f>data!QV43</f>
        <v>195691961121</v>
      </c>
      <c r="X111" s="763">
        <f>data!QW43</f>
        <v>9739488060</v>
      </c>
      <c r="Y111" s="763"/>
      <c r="Z111" s="461">
        <f>data!QY43</f>
        <v>9932808000</v>
      </c>
      <c r="AA111" s="461">
        <f>data!QZ43</f>
        <v>0</v>
      </c>
      <c r="AB111" s="462">
        <f>data!RA43</f>
        <v>0.99999889146187415</v>
      </c>
      <c r="AC111" s="458">
        <f>data!RB43</f>
        <v>3.5959930835234875E-2</v>
      </c>
      <c r="AL111" s="102"/>
    </row>
    <row r="112" spans="1:40" ht="15.75" customHeight="1" x14ac:dyDescent="0.25">
      <c r="A112" s="679" t="str">
        <f>data!RJ25</f>
        <v>Data Transfer CMGs</v>
      </c>
      <c r="B112" s="680"/>
      <c r="C112" s="676" t="str">
        <f>data!RK26</f>
        <v>Destination (GB/s)</v>
      </c>
      <c r="D112" s="677"/>
      <c r="E112" s="677"/>
      <c r="F112" s="678"/>
      <c r="AH112" s="103"/>
      <c r="AI112" s="103"/>
      <c r="AJ112" s="104"/>
    </row>
    <row r="113" spans="1:16" ht="15.75" customHeight="1" x14ac:dyDescent="0.25">
      <c r="A113" s="681"/>
      <c r="B113" s="682"/>
      <c r="C113" s="685" t="str">
        <f>data!RK28</f>
        <v>Own memory</v>
      </c>
      <c r="D113" s="687" t="str">
        <f>data!RL28</f>
        <v>Other memory</v>
      </c>
      <c r="E113" s="689" t="str">
        <f>data!RP28</f>
        <v>Tofu</v>
      </c>
      <c r="F113" s="799" t="str">
        <f>data!RQ28</f>
        <v>PCI</v>
      </c>
      <c r="J113" s="565"/>
      <c r="K113" s="565"/>
      <c r="L113" s="565"/>
      <c r="M113" s="565"/>
      <c r="N113" s="565"/>
      <c r="O113" s="565"/>
      <c r="P113" s="565"/>
    </row>
    <row r="114" spans="1:16" ht="15.75" customHeight="1" thickBot="1" x14ac:dyDescent="0.3">
      <c r="A114" s="683"/>
      <c r="B114" s="684"/>
      <c r="C114" s="686"/>
      <c r="D114" s="688"/>
      <c r="E114" s="690"/>
      <c r="F114" s="800"/>
      <c r="J114" s="565"/>
      <c r="K114" s="565"/>
      <c r="L114" s="565"/>
      <c r="M114" s="565"/>
      <c r="N114" s="565"/>
      <c r="O114" s="565"/>
      <c r="P114" s="565"/>
    </row>
    <row r="115" spans="1:16" ht="15.75" customHeight="1" x14ac:dyDescent="0.25">
      <c r="A115" s="654" t="str">
        <f>data!$NB$42</f>
        <v>CMG 0 total</v>
      </c>
      <c r="B115" s="589" t="s">
        <v>854</v>
      </c>
      <c r="C115" s="583">
        <f>data!RK30</f>
        <v>49.330703060918573</v>
      </c>
      <c r="D115" s="584">
        <f>data!RL30</f>
        <v>1.3353237398106715E-3</v>
      </c>
      <c r="E115" s="584">
        <f>data!RP30</f>
        <v>8.5392761313019491E-6</v>
      </c>
      <c r="F115" s="585">
        <f>data!RQ30</f>
        <v>0</v>
      </c>
      <c r="J115" s="565"/>
      <c r="K115" s="565"/>
      <c r="L115" s="565"/>
      <c r="M115" s="565"/>
      <c r="N115" s="565"/>
      <c r="O115" s="565"/>
      <c r="P115" s="565"/>
    </row>
    <row r="116" spans="1:16" ht="15.75" customHeight="1" thickBot="1" x14ac:dyDescent="0.3">
      <c r="A116" s="655"/>
      <c r="B116" s="590" t="s">
        <v>72</v>
      </c>
      <c r="C116" s="586">
        <f>data!RK31</f>
        <v>22.311189371896567</v>
      </c>
      <c r="D116" s="587">
        <f>data!RL31</f>
        <v>6.6457332028408813E-3</v>
      </c>
      <c r="E116" s="587">
        <f>data!RP31</f>
        <v>1.5849751317745013E-6</v>
      </c>
      <c r="F116" s="588">
        <f>data!RQ31</f>
        <v>0</v>
      </c>
    </row>
    <row r="117" spans="1:16" ht="15.75" customHeight="1" x14ac:dyDescent="0.15"/>
    <row r="118" spans="1:16" ht="15.75" customHeight="1" x14ac:dyDescent="0.15"/>
    <row r="119" spans="1:16" ht="15.75" customHeight="1" x14ac:dyDescent="0.15"/>
    <row r="120" spans="1:16" ht="15.75" customHeight="1" x14ac:dyDescent="0.15"/>
    <row r="121" spans="1:16" ht="15.75" customHeight="1" x14ac:dyDescent="0.15"/>
    <row r="122" spans="1:16" ht="15.75" customHeight="1" x14ac:dyDescent="0.15"/>
    <row r="123" spans="1:16" ht="15.75" customHeight="1" x14ac:dyDescent="0.15"/>
    <row r="124" spans="1:16" ht="15.75" customHeight="1" x14ac:dyDescent="0.15"/>
    <row r="125" spans="1:16" ht="15.75" customHeight="1" x14ac:dyDescent="0.15"/>
    <row r="126" spans="1:16" ht="15.75" customHeight="1" x14ac:dyDescent="0.15"/>
    <row r="127" spans="1:16" ht="15.75" customHeight="1" x14ac:dyDescent="0.15"/>
    <row r="128" spans="1:16" ht="15.75" customHeight="1" x14ac:dyDescent="0.15"/>
    <row r="129" ht="15.75" customHeight="1" x14ac:dyDescent="0.15"/>
    <row r="130" ht="15.75" customHeight="1" x14ac:dyDescent="0.15"/>
    <row r="131" ht="15.75" customHeight="1" x14ac:dyDescent="0.15"/>
    <row r="132" ht="15.75" customHeight="1" x14ac:dyDescent="0.15"/>
    <row r="133" ht="15.75" customHeight="1" x14ac:dyDescent="0.15"/>
    <row r="134" ht="15.75" customHeight="1" x14ac:dyDescent="0.15"/>
    <row r="135" ht="15.75" customHeight="1" x14ac:dyDescent="0.15"/>
    <row r="136" ht="15.75" customHeight="1" x14ac:dyDescent="0.15"/>
    <row r="137" ht="15.75" customHeight="1" x14ac:dyDescent="0.15"/>
  </sheetData>
  <dataConsolidate/>
  <mergeCells count="181">
    <mergeCell ref="F113:F114"/>
    <mergeCell ref="D48:D53"/>
    <mergeCell ref="R8:S8"/>
    <mergeCell ref="T8:Y8"/>
    <mergeCell ref="P26:Q26"/>
    <mergeCell ref="G48:G53"/>
    <mergeCell ref="H48:H53"/>
    <mergeCell ref="O4:P4"/>
    <mergeCell ref="Q4:T4"/>
    <mergeCell ref="T111:V111"/>
    <mergeCell ref="X69:Y70"/>
    <mergeCell ref="Y71:Y76"/>
    <mergeCell ref="X71:X76"/>
    <mergeCell ref="A3:B3"/>
    <mergeCell ref="C3:F3"/>
    <mergeCell ref="A4:B4"/>
    <mergeCell ref="C4:F4"/>
    <mergeCell ref="H3:I3"/>
    <mergeCell ref="J3:M3"/>
    <mergeCell ref="H4:I4"/>
    <mergeCell ref="J4:M4"/>
    <mergeCell ref="O3:P3"/>
    <mergeCell ref="Q3:T3"/>
    <mergeCell ref="X90:Y90"/>
    <mergeCell ref="U90:W90"/>
    <mergeCell ref="P28:P33"/>
    <mergeCell ref="R92:S96"/>
    <mergeCell ref="T69:T76"/>
    <mergeCell ref="Q90:S90"/>
    <mergeCell ref="H5:I5"/>
    <mergeCell ref="J5:M5"/>
    <mergeCell ref="O48:O53"/>
    <mergeCell ref="P48:P53"/>
    <mergeCell ref="N48:N53"/>
    <mergeCell ref="M48:M53"/>
    <mergeCell ref="P8:Q12"/>
    <mergeCell ref="K48:K53"/>
    <mergeCell ref="L48:L53"/>
    <mergeCell ref="N28:N33"/>
    <mergeCell ref="O28:O33"/>
    <mergeCell ref="I8:I12"/>
    <mergeCell ref="M8:M12"/>
    <mergeCell ref="N8:N12"/>
    <mergeCell ref="C70:J70"/>
    <mergeCell ref="C71:I71"/>
    <mergeCell ref="I72:I76"/>
    <mergeCell ref="AA69:AA76"/>
    <mergeCell ref="K92:L96"/>
    <mergeCell ref="J72:J76"/>
    <mergeCell ref="P72:P76"/>
    <mergeCell ref="K110:L110"/>
    <mergeCell ref="T93:T97"/>
    <mergeCell ref="Q69:S69"/>
    <mergeCell ref="H93:H97"/>
    <mergeCell ref="R110:S111"/>
    <mergeCell ref="T92:V92"/>
    <mergeCell ref="C69:P69"/>
    <mergeCell ref="O72:O76"/>
    <mergeCell ref="C90:P90"/>
    <mergeCell ref="W70:W76"/>
    <mergeCell ref="V70:V76"/>
    <mergeCell ref="U70:U76"/>
    <mergeCell ref="P92:P97"/>
    <mergeCell ref="S70:S76"/>
    <mergeCell ref="R70:R76"/>
    <mergeCell ref="Q70:Q76"/>
    <mergeCell ref="X111:Y111"/>
    <mergeCell ref="W93:W97"/>
    <mergeCell ref="X93:X97"/>
    <mergeCell ref="Y93:Y97"/>
    <mergeCell ref="AJ77:AJ88"/>
    <mergeCell ref="V93:V97"/>
    <mergeCell ref="U93:U97"/>
    <mergeCell ref="W92:AB92"/>
    <mergeCell ref="AC92:AC97"/>
    <mergeCell ref="AK77:AK88"/>
    <mergeCell ref="M28:M33"/>
    <mergeCell ref="N92:N97"/>
    <mergeCell ref="O92:O97"/>
    <mergeCell ref="AG69:AH75"/>
    <mergeCell ref="K71:O71"/>
    <mergeCell ref="K70:P70"/>
    <mergeCell ref="AE69:AE76"/>
    <mergeCell ref="AD69:AD76"/>
    <mergeCell ref="AC69:AC76"/>
    <mergeCell ref="K72:K76"/>
    <mergeCell ref="L72:L76"/>
    <mergeCell ref="U69:W69"/>
    <mergeCell ref="AG89:AH89"/>
    <mergeCell ref="Z93:Z97"/>
    <mergeCell ref="AB69:AB76"/>
    <mergeCell ref="Z69:Z76"/>
    <mergeCell ref="AA93:AA97"/>
    <mergeCell ref="AB93:AB97"/>
    <mergeCell ref="AL8:AL12"/>
    <mergeCell ref="R9:R12"/>
    <mergeCell ref="S9:S12"/>
    <mergeCell ref="T9:T12"/>
    <mergeCell ref="U9:U12"/>
    <mergeCell ref="V9:V12"/>
    <mergeCell ref="W9:W12"/>
    <mergeCell ref="X9:X12"/>
    <mergeCell ref="Y9:Y12"/>
    <mergeCell ref="AH8:AK8"/>
    <mergeCell ref="Z8:AA8"/>
    <mergeCell ref="AB8:AC8"/>
    <mergeCell ref="Z9:Z12"/>
    <mergeCell ref="AA9:AA12"/>
    <mergeCell ref="AB9:AB12"/>
    <mergeCell ref="AC9:AC12"/>
    <mergeCell ref="AE8:AE12"/>
    <mergeCell ref="AH9:AH12"/>
    <mergeCell ref="AI9:AI12"/>
    <mergeCell ref="AJ9:AJ12"/>
    <mergeCell ref="AF8:AF12"/>
    <mergeCell ref="AG8:AG12"/>
    <mergeCell ref="AD8:AD12"/>
    <mergeCell ref="AK9:AK12"/>
    <mergeCell ref="A115:A116"/>
    <mergeCell ref="M72:M76"/>
    <mergeCell ref="N72:N76"/>
    <mergeCell ref="A69:B75"/>
    <mergeCell ref="I93:I97"/>
    <mergeCell ref="F92:H92"/>
    <mergeCell ref="E93:E97"/>
    <mergeCell ref="F93:F97"/>
    <mergeCell ref="C93:C97"/>
    <mergeCell ref="D93:D97"/>
    <mergeCell ref="F72:F76"/>
    <mergeCell ref="H72:H76"/>
    <mergeCell ref="C92:E92"/>
    <mergeCell ref="A89:B90"/>
    <mergeCell ref="M92:M97"/>
    <mergeCell ref="C72:C76"/>
    <mergeCell ref="D72:D76"/>
    <mergeCell ref="E72:E76"/>
    <mergeCell ref="C112:F112"/>
    <mergeCell ref="A112:B114"/>
    <mergeCell ref="C113:C114"/>
    <mergeCell ref="D113:D114"/>
    <mergeCell ref="E113:E114"/>
    <mergeCell ref="A110:B110"/>
    <mergeCell ref="A8:B12"/>
    <mergeCell ref="A26:B26"/>
    <mergeCell ref="J28:J33"/>
    <mergeCell ref="G93:G97"/>
    <mergeCell ref="G72:G76"/>
    <mergeCell ref="A67:B67"/>
    <mergeCell ref="A48:B53"/>
    <mergeCell ref="A28:B32"/>
    <mergeCell ref="A46:B46"/>
    <mergeCell ref="H34:H45"/>
    <mergeCell ref="I34:I45"/>
    <mergeCell ref="C48:C53"/>
    <mergeCell ref="E48:E53"/>
    <mergeCell ref="F48:F53"/>
    <mergeCell ref="A92:B96"/>
    <mergeCell ref="AI69:AI75"/>
    <mergeCell ref="AJ69:AJ75"/>
    <mergeCell ref="AK69:AK75"/>
    <mergeCell ref="C8:C12"/>
    <mergeCell ref="D8:D12"/>
    <mergeCell ref="E8:E12"/>
    <mergeCell ref="F8:F12"/>
    <mergeCell ref="G8:G12"/>
    <mergeCell ref="H8:H12"/>
    <mergeCell ref="G14:G25"/>
    <mergeCell ref="K28:K33"/>
    <mergeCell ref="L28:L33"/>
    <mergeCell ref="J8:J12"/>
    <mergeCell ref="K8:K12"/>
    <mergeCell ref="L8:L12"/>
    <mergeCell ref="C28:C32"/>
    <mergeCell ref="D28:D32"/>
    <mergeCell ref="E28:E32"/>
    <mergeCell ref="F28:F32"/>
    <mergeCell ref="I48:I53"/>
    <mergeCell ref="J48:J53"/>
    <mergeCell ref="G28:G32"/>
    <mergeCell ref="H28:H32"/>
    <mergeCell ref="I28:I32"/>
  </mergeCells>
  <phoneticPr fontId="26"/>
  <conditionalFormatting sqref="E14:E26">
    <cfRule type="containsBlanks" priority="481" stopIfTrue="1">
      <formula>LEN(TRIM(E14))=0</formula>
    </cfRule>
  </conditionalFormatting>
  <conditionalFormatting sqref="X90">
    <cfRule type="expression" dxfId="99" priority="295" stopIfTrue="1">
      <formula>AND(COUNT($C$77:$AC$90)&gt;0,COUNT($X$90)=0)</formula>
    </cfRule>
    <cfRule type="dataBar" priority="297">
      <dataBar>
        <cfvo type="num" val="0"/>
        <cfvo type="num" val="$AE$90"/>
        <color rgb="FF638EC6"/>
      </dataBar>
      <extLst>
        <ext xmlns:x14="http://schemas.microsoft.com/office/spreadsheetml/2009/9/main" uri="{B025F937-C7B1-47D3-B67F-A62EFF666E3E}">
          <x14:id>{EB2D2C1E-F52C-42D8-BAC4-F9C54099E6AC}</x14:id>
        </ext>
      </extLst>
    </cfRule>
  </conditionalFormatting>
  <conditionalFormatting sqref="R14:AL26">
    <cfRule type="expression" dxfId="98" priority="1299">
      <formula>AND(COUNT($R$14:$AL$26)&gt;0,COUNT(R$14:R$26)=0)</formula>
    </cfRule>
  </conditionalFormatting>
  <conditionalFormatting sqref="AD8:AG8 AL8 R8:R9 S9:AC9 AH9:AK9">
    <cfRule type="expression" dxfId="97" priority="1300">
      <formula>AND(COUNT($R$14:$AL$26)&gt;0,COUNT(R$14:R$26)=0)</formula>
    </cfRule>
  </conditionalFormatting>
  <conditionalFormatting sqref="T69 Z69:AE69">
    <cfRule type="expression" dxfId="96" priority="1373">
      <formula>AND(COUNT($S$77:$AC$90)&gt;0,COUNT(T$77:T$89)=0)</formula>
    </cfRule>
  </conditionalFormatting>
  <conditionalFormatting sqref="M98:P110">
    <cfRule type="expression" dxfId="95" priority="87" stopIfTrue="1">
      <formula>AND(COUNT($M$98:$Q$110)&gt;0,COUNT(M$98:M$110)=0)</formula>
    </cfRule>
  </conditionalFormatting>
  <conditionalFormatting sqref="Q70:S70 U70:W70 X71:Y71 C72:P72 C73:G73 I73:N73 P73">
    <cfRule type="expression" dxfId="94" priority="1469">
      <formula>AND(COUNT($C$77:$AC$90)&gt;0,COUNT(C$77:C$89)=0)</formula>
    </cfRule>
  </conditionalFormatting>
  <conditionalFormatting sqref="AE77:AE88">
    <cfRule type="expression" dxfId="93" priority="1477" stopIfTrue="1">
      <formula>AND(COUNT($C$77:$AC$90)&gt;0,COUNT(AE$77:AE$88)=0)</formula>
    </cfRule>
  </conditionalFormatting>
  <conditionalFormatting sqref="AE89">
    <cfRule type="expression" dxfId="92" priority="1478">
      <formula>AND(COUNT($C$77:$AC$90)&gt;0,COUNT(AE$89)=0)</formula>
    </cfRule>
  </conditionalFormatting>
  <conditionalFormatting sqref="AE90">
    <cfRule type="expression" dxfId="91" priority="1479" stopIfTrue="1">
      <formula>AND(COUNT($C$77:$AC$90)&gt;0,COUNT(AE$90)=0)</formula>
    </cfRule>
  </conditionalFormatting>
  <conditionalFormatting sqref="C77:AD88">
    <cfRule type="expression" dxfId="90" priority="1480" stopIfTrue="1">
      <formula>AND(COUNT($C$77:$AD$90)&gt;0,COUNT(C$77:C$88)=0)</formula>
    </cfRule>
    <cfRule type="dataBar" priority="1481">
      <dataBar>
        <cfvo type="num" val="0"/>
        <cfvo type="num" val="MAX($AE$77:$AE$88)"/>
        <color rgb="FF638EC6"/>
      </dataBar>
      <extLst>
        <ext xmlns:x14="http://schemas.microsoft.com/office/spreadsheetml/2009/9/main" uri="{B025F937-C7B1-47D3-B67F-A62EFF666E3E}">
          <x14:id>{AC40FA28-6629-4806-AC87-84290C3F33CC}</x14:id>
        </ext>
      </extLst>
    </cfRule>
  </conditionalFormatting>
  <conditionalFormatting sqref="C89:AD89">
    <cfRule type="expression" dxfId="89" priority="1485" stopIfTrue="1">
      <formula>AND(COUNT($C$77:$AD$90)&gt;0,COUNT(C$89)=0)</formula>
    </cfRule>
    <cfRule type="dataBar" priority="1486">
      <dataBar>
        <cfvo type="num" val="0"/>
        <cfvo type="num" val="$AE$89"/>
        <color rgb="FF638EC6"/>
      </dataBar>
      <extLst>
        <ext xmlns:x14="http://schemas.microsoft.com/office/spreadsheetml/2009/9/main" uri="{B025F937-C7B1-47D3-B67F-A62EFF666E3E}">
          <x14:id>{166A5C20-405F-405B-8096-17FC7B901E09}</x14:id>
        </ext>
      </extLst>
    </cfRule>
  </conditionalFormatting>
  <conditionalFormatting sqref="W110:AA110">
    <cfRule type="expression" dxfId="88" priority="1493" stopIfTrue="1">
      <formula>AND(COUNT($W$120:$AC$133)&gt;0,COUNT(W$110)=0)</formula>
    </cfRule>
  </conditionalFormatting>
  <conditionalFormatting sqref="W98:AA109">
    <cfRule type="expression" dxfId="87" priority="1495" stopIfTrue="1">
      <formula>AND(COUNT($W$120:$AC$133)&gt;0,COUNT(W$98:W$109)=0)</formula>
    </cfRule>
  </conditionalFormatting>
  <conditionalFormatting sqref="Z90:AD90 C90 Q90 T90:U90">
    <cfRule type="expression" dxfId="86" priority="1497" stopIfTrue="1">
      <formula>AND(COUNT($C$77:$AC$90)&gt;0,COUNT(C$90)=0)</formula>
    </cfRule>
    <cfRule type="dataBar" priority="1498">
      <dataBar>
        <cfvo type="num" val="0"/>
        <cfvo type="num" val="$AE$90"/>
        <color rgb="FF638EC6"/>
      </dataBar>
      <extLst>
        <ext xmlns:x14="http://schemas.microsoft.com/office/spreadsheetml/2009/9/main" uri="{B025F937-C7B1-47D3-B67F-A62EFF666E3E}">
          <x14:id>{18BC1A3E-342A-4000-9E13-70D89237A909}</x14:id>
        </ext>
      </extLst>
    </cfRule>
  </conditionalFormatting>
  <conditionalFormatting sqref="W111:AA111">
    <cfRule type="expression" dxfId="85" priority="1507" stopIfTrue="1">
      <formula>AND(COUNT($W$120:$AC$133)&gt;0,COUNT(W$111)=0)</formula>
    </cfRule>
  </conditionalFormatting>
  <conditionalFormatting sqref="L34:L46">
    <cfRule type="expression" dxfId="84" priority="1520" stopIfTrue="1">
      <formula>AND(COUNT($C$34:$Q$46)&gt;0,COUNT(L$34:L$46)=0)</formula>
    </cfRule>
  </conditionalFormatting>
  <conditionalFormatting sqref="M98:O109">
    <cfRule type="dataBar" priority="88">
      <dataBar>
        <cfvo type="num" val="0"/>
        <cfvo type="num" val="MAX($M$98:$O$109)"/>
        <color rgb="FF638EC6"/>
      </dataBar>
      <extLst>
        <ext xmlns:x14="http://schemas.microsoft.com/office/spreadsheetml/2009/9/main" uri="{B025F937-C7B1-47D3-B67F-A62EFF666E3E}">
          <x14:id>{11BB77B8-D881-493E-887A-6E7B91944894}</x14:id>
        </ext>
      </extLst>
    </cfRule>
  </conditionalFormatting>
  <conditionalFormatting sqref="M110:O110">
    <cfRule type="dataBar" priority="1403">
      <dataBar>
        <cfvo type="num" val="0"/>
        <cfvo type="num" val="MAX($M$110:$O$110)"/>
        <color rgb="FF638EC6"/>
      </dataBar>
      <extLst>
        <ext xmlns:x14="http://schemas.microsoft.com/office/spreadsheetml/2009/9/main" uri="{B025F937-C7B1-47D3-B67F-A62EFF666E3E}">
          <x14:id>{D3F3B90A-B122-4A38-B44F-7B5CACBED9DA}</x14:id>
        </ext>
      </extLst>
    </cfRule>
  </conditionalFormatting>
  <conditionalFormatting sqref="D55:D67">
    <cfRule type="expression" dxfId="83" priority="1547" stopIfTrue="1">
      <formula>AND(COUNT($C$55:$P$67)&gt;0,COUNT(D$55:D$67)=0)</formula>
    </cfRule>
  </conditionalFormatting>
  <conditionalFormatting sqref="C34:C46">
    <cfRule type="expression" dxfId="82" priority="1550">
      <formula>AND(COUNT($C$34:$P$46)&gt;0,COUNT(C$34:C$46)=0)</formula>
    </cfRule>
  </conditionalFormatting>
  <conditionalFormatting sqref="R13">
    <cfRule type="expression" dxfId="81" priority="85" stopIfTrue="1">
      <formula>data_Level_CycleAccounting="Lv2"</formula>
    </cfRule>
    <cfRule type="expression" dxfId="80" priority="86" stopIfTrue="1">
      <formula>data_Level_CycleAccounting&lt;&gt;"Lv2"</formula>
    </cfRule>
  </conditionalFormatting>
  <conditionalFormatting sqref="S13">
    <cfRule type="expression" dxfId="79" priority="83" stopIfTrue="1">
      <formula>data_Level_CycleAccounting="Lv2"</formula>
    </cfRule>
    <cfRule type="expression" dxfId="78" priority="84" stopIfTrue="1">
      <formula>data_Level_CycleAccounting&lt;&gt;"Lv2"</formula>
    </cfRule>
  </conditionalFormatting>
  <conditionalFormatting sqref="T13">
    <cfRule type="expression" dxfId="77" priority="81" stopIfTrue="1">
      <formula>data_Level_CycleAccounting="Lv2"</formula>
    </cfRule>
    <cfRule type="expression" dxfId="76" priority="82" stopIfTrue="1">
      <formula>data_Level_CycleAccounting&lt;&gt;"Lv2"</formula>
    </cfRule>
  </conditionalFormatting>
  <conditionalFormatting sqref="U13">
    <cfRule type="expression" dxfId="75" priority="79" stopIfTrue="1">
      <formula>data_Level_CycleAccounting="Lv2"</formula>
    </cfRule>
    <cfRule type="expression" dxfId="74" priority="80" stopIfTrue="1">
      <formula>data_Level_CycleAccounting&lt;&gt;"Lv2"</formula>
    </cfRule>
  </conditionalFormatting>
  <conditionalFormatting sqref="V13">
    <cfRule type="expression" dxfId="73" priority="77" stopIfTrue="1">
      <formula>data_Level_CycleAccounting="Lv2"</formula>
    </cfRule>
    <cfRule type="expression" dxfId="72" priority="78" stopIfTrue="1">
      <formula>data_Level_CycleAccounting&lt;&gt;"Lv2"</formula>
    </cfRule>
  </conditionalFormatting>
  <conditionalFormatting sqref="W13">
    <cfRule type="expression" dxfId="71" priority="75" stopIfTrue="1">
      <formula>data_Level_CycleAccounting="Lv2"</formula>
    </cfRule>
    <cfRule type="expression" dxfId="70" priority="76" stopIfTrue="1">
      <formula>data_Level_CycleAccounting&lt;&gt;"Lv2"</formula>
    </cfRule>
  </conditionalFormatting>
  <conditionalFormatting sqref="X13">
    <cfRule type="expression" dxfId="69" priority="73" stopIfTrue="1">
      <formula>data_Level_CycleAccounting="Lv2"</formula>
    </cfRule>
    <cfRule type="expression" dxfId="68" priority="74" stopIfTrue="1">
      <formula>data_Level_CycleAccounting&lt;&gt;"Lv2"</formula>
    </cfRule>
  </conditionalFormatting>
  <conditionalFormatting sqref="Y13">
    <cfRule type="expression" dxfId="67" priority="71" stopIfTrue="1">
      <formula>data_Level_CycleAccounting="Lv2"</formula>
    </cfRule>
    <cfRule type="expression" dxfId="66" priority="72" stopIfTrue="1">
      <formula>data_Level_CycleAccounting&lt;&gt;"Lv2"</formula>
    </cfRule>
  </conditionalFormatting>
  <conditionalFormatting sqref="Z13">
    <cfRule type="expression" dxfId="65" priority="69" stopIfTrue="1">
      <formula>data_Level_CycleAccounting="Lv2"</formula>
    </cfRule>
    <cfRule type="expression" dxfId="64" priority="70" stopIfTrue="1">
      <formula>data_Level_CycleAccounting&lt;&gt;"Lv2"</formula>
    </cfRule>
  </conditionalFormatting>
  <conditionalFormatting sqref="AA13">
    <cfRule type="expression" dxfId="63" priority="67" stopIfTrue="1">
      <formula>data_Level_CycleAccounting="Lv2"</formula>
    </cfRule>
    <cfRule type="expression" dxfId="62" priority="68" stopIfTrue="1">
      <formula>data_Level_CycleAccounting&lt;&gt;"Lv2"</formula>
    </cfRule>
  </conditionalFormatting>
  <conditionalFormatting sqref="AB13">
    <cfRule type="expression" dxfId="61" priority="65" stopIfTrue="1">
      <formula>data_Level_CycleAccounting="Lv2"</formula>
    </cfRule>
    <cfRule type="expression" dxfId="60" priority="66" stopIfTrue="1">
      <formula>data_Level_CycleAccounting&lt;&gt;"Lv2"</formula>
    </cfRule>
  </conditionalFormatting>
  <conditionalFormatting sqref="AC13">
    <cfRule type="expression" dxfId="59" priority="63" stopIfTrue="1">
      <formula>data_Level_CycleAccounting="Lv2"</formula>
    </cfRule>
    <cfRule type="expression" dxfId="58" priority="64" stopIfTrue="1">
      <formula>data_Level_CycleAccounting&lt;&gt;"Lv2"</formula>
    </cfRule>
  </conditionalFormatting>
  <conditionalFormatting sqref="AD13">
    <cfRule type="expression" dxfId="57" priority="61" stopIfTrue="1">
      <formula>data_Level_CycleAccounting="Lv2"</formula>
    </cfRule>
    <cfRule type="expression" dxfId="56" priority="62" stopIfTrue="1">
      <formula>data_Level_CycleAccounting&lt;&gt;"Lv2"</formula>
    </cfRule>
  </conditionalFormatting>
  <conditionalFormatting sqref="AE13">
    <cfRule type="expression" dxfId="55" priority="59" stopIfTrue="1">
      <formula>data_Level_CycleAccounting="Lv2"</formula>
    </cfRule>
    <cfRule type="expression" dxfId="54" priority="60" stopIfTrue="1">
      <formula>data_Level_CycleAccounting&lt;&gt;"Lv2"</formula>
    </cfRule>
  </conditionalFormatting>
  <conditionalFormatting sqref="AF13">
    <cfRule type="expression" dxfId="53" priority="57" stopIfTrue="1">
      <formula>data_Level_CycleAccounting="Lv2"</formula>
    </cfRule>
    <cfRule type="expression" dxfId="52" priority="58" stopIfTrue="1">
      <formula>data_Level_CycleAccounting&lt;&gt;"Lv2"</formula>
    </cfRule>
  </conditionalFormatting>
  <conditionalFormatting sqref="AG13">
    <cfRule type="expression" dxfId="51" priority="55" stopIfTrue="1">
      <formula>data_Level_CycleAccounting="Lv2"</formula>
    </cfRule>
    <cfRule type="expression" dxfId="50" priority="56" stopIfTrue="1">
      <formula>data_Level_CycleAccounting&lt;&gt;"Lv2"</formula>
    </cfRule>
  </conditionalFormatting>
  <conditionalFormatting sqref="AH13">
    <cfRule type="expression" dxfId="49" priority="53" stopIfTrue="1">
      <formula>data_Level_CycleAccounting="Lv2"</formula>
    </cfRule>
    <cfRule type="expression" dxfId="48" priority="54" stopIfTrue="1">
      <formula>data_Level_CycleAccounting&lt;&gt;"Lv2"</formula>
    </cfRule>
  </conditionalFormatting>
  <conditionalFormatting sqref="AI13">
    <cfRule type="expression" dxfId="47" priority="51" stopIfTrue="1">
      <formula>data_Level_CycleAccounting="Lv2"</formula>
    </cfRule>
    <cfRule type="expression" dxfId="46" priority="52" stopIfTrue="1">
      <formula>data_Level_CycleAccounting&lt;&gt;"Lv2"</formula>
    </cfRule>
  </conditionalFormatting>
  <conditionalFormatting sqref="AJ13">
    <cfRule type="expression" dxfId="45" priority="49" stopIfTrue="1">
      <formula>data_Level_CycleAccounting="Lv2"</formula>
    </cfRule>
    <cfRule type="expression" dxfId="44" priority="50" stopIfTrue="1">
      <formula>data_Level_CycleAccounting&lt;&gt;"Lv2"</formula>
    </cfRule>
  </conditionalFormatting>
  <conditionalFormatting sqref="AK13">
    <cfRule type="expression" dxfId="43" priority="47" stopIfTrue="1">
      <formula>data_Level_CycleAccounting="Lv2"</formula>
    </cfRule>
    <cfRule type="expression" dxfId="42" priority="48" stopIfTrue="1">
      <formula>data_Level_CycleAccounting&lt;&gt;"Lv2"</formula>
    </cfRule>
  </conditionalFormatting>
  <conditionalFormatting sqref="G55:G67">
    <cfRule type="expression" dxfId="41" priority="12" stopIfTrue="1">
      <formula>AND(COUNT($C$55:$P$67)&gt;0,COUNT(G$55:G$67)=0)</formula>
    </cfRule>
    <cfRule type="containsBlanks" priority="29" stopIfTrue="1">
      <formula>LEN(TRIM(G55))=0</formula>
    </cfRule>
  </conditionalFormatting>
  <conditionalFormatting sqref="L55:L67">
    <cfRule type="expression" dxfId="40" priority="11" stopIfTrue="1">
      <formula>AND(COUNT($C$55:$P$67)&gt;0,COUNT(L$55:L$67)=0)</formula>
    </cfRule>
    <cfRule type="containsBlanks" priority="23" stopIfTrue="1">
      <formula>LEN(TRIM(L55))=0</formula>
    </cfRule>
  </conditionalFormatting>
  <conditionalFormatting sqref="O55:O67">
    <cfRule type="expression" dxfId="39" priority="19" stopIfTrue="1">
      <formula>AND(COUNT($C$55:$P$67)&gt;0,COUNT(O$55:O$67)=0)</formula>
    </cfRule>
    <cfRule type="containsBlanks" priority="20" stopIfTrue="1">
      <formula>LEN(TRIM(O55))=0</formula>
    </cfRule>
  </conditionalFormatting>
  <conditionalFormatting sqref="P55:P67">
    <cfRule type="expression" dxfId="38" priority="17" stopIfTrue="1">
      <formula>AND(COUNT($C$55:$P$67)&gt;0,COUNT(P$55:P$67)=0)</formula>
    </cfRule>
    <cfRule type="containsBlanks" priority="18" stopIfTrue="1">
      <formula>LEN(TRIM(P55))=0</formula>
    </cfRule>
  </conditionalFormatting>
  <conditionalFormatting sqref="I34:I46">
    <cfRule type="expression" dxfId="37" priority="40" stopIfTrue="1">
      <formula>AND(COUNT($C$34:$Q$46)&gt;0,COUNT(I$34:I$46)=0)</formula>
    </cfRule>
    <cfRule type="containsBlanks" priority="41" stopIfTrue="1">
      <formula>LEN(TRIM(I34))=0</formula>
    </cfRule>
  </conditionalFormatting>
  <conditionalFormatting sqref="G34:G46">
    <cfRule type="expression" dxfId="36" priority="1283" stopIfTrue="1">
      <formula>AND(COUNT($C$34:$P$46)&gt;0,COUNT(G$34:G$46)=0)</formula>
    </cfRule>
    <cfRule type="containsBlanks" priority="1289" stopIfTrue="1">
      <formula>LEN(TRIM(G34))=0</formula>
    </cfRule>
  </conditionalFormatting>
  <conditionalFormatting sqref="C55:C67">
    <cfRule type="expression" dxfId="35" priority="792" stopIfTrue="1">
      <formula>AND(COUNT($C$55:$P$67)&gt;0,COUNT(C$55:C$67)=0)</formula>
    </cfRule>
    <cfRule type="containsBlanks" priority="794" stopIfTrue="1">
      <formula>LEN(TRIM(C55))=0</formula>
    </cfRule>
  </conditionalFormatting>
  <conditionalFormatting sqref="H34:H46">
    <cfRule type="expression" dxfId="34" priority="42" stopIfTrue="1">
      <formula>AND(COUNT($C$34:$Q$46)&gt;0,COUNT(H$34:H$46)=0)</formula>
    </cfRule>
    <cfRule type="containsBlanks" priority="43" stopIfTrue="1">
      <formula>LEN(TRIM(H34))=0</formula>
    </cfRule>
  </conditionalFormatting>
  <conditionalFormatting sqref="P34:P46">
    <cfRule type="expression" dxfId="33" priority="33" stopIfTrue="1">
      <formula>AND(COUNT($C$34:$Q$46)&gt;0,COUNT(P$34:P$46)=0)</formula>
    </cfRule>
    <cfRule type="containsBlanks" priority="34" stopIfTrue="1">
      <formula>LEN(TRIM(P34))=0</formula>
    </cfRule>
  </conditionalFormatting>
  <conditionalFormatting sqref="F55:F67">
    <cfRule type="expression" dxfId="32" priority="30" stopIfTrue="1">
      <formula>AND(COUNT($C$55:$P$67)&gt;0,COUNT(F$55:F$67)=0)</formula>
    </cfRule>
    <cfRule type="containsBlanks" priority="31" stopIfTrue="1">
      <formula>LEN(TRIM(F55))=0</formula>
    </cfRule>
  </conditionalFormatting>
  <conditionalFormatting sqref="K55:K67">
    <cfRule type="expression" dxfId="31" priority="24" stopIfTrue="1">
      <formula>AND(COUNT($C$55:$P$67)&gt;0,COUNT(K$55:K$67)=0)</formula>
    </cfRule>
    <cfRule type="containsBlanks" priority="25" stopIfTrue="1">
      <formula>LEN(TRIM(K55))=0</formula>
    </cfRule>
  </conditionalFormatting>
  <conditionalFormatting sqref="D34:D46">
    <cfRule type="expression" dxfId="30" priority="46">
      <formula>AND(COUNT($C$34:$P$46)&gt;0,COUNT(D$34:D$46)=0)</formula>
    </cfRule>
  </conditionalFormatting>
  <conditionalFormatting sqref="E34:E46">
    <cfRule type="expression" dxfId="29" priority="45">
      <formula>AND(COUNT($C$34:$P$46)&gt;0,COUNT(E$34:E$46)=0)</formula>
    </cfRule>
  </conditionalFormatting>
  <conditionalFormatting sqref="F34:F46">
    <cfRule type="expression" dxfId="28" priority="44">
      <formula>AND(COUNT($C$34:$P$46)&gt;0,COUNT(F$34:F$46)=0)</formula>
    </cfRule>
  </conditionalFormatting>
  <conditionalFormatting sqref="J34:J46">
    <cfRule type="expression" dxfId="27" priority="39">
      <formula>AND(COUNT($C$34:$Q$46)&gt;0,COUNT(J$34:J$46)=0)</formula>
    </cfRule>
  </conditionalFormatting>
  <conditionalFormatting sqref="K34:K46">
    <cfRule type="expression" dxfId="26" priority="38">
      <formula>AND(COUNT($C$34:$Q$46)&gt;0,COUNT(K$34:K$46)=0)</formula>
    </cfRule>
  </conditionalFormatting>
  <conditionalFormatting sqref="M34:M46">
    <cfRule type="expression" dxfId="25" priority="37">
      <formula>AND(COUNT($C$34:$Q$46)&gt;0,COUNT(M$34:M$46)=0)</formula>
    </cfRule>
  </conditionalFormatting>
  <conditionalFormatting sqref="N34:N46">
    <cfRule type="expression" dxfId="24" priority="36">
      <formula>AND(COUNT($C$34:$Q$46)&gt;0,COUNT(N$34:N$46)=0)</formula>
    </cfRule>
  </conditionalFormatting>
  <conditionalFormatting sqref="O34:O46">
    <cfRule type="expression" dxfId="23" priority="35">
      <formula>AND(COUNT($C$34:$Q$46)&gt;0,COUNT(O$34:O$46)=0)</formula>
    </cfRule>
  </conditionalFormatting>
  <conditionalFormatting sqref="E55:E67">
    <cfRule type="expression" dxfId="22" priority="32">
      <formula>AND(COUNT($C$55:$P$67)&gt;0,COUNT(E$55:E$67)=0)</formula>
    </cfRule>
  </conditionalFormatting>
  <conditionalFormatting sqref="H55:H67">
    <cfRule type="expression" dxfId="21" priority="28">
      <formula>AND(COUNT($C$55:$P$67)&gt;0,COUNT(H$55:H$67)=0)</formula>
    </cfRule>
  </conditionalFormatting>
  <conditionalFormatting sqref="I55:I67">
    <cfRule type="expression" dxfId="20" priority="27">
      <formula>AND(COUNT($C$55:$P$67)&gt;0,COUNT(I$55:I$67)=0)</formula>
    </cfRule>
  </conditionalFormatting>
  <conditionalFormatting sqref="J55:J67">
    <cfRule type="expression" dxfId="19" priority="26">
      <formula>AND(COUNT($C$55:$P$67)&gt;0,COUNT(J$55:J$67)=0)</formula>
    </cfRule>
  </conditionalFormatting>
  <conditionalFormatting sqref="M55:M67">
    <cfRule type="expression" dxfId="18" priority="22">
      <formula>AND(COUNT($C$55:$P$67)&gt;0,COUNT(M$55:M$67)=0)</formula>
    </cfRule>
  </conditionalFormatting>
  <conditionalFormatting sqref="N55:N67">
    <cfRule type="expression" dxfId="17" priority="21">
      <formula>AND(COUNT($C$55:$P$67)&gt;0,COUNT(N$55:N$67)=0)</formula>
    </cfRule>
  </conditionalFormatting>
  <conditionalFormatting sqref="J115:P115 J113:J114 N113:P114">
    <cfRule type="dataBar" priority="16">
      <dataBar>
        <cfvo type="min"/>
        <cfvo type="max"/>
        <color rgb="FF638EC6"/>
      </dataBar>
      <extLst>
        <ext xmlns:x14="http://schemas.microsoft.com/office/spreadsheetml/2009/9/main" uri="{B025F937-C7B1-47D3-B67F-A62EFF666E3E}">
          <x14:id>{208D7603-DBDD-4CB2-BBBB-A436AC5DDCED}</x14:id>
        </ext>
      </extLst>
    </cfRule>
  </conditionalFormatting>
  <conditionalFormatting sqref="L14:L26">
    <cfRule type="expression" dxfId="16" priority="13">
      <formula>AND(COUNT($C$14:$N$26)&gt;0,COUNT(L$14:L$26)=0)</formula>
    </cfRule>
  </conditionalFormatting>
  <conditionalFormatting sqref="I54">
    <cfRule type="expression" dxfId="15" priority="9">
      <formula>data_Level_Cache="Lv2"</formula>
    </cfRule>
    <cfRule type="expression" dxfId="14" priority="10">
      <formula>data_Level_Cache&lt;&gt;"Lv2"</formula>
    </cfRule>
  </conditionalFormatting>
  <conditionalFormatting sqref="N54">
    <cfRule type="expression" dxfId="13" priority="3">
      <formula>data_Level_Cache="Lv2"</formula>
    </cfRule>
    <cfRule type="expression" dxfId="12" priority="4">
      <formula>data_Level_Cache&lt;&gt;"Lv2"</formula>
    </cfRule>
  </conditionalFormatting>
  <conditionalFormatting sqref="C115:F116">
    <cfRule type="dataBar" priority="1">
      <dataBar>
        <cfvo type="min"/>
        <cfvo type="max"/>
        <color rgb="FF638EC6"/>
      </dataBar>
      <extLst>
        <ext xmlns:x14="http://schemas.microsoft.com/office/spreadsheetml/2009/9/main" uri="{B025F937-C7B1-47D3-B67F-A62EFF666E3E}">
          <x14:id>{BF7D822A-3850-4E13-BB42-C0BC8D692DF3}</x14:id>
        </ext>
      </extLst>
    </cfRule>
  </conditionalFormatting>
  <pageMargins left="0.23622047244094491" right="0.23622047244094491" top="0.23622047244094491" bottom="0.23622047244094491" header="0.11811023622047245" footer="0.11811023622047245"/>
  <pageSetup paperSize="8" scale="40" fitToHeight="2" orientation="landscape" r:id="rId1"/>
  <headerFooter>
    <oddFooter>&amp;RCopyright 2019 FUJITSU LIMITED</oddFooter>
  </headerFooter>
  <drawing r:id="rId2"/>
  <extLst>
    <ext xmlns:x14="http://schemas.microsoft.com/office/spreadsheetml/2009/9/main" uri="{78C0D931-6437-407d-A8EE-F0AAD7539E65}">
      <x14:conditionalFormattings>
        <x14:conditionalFormatting xmlns:xm="http://schemas.microsoft.com/office/excel/2006/main">
          <x14:cfRule type="dataBar" id="{EB2D2C1E-F52C-42D8-BAC4-F9C54099E6AC}">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X90</xm:sqref>
        </x14:conditionalFormatting>
        <x14:conditionalFormatting xmlns:xm="http://schemas.microsoft.com/office/excel/2006/main">
          <x14:cfRule type="dataBar" id="{AC40FA28-6629-4806-AC87-84290C3F33CC}">
            <x14:dataBar minLength="0" maxLength="100" border="1" negativeBarBorderColorSameAsPositive="0">
              <x14:cfvo type="num">
                <xm:f>0</xm:f>
              </x14:cfvo>
              <x14:cfvo type="num">
                <xm:f>MAX($AE$77:$AE$88)</xm:f>
              </x14:cfvo>
              <x14:borderColor rgb="FF638EC6"/>
              <x14:negativeFillColor rgb="FFFF0000"/>
              <x14:negativeBorderColor rgb="FFFF0000"/>
              <x14:axisColor rgb="FF000000"/>
            </x14:dataBar>
          </x14:cfRule>
          <xm:sqref>C77:AD88</xm:sqref>
        </x14:conditionalFormatting>
        <x14:conditionalFormatting xmlns:xm="http://schemas.microsoft.com/office/excel/2006/main">
          <x14:cfRule type="dataBar" id="{166A5C20-405F-405B-8096-17FC7B901E09}">
            <x14:dataBar minLength="0" maxLength="100" border="1" negativeBarBorderColorSameAsPositive="0">
              <x14:cfvo type="num">
                <xm:f>0</xm:f>
              </x14:cfvo>
              <x14:cfvo type="num">
                <xm:f>$AE$89</xm:f>
              </x14:cfvo>
              <x14:borderColor rgb="FF638EC6"/>
              <x14:negativeFillColor rgb="FFFF0000"/>
              <x14:negativeBorderColor rgb="FFFF0000"/>
              <x14:axisColor rgb="FF000000"/>
            </x14:dataBar>
          </x14:cfRule>
          <xm:sqref>C89:AD89</xm:sqref>
        </x14:conditionalFormatting>
        <x14:conditionalFormatting xmlns:xm="http://schemas.microsoft.com/office/excel/2006/main">
          <x14:cfRule type="dataBar" id="{18BC1A3E-342A-4000-9E13-70D89237A909}">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Z90:AD90 C90 Q90 T90:U90</xm:sqref>
        </x14:conditionalFormatting>
        <x14:conditionalFormatting xmlns:xm="http://schemas.microsoft.com/office/excel/2006/main">
          <x14:cfRule type="dataBar" id="{11BB77B8-D881-493E-887A-6E7B91944894}">
            <x14:dataBar minLength="0" maxLength="100" border="1" negativeBarBorderColorSameAsPositive="0">
              <x14:cfvo type="num">
                <xm:f>0</xm:f>
              </x14:cfvo>
              <x14:cfvo type="num">
                <xm:f>MAX($M$98:$O$109)</xm:f>
              </x14:cfvo>
              <x14:borderColor rgb="FF638EC6"/>
              <x14:negativeFillColor rgb="FFFF0000"/>
              <x14:negativeBorderColor rgb="FFFF0000"/>
              <x14:axisColor rgb="FF000000"/>
            </x14:dataBar>
          </x14:cfRule>
          <xm:sqref>M98:O109</xm:sqref>
        </x14:conditionalFormatting>
        <x14:conditionalFormatting xmlns:xm="http://schemas.microsoft.com/office/excel/2006/main">
          <x14:cfRule type="dataBar" id="{D3F3B90A-B122-4A38-B44F-7B5CACBED9DA}">
            <x14:dataBar minLength="0" maxLength="100" border="1" negativeBarBorderColorSameAsPositive="0">
              <x14:cfvo type="num">
                <xm:f>0</xm:f>
              </x14:cfvo>
              <x14:cfvo type="num">
                <xm:f>MAX($M$110:$O$110)</xm:f>
              </x14:cfvo>
              <x14:borderColor rgb="FF638EC6"/>
              <x14:negativeFillColor rgb="FFFF0000"/>
              <x14:negativeBorderColor rgb="FFFF0000"/>
              <x14:axisColor rgb="FF000000"/>
            </x14:dataBar>
          </x14:cfRule>
          <xm:sqref>M110:O110</xm:sqref>
        </x14:conditionalFormatting>
        <x14:conditionalFormatting xmlns:xm="http://schemas.microsoft.com/office/excel/2006/main">
          <x14:cfRule type="dataBar" id="{208D7603-DBDD-4CB2-BBBB-A436AC5DDCED}">
            <x14:dataBar minLength="0" maxLength="100" border="1" negativeBarBorderColorSameAsPositive="0">
              <x14:cfvo type="autoMin"/>
              <x14:cfvo type="autoMax"/>
              <x14:borderColor rgb="FF638EC6"/>
              <x14:negativeFillColor rgb="FFFF0000"/>
              <x14:negativeBorderColor rgb="FFFF0000"/>
              <x14:axisColor rgb="FF000000"/>
            </x14:dataBar>
          </x14:cfRule>
          <xm:sqref>J115:P115 J113:J114 N113:P114</xm:sqref>
        </x14:conditionalFormatting>
        <x14:conditionalFormatting xmlns:xm="http://schemas.microsoft.com/office/excel/2006/main">
          <x14:cfRule type="dataBar" id="{BF7D822A-3850-4E13-BB42-C0BC8D692DF3}">
            <x14:dataBar minLength="0" maxLength="100" border="1" negativeBarBorderColorSameAsPositive="0">
              <x14:cfvo type="autoMin"/>
              <x14:cfvo type="autoMax"/>
              <x14:borderColor rgb="FF638EC6"/>
              <x14:negativeFillColor rgb="FFFF0000"/>
              <x14:negativeBorderColor rgb="FFFF0000"/>
              <x14:axisColor rgb="FF000000"/>
            </x14:dataBar>
          </x14:cfRule>
          <xm:sqref>C115:F116</xm:sqref>
        </x14:conditionalFormatting>
        <x14:conditionalFormatting xmlns:xm="http://schemas.microsoft.com/office/excel/2006/main">
          <x14:cfRule type="expression" priority="1295" id="{D8718185-CF2A-463E-B016-ADC3CDD74BB9}">
            <xm:f>$F55&gt;=data!$S$12</xm:f>
            <x14:dxf>
              <fill>
                <patternFill>
                  <bgColor rgb="FFFFCCFF"/>
                </patternFill>
              </fill>
            </x14:dxf>
          </x14:cfRule>
          <xm:sqref>G55:G67</xm:sqref>
        </x14:conditionalFormatting>
        <x14:conditionalFormatting xmlns:xm="http://schemas.microsoft.com/office/excel/2006/main">
          <x14:cfRule type="expression" priority="1291" id="{0A28177C-0B85-4A52-9A6D-DF59E65B96AF}">
            <xm:f>$K55&gt;=data!$S$15</xm:f>
            <x14:dxf>
              <fill>
                <patternFill>
                  <bgColor rgb="FFFFCCFF"/>
                </patternFill>
              </fill>
            </x14:dxf>
          </x14:cfRule>
          <xm:sqref>L55:L67</xm:sqref>
        </x14:conditionalFormatting>
        <x14:conditionalFormatting xmlns:xm="http://schemas.microsoft.com/office/excel/2006/main">
          <x14:cfRule type="cellIs" priority="1118" stopIfTrue="1" operator="lessThanOrEqual" id="{43EDA337-44F7-488A-AA40-325B1DF8AA4E}">
            <xm:f>data!$S$14</xm:f>
            <x14:dxf/>
          </x14:cfRule>
          <xm:sqref>L55:L67</xm:sqref>
        </x14:conditionalFormatting>
        <x14:conditionalFormatting xmlns:xm="http://schemas.microsoft.com/office/excel/2006/main">
          <x14:cfRule type="cellIs" priority="1280" operator="greaterThan" id="{A969F49F-3E40-43F6-A0D1-EA3AEFB8E435}">
            <xm:f>data!$S$16</xm:f>
            <x14:dxf>
              <fill>
                <patternFill>
                  <bgColor rgb="FFFFCCFF"/>
                </patternFill>
              </fill>
            </x14:dxf>
          </x14:cfRule>
          <xm:sqref>O55:O67</xm:sqref>
        </x14:conditionalFormatting>
        <x14:conditionalFormatting xmlns:xm="http://schemas.microsoft.com/office/excel/2006/main">
          <x14:cfRule type="cellIs" priority="1111" operator="greaterThan" id="{00CCDA28-5C29-42AC-8DFD-44050C8587BA}">
            <xm:f>data!$S$17</xm:f>
            <x14:dxf>
              <fill>
                <patternFill>
                  <bgColor rgb="FFFFCCFF"/>
                </patternFill>
              </fill>
            </x14:dxf>
          </x14:cfRule>
          <xm:sqref>P55:P67</xm:sqref>
        </x14:conditionalFormatting>
        <x14:conditionalFormatting xmlns:xm="http://schemas.microsoft.com/office/excel/2006/main">
          <x14:cfRule type="cellIs" priority="1282" stopIfTrue="1" operator="lessThanOrEqual" id="{AEC5FF6E-774D-4565-8A4C-82CEF81ACBC6}">
            <xm:f>data!$S$11</xm:f>
            <x14:dxf/>
          </x14:cfRule>
          <xm:sqref>G55:G67</xm:sqref>
        </x14:conditionalFormatting>
        <x14:conditionalFormatting xmlns:xm="http://schemas.microsoft.com/office/excel/2006/main">
          <x14:cfRule type="cellIs" priority="1362" operator="greaterThan" id="{AB40D8FE-1BAA-4C58-9EA6-D541A3E68265}">
            <xm:f>data!$S$7</xm:f>
            <x14:dxf>
              <fill>
                <patternFill>
                  <bgColor rgb="FFFFCCFF"/>
                </patternFill>
              </fill>
            </x14:dxf>
          </x14:cfRule>
          <xm:sqref>I34:I46</xm:sqref>
        </x14:conditionalFormatting>
        <x14:conditionalFormatting xmlns:xm="http://schemas.microsoft.com/office/excel/2006/main">
          <x14:cfRule type="cellIs" priority="1088" operator="greaterThan" id="{2CDCCECE-3D3A-4F75-87F0-9B5B6AC7621F}">
            <xm:f>data!$S$4</xm:f>
            <x14:dxf>
              <fill>
                <patternFill>
                  <fgColor indexed="64"/>
                  <bgColor rgb="FFCCFFFF"/>
                </patternFill>
              </fill>
            </x14:dxf>
          </x14:cfRule>
          <xm:sqref>E14:E26</xm:sqref>
        </x14:conditionalFormatting>
        <x14:conditionalFormatting xmlns:xm="http://schemas.microsoft.com/office/excel/2006/main">
          <x14:cfRule type="cellIs" priority="1363" operator="greaterThan" id="{E50C6825-5A1F-46C2-9E0B-0E6EA8E4BDC1}">
            <xm:f>data!$S$5</xm:f>
            <x14:dxf>
              <fill>
                <patternFill>
                  <bgColor rgb="FFFFCCFF"/>
                </patternFill>
              </fill>
            </x14:dxf>
          </x14:cfRule>
          <xm:sqref>G34:G46</xm:sqref>
        </x14:conditionalFormatting>
        <x14:conditionalFormatting xmlns:xm="http://schemas.microsoft.com/office/excel/2006/main">
          <x14:cfRule type="cellIs" priority="1540" operator="greaterThan" id="{39DD13AA-75CA-429A-AC0C-6E61050569F3}">
            <xm:f>data!$S$9</xm:f>
            <x14:dxf>
              <fill>
                <patternFill>
                  <bgColor rgb="FFFFCCFF"/>
                </patternFill>
              </fill>
            </x14:dxf>
          </x14:cfRule>
          <xm:sqref>C55:C67</xm:sqref>
        </x14:conditionalFormatting>
        <x14:conditionalFormatting xmlns:xm="http://schemas.microsoft.com/office/excel/2006/main">
          <x14:cfRule type="cellIs" priority="1552" operator="greaterThan" id="{9A5AC7E6-C355-47F6-B3B7-1734644A4152}">
            <xm:f>data!$S$6</xm:f>
            <x14:dxf>
              <fill>
                <patternFill>
                  <bgColor rgb="FFFFCCFF"/>
                </patternFill>
              </fill>
            </x14:dxf>
          </x14:cfRule>
          <xm:sqref>H34:H46</xm:sqref>
        </x14:conditionalFormatting>
        <x14:conditionalFormatting xmlns:xm="http://schemas.microsoft.com/office/excel/2006/main">
          <x14:cfRule type="cellIs" priority="1553" operator="greaterThan" id="{BEE3FE52-BA31-4212-B129-715A02AC8B5C}">
            <xm:f>data!$S$8</xm:f>
            <x14:dxf>
              <fill>
                <patternFill>
                  <bgColor rgb="FFFFCCFF"/>
                </patternFill>
              </fill>
            </x14:dxf>
          </x14:cfRule>
          <xm:sqref>P34:P46</xm:sqref>
        </x14:conditionalFormatting>
        <x14:conditionalFormatting xmlns:xm="http://schemas.microsoft.com/office/excel/2006/main">
          <x14:cfRule type="cellIs" priority="1539" operator="greaterThan" id="{DBDB8F05-9A89-4D22-9060-450278CEFB17}">
            <xm:f>data!$S$10</xm:f>
            <x14:dxf>
              <fill>
                <patternFill>
                  <bgColor rgb="FFFFCCFF"/>
                </patternFill>
              </fill>
            </x14:dxf>
          </x14:cfRule>
          <xm:sqref>F55:F67</xm:sqref>
        </x14:conditionalFormatting>
        <x14:conditionalFormatting xmlns:xm="http://schemas.microsoft.com/office/excel/2006/main">
          <x14:cfRule type="cellIs" priority="1296" operator="greaterThan" id="{ACF14B8F-524C-460C-96E4-91B0F7F8763C}">
            <xm:f>data!$S$13</xm:f>
            <x14:dxf>
              <fill>
                <patternFill>
                  <bgColor rgb="FFFFCCFF"/>
                </patternFill>
              </fill>
            </x14:dxf>
          </x14:cfRule>
          <xm:sqref>K55:K67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2"/>
  <dimension ref="A1:WS88"/>
  <sheetViews>
    <sheetView zoomScale="80" zoomScaleNormal="80" workbookViewId="0"/>
  </sheetViews>
  <sheetFormatPr defaultColWidth="8.75" defaultRowHeight="15.75" x14ac:dyDescent="0.15"/>
  <cols>
    <col min="1" max="1" width="2.875" style="252" customWidth="1"/>
    <col min="2" max="2" width="32.75" style="252" customWidth="1"/>
    <col min="3" max="3" width="14.625" style="252" bestFit="1" customWidth="1"/>
    <col min="4" max="4" width="40.375" style="252" bestFit="1" customWidth="1"/>
    <col min="5" max="5" width="2.875" style="252" customWidth="1"/>
    <col min="6" max="6" width="23.375" style="252" bestFit="1" customWidth="1"/>
    <col min="7" max="7" width="18" style="252" bestFit="1" customWidth="1"/>
    <col min="8" max="8" width="3" style="252" customWidth="1"/>
    <col min="9" max="9" width="2.75" style="252" customWidth="1"/>
    <col min="10" max="10" width="11.75" style="252" customWidth="1"/>
    <col min="11" max="11" width="15.25" style="252" bestFit="1" customWidth="1"/>
    <col min="12" max="12" width="16" style="252" customWidth="1"/>
    <col min="13" max="13" width="2.625" style="252" customWidth="1"/>
    <col min="14" max="14" width="20.875" style="252" customWidth="1"/>
    <col min="15" max="15" width="8.75" style="252" customWidth="1"/>
    <col min="16" max="16" width="2.5" style="252" customWidth="1"/>
    <col min="17" max="17" width="13.625" style="252" bestFit="1" customWidth="1"/>
    <col min="18" max="18" width="14.625" style="252" bestFit="1" customWidth="1"/>
    <col min="19" max="19" width="10.625" style="252" bestFit="1" customWidth="1"/>
    <col min="20" max="20" width="2.875" style="252" customWidth="1"/>
    <col min="21" max="22" width="10.375" style="252" customWidth="1"/>
    <col min="23" max="23" width="3.25" style="252" customWidth="1"/>
    <col min="24" max="24" width="23.25" style="252" customWidth="1"/>
    <col min="25" max="25" width="10.25" style="252" bestFit="1" customWidth="1"/>
    <col min="26" max="26" width="23.75" style="252" customWidth="1"/>
    <col min="27" max="27" width="2.5" style="252" customWidth="1"/>
    <col min="28" max="28" width="13.5" style="252" customWidth="1"/>
    <col min="29" max="29" width="17.5" style="252" customWidth="1"/>
    <col min="30" max="30" width="8.25" style="252" bestFit="1" customWidth="1"/>
    <col min="31" max="31" width="8" style="252" bestFit="1" customWidth="1"/>
    <col min="32" max="32" width="10.125" style="252" bestFit="1" customWidth="1"/>
    <col min="33" max="33" width="11.625" style="252" bestFit="1" customWidth="1"/>
    <col min="34" max="34" width="17" style="252" bestFit="1" customWidth="1"/>
    <col min="35" max="35" width="17.25" style="252" bestFit="1" customWidth="1"/>
    <col min="36" max="36" width="9" style="252" bestFit="1" customWidth="1"/>
    <col min="37" max="37" width="14" style="252" bestFit="1" customWidth="1"/>
    <col min="38" max="38" width="17" style="252" bestFit="1" customWidth="1"/>
    <col min="39" max="39" width="23.25" style="252" bestFit="1" customWidth="1"/>
    <col min="40" max="40" width="22.875" style="252" bestFit="1" customWidth="1"/>
    <col min="41" max="41" width="21.875" style="252" bestFit="1" customWidth="1"/>
    <col min="42" max="42" width="18.125" style="252" bestFit="1" customWidth="1"/>
    <col min="43" max="43" width="17.75" style="252" bestFit="1" customWidth="1"/>
    <col min="44" max="44" width="28.125" style="252" customWidth="1"/>
    <col min="45" max="45" width="25.125" style="252" bestFit="1" customWidth="1"/>
    <col min="46" max="46" width="23" style="252" bestFit="1" customWidth="1"/>
    <col min="47" max="47" width="18.375" style="252" bestFit="1" customWidth="1"/>
    <col min="48" max="48" width="8.25" style="252" bestFit="1" customWidth="1"/>
    <col min="49" max="49" width="10.5" style="252" bestFit="1" customWidth="1"/>
    <col min="50" max="50" width="8.875" style="252" bestFit="1" customWidth="1"/>
    <col min="51" max="51" width="11.625" style="252" bestFit="1" customWidth="1"/>
    <col min="52" max="52" width="16.25" style="252" bestFit="1" customWidth="1"/>
    <col min="53" max="53" width="17.25" style="252" bestFit="1" customWidth="1"/>
    <col min="54" max="54" width="9" style="252" bestFit="1" customWidth="1"/>
    <col min="55" max="55" width="12" style="252" bestFit="1" customWidth="1"/>
    <col min="56" max="56" width="14.5" style="252" bestFit="1" customWidth="1"/>
    <col min="57" max="58" width="17" style="252" bestFit="1" customWidth="1"/>
    <col min="59" max="59" width="17.875" style="252" bestFit="1" customWidth="1"/>
    <col min="60" max="60" width="29.375" style="252" bestFit="1" customWidth="1"/>
    <col min="61" max="61" width="17.75" style="252" bestFit="1" customWidth="1"/>
    <col min="62" max="62" width="13.375" style="252" bestFit="1" customWidth="1"/>
    <col min="63" max="63" width="25.5" style="252" bestFit="1" customWidth="1"/>
    <col min="64" max="64" width="18.875" style="252" bestFit="1" customWidth="1"/>
    <col min="65" max="65" width="20.5" style="252" bestFit="1" customWidth="1"/>
    <col min="66" max="66" width="8.25" style="252" bestFit="1" customWidth="1"/>
    <col min="67" max="67" width="7.875" style="252" bestFit="1" customWidth="1"/>
    <col min="68" max="68" width="8.75" style="252" bestFit="1" customWidth="1"/>
    <col min="69" max="69" width="8.25" style="252" bestFit="1" customWidth="1"/>
    <col min="70" max="70" width="15" style="252" bestFit="1" customWidth="1"/>
    <col min="71" max="71" width="17.125" style="252" bestFit="1" customWidth="1"/>
    <col min="72" max="72" width="9" style="252" bestFit="1" customWidth="1"/>
    <col min="73" max="73" width="12" style="252" bestFit="1" customWidth="1"/>
    <col min="74" max="74" width="14.5" style="252" bestFit="1" customWidth="1"/>
    <col min="75" max="75" width="16" style="252" bestFit="1" customWidth="1"/>
    <col min="76" max="76" width="15.875" style="252" bestFit="1" customWidth="1"/>
    <col min="77" max="77" width="14.625" style="252" bestFit="1" customWidth="1"/>
    <col min="78" max="78" width="31.75" style="252" bestFit="1" customWidth="1"/>
    <col min="79" max="79" width="14.625" style="252" bestFit="1" customWidth="1"/>
    <col min="80" max="80" width="21" style="252" bestFit="1" customWidth="1"/>
    <col min="81" max="81" width="14.625" style="252" bestFit="1" customWidth="1"/>
    <col min="82" max="82" width="21" style="252" bestFit="1" customWidth="1"/>
    <col min="83" max="83" width="20.5" style="252" bestFit="1" customWidth="1"/>
    <col min="84" max="84" width="8.25" style="252" bestFit="1" customWidth="1"/>
    <col min="85" max="85" width="7.875" style="252" bestFit="1" customWidth="1"/>
    <col min="86" max="86" width="8.75" style="252" bestFit="1" customWidth="1"/>
    <col min="87" max="87" width="8.25" style="252" bestFit="1" customWidth="1"/>
    <col min="88" max="88" width="15" style="252" bestFit="1" customWidth="1"/>
    <col min="89" max="89" width="17.125" style="252" bestFit="1" customWidth="1"/>
    <col min="90" max="90" width="8.125" style="252" bestFit="1" customWidth="1"/>
    <col min="91" max="91" width="12.125" style="252" bestFit="1" customWidth="1"/>
    <col min="92" max="92" width="14.625" style="252" bestFit="1" customWidth="1"/>
    <col min="93" max="93" width="16.5" style="252" bestFit="1" customWidth="1"/>
    <col min="94" max="94" width="21.75" style="252" bestFit="1" customWidth="1"/>
    <col min="95" max="95" width="26.25" style="252" bestFit="1" customWidth="1"/>
    <col min="96" max="96" width="21.75" style="252" bestFit="1" customWidth="1"/>
    <col min="97" max="97" width="26.25" style="252" bestFit="1" customWidth="1"/>
    <col min="98" max="98" width="25" style="252" bestFit="1" customWidth="1"/>
    <col min="99" max="99" width="26.25" style="252" bestFit="1" customWidth="1"/>
    <col min="100" max="100" width="28.125" style="252" bestFit="1" customWidth="1"/>
    <col min="101" max="101" width="20.5" style="252" bestFit="1" customWidth="1"/>
    <col min="102" max="102" width="8.25" style="252" bestFit="1" customWidth="1"/>
    <col min="103" max="103" width="7.875" style="252" bestFit="1" customWidth="1"/>
    <col min="104" max="104" width="8.75" style="252" bestFit="1" customWidth="1"/>
    <col min="105" max="105" width="8.25" style="252" bestFit="1" customWidth="1"/>
    <col min="106" max="106" width="15" style="252" bestFit="1" customWidth="1"/>
    <col min="107" max="107" width="17.125" style="252" bestFit="1" customWidth="1"/>
    <col min="108" max="108" width="8.125" style="252" bestFit="1" customWidth="1"/>
    <col min="109" max="109" width="12.125" style="252" bestFit="1" customWidth="1"/>
    <col min="110" max="111" width="14.625" style="252" bestFit="1" customWidth="1"/>
    <col min="112" max="112" width="15.5" style="252" bestFit="1" customWidth="1"/>
    <col min="113" max="113" width="17.75" style="252" bestFit="1" customWidth="1"/>
    <col min="114" max="114" width="14.625" style="252" bestFit="1" customWidth="1"/>
    <col min="115" max="115" width="10.875" style="252" bestFit="1" customWidth="1"/>
    <col min="116" max="116" width="20.5" style="252" bestFit="1" customWidth="1"/>
    <col min="117" max="117" width="20.625" style="252" bestFit="1" customWidth="1"/>
    <col min="118" max="118" width="13.375" style="252" bestFit="1" customWidth="1"/>
    <col min="119" max="119" width="20.5" style="252" bestFit="1" customWidth="1"/>
    <col min="120" max="120" width="7.25" style="252" bestFit="1" customWidth="1"/>
    <col min="121" max="121" width="7.875" style="252" bestFit="1" customWidth="1"/>
    <col min="122" max="122" width="8.75" style="252" bestFit="1" customWidth="1"/>
    <col min="123" max="123" width="8.25" style="252" bestFit="1" customWidth="1"/>
    <col min="124" max="124" width="15" style="252" bestFit="1" customWidth="1"/>
    <col min="125" max="125" width="17.125" style="252" bestFit="1" customWidth="1"/>
    <col min="126" max="126" width="8.125" style="252" bestFit="1" customWidth="1"/>
    <col min="127" max="127" width="10.5" style="252" bestFit="1" customWidth="1"/>
    <col min="128" max="128" width="12.75" style="252" bestFit="1" customWidth="1"/>
    <col min="129" max="129" width="21.75" style="252" bestFit="1" customWidth="1"/>
    <col min="130" max="130" width="27.75" style="252" bestFit="1" customWidth="1"/>
    <col min="131" max="131" width="31.75" style="252" bestFit="1" customWidth="1"/>
    <col min="132" max="132" width="27.75" style="252" bestFit="1" customWidth="1"/>
    <col min="133" max="133" width="31.75" style="252" bestFit="1" customWidth="1"/>
    <col min="134" max="134" width="33.5" style="252" bestFit="1" customWidth="1"/>
    <col min="135" max="135" width="36.5" style="252" bestFit="1" customWidth="1"/>
    <col min="136" max="136" width="17.625" style="252" bestFit="1" customWidth="1"/>
    <col min="137" max="137" width="20.5" style="252" bestFit="1" customWidth="1"/>
    <col min="138" max="138" width="7.25" style="252" bestFit="1" customWidth="1"/>
    <col min="139" max="139" width="7.875" style="252" bestFit="1" customWidth="1"/>
    <col min="140" max="140" width="8.75" style="252" bestFit="1" customWidth="1"/>
    <col min="141" max="141" width="8.25" style="252" bestFit="1" customWidth="1"/>
    <col min="142" max="142" width="15" style="252" bestFit="1" customWidth="1"/>
    <col min="143" max="143" width="17.125" style="252" bestFit="1" customWidth="1"/>
    <col min="144" max="144" width="8.125" style="252" bestFit="1" customWidth="1"/>
    <col min="145" max="145" width="10.5" style="252" bestFit="1" customWidth="1"/>
    <col min="146" max="146" width="12.75" style="252" bestFit="1" customWidth="1"/>
    <col min="147" max="149" width="16.875" style="252" bestFit="1" customWidth="1"/>
    <col min="150" max="150" width="18" style="252" bestFit="1" customWidth="1"/>
    <col min="151" max="151" width="27.25" style="252" bestFit="1" customWidth="1"/>
    <col min="152" max="154" width="25" style="252" customWidth="1"/>
    <col min="155" max="155" width="20.5" style="252" bestFit="1" customWidth="1"/>
    <col min="156" max="156" width="7.25" style="252" bestFit="1" customWidth="1"/>
    <col min="157" max="157" width="7.875" style="252" bestFit="1" customWidth="1"/>
    <col min="158" max="158" width="8.75" style="252" bestFit="1" customWidth="1"/>
    <col min="159" max="159" width="8.25" style="252" bestFit="1" customWidth="1"/>
    <col min="160" max="160" width="15" style="252" bestFit="1" customWidth="1"/>
    <col min="161" max="161" width="17.125" style="252" bestFit="1" customWidth="1"/>
    <col min="162" max="162" width="8.125" style="252" bestFit="1" customWidth="1"/>
    <col min="163" max="163" width="10.5" style="252" bestFit="1" customWidth="1"/>
    <col min="164" max="164" width="12.75" style="252" bestFit="1" customWidth="1"/>
    <col min="165" max="165" width="10.5" style="252" bestFit="1" customWidth="1"/>
    <col min="166" max="167" width="11.625" style="252" bestFit="1" customWidth="1"/>
    <col min="168" max="168" width="13.75" style="252" bestFit="1" customWidth="1"/>
    <col min="169" max="170" width="12.75" style="252" bestFit="1" customWidth="1"/>
    <col min="171" max="171" width="13.375" style="252" bestFit="1" customWidth="1"/>
    <col min="172" max="172" width="12.125" style="252" bestFit="1" customWidth="1"/>
    <col min="173" max="173" width="20.5" style="252" bestFit="1" customWidth="1"/>
    <col min="174" max="174" width="7.25" style="252" bestFit="1" customWidth="1"/>
    <col min="175" max="175" width="7.875" style="252" bestFit="1" customWidth="1"/>
    <col min="176" max="176" width="8.75" style="252" bestFit="1" customWidth="1"/>
    <col min="177" max="177" width="8.25" style="252" bestFit="1" customWidth="1"/>
    <col min="178" max="178" width="15" style="252" bestFit="1" customWidth="1"/>
    <col min="179" max="179" width="17.125" style="252" bestFit="1" customWidth="1"/>
    <col min="180" max="180" width="8.125" style="252" bestFit="1" customWidth="1"/>
    <col min="181" max="181" width="10.5" style="252" bestFit="1" customWidth="1"/>
    <col min="182" max="182" width="12.75" style="252" bestFit="1" customWidth="1"/>
    <col min="183" max="183" width="26.875" style="252" bestFit="1" customWidth="1"/>
    <col min="184" max="184" width="30.5" style="252" bestFit="1" customWidth="1"/>
    <col min="185" max="185" width="26.875" style="252" bestFit="1" customWidth="1"/>
    <col min="186" max="186" width="30.5" style="252" bestFit="1" customWidth="1"/>
    <col min="187" max="188" width="18.5" style="252" bestFit="1" customWidth="1"/>
    <col min="189" max="189" width="21" style="252" bestFit="1" customWidth="1"/>
    <col min="190" max="190" width="28.125" style="252" bestFit="1" customWidth="1"/>
    <col min="191" max="191" width="20.5" style="252" bestFit="1" customWidth="1"/>
    <col min="192" max="192" width="7.25" style="252" bestFit="1" customWidth="1"/>
    <col min="193" max="193" width="7.875" style="252" bestFit="1" customWidth="1"/>
    <col min="194" max="194" width="8.75" style="252" bestFit="1" customWidth="1"/>
    <col min="195" max="195" width="8.25" style="252" bestFit="1" customWidth="1"/>
    <col min="196" max="196" width="15" style="252" bestFit="1" customWidth="1"/>
    <col min="197" max="197" width="17.125" style="252" bestFit="1" customWidth="1"/>
    <col min="198" max="198" width="8.125" style="252" bestFit="1" customWidth="1"/>
    <col min="199" max="199" width="10.5" style="252" bestFit="1" customWidth="1"/>
    <col min="200" max="200" width="12.75" style="252" bestFit="1" customWidth="1"/>
    <col min="201" max="202" width="22.125" style="252" bestFit="1" customWidth="1"/>
    <col min="203" max="203" width="17.75" style="252" bestFit="1" customWidth="1"/>
    <col min="204" max="204" width="26.25" style="252" bestFit="1" customWidth="1"/>
    <col min="205" max="205" width="26" style="252" bestFit="1" customWidth="1"/>
    <col min="206" max="206" width="14.625" style="252" bestFit="1" customWidth="1"/>
    <col min="207" max="207" width="21.625" style="252" bestFit="1" customWidth="1"/>
    <col min="208" max="208" width="10.5" style="252" bestFit="1" customWidth="1"/>
    <col min="209" max="209" width="20.5" style="252" bestFit="1" customWidth="1"/>
    <col min="210" max="210" width="7.25" style="252" bestFit="1" customWidth="1"/>
    <col min="211" max="211" width="7.875" style="252" bestFit="1" customWidth="1"/>
    <col min="212" max="212" width="8.75" style="252" bestFit="1" customWidth="1"/>
    <col min="213" max="213" width="8.25" style="252" bestFit="1" customWidth="1"/>
    <col min="214" max="214" width="15" style="252" bestFit="1" customWidth="1"/>
    <col min="215" max="215" width="17.125" style="252" bestFit="1" customWidth="1"/>
    <col min="216" max="216" width="8.125" style="252" bestFit="1" customWidth="1"/>
    <col min="217" max="217" width="10.5" style="252" bestFit="1" customWidth="1"/>
    <col min="218" max="218" width="12.75" style="252" bestFit="1" customWidth="1"/>
    <col min="219" max="219" width="28.25" style="252" bestFit="1" customWidth="1"/>
    <col min="220" max="220" width="28.375" style="252" bestFit="1" customWidth="1"/>
    <col min="221" max="221" width="15.25" style="252" bestFit="1" customWidth="1"/>
    <col min="222" max="222" width="14.25" style="252" bestFit="1" customWidth="1"/>
    <col min="223" max="223" width="13.875" style="252" bestFit="1" customWidth="1"/>
    <col min="224" max="224" width="11.5" style="252" bestFit="1" customWidth="1"/>
    <col min="225" max="225" width="13.75" style="252" bestFit="1" customWidth="1"/>
    <col min="226" max="226" width="14.25" style="252" bestFit="1" customWidth="1"/>
    <col min="227" max="227" width="20.5" style="252" bestFit="1" customWidth="1"/>
    <col min="228" max="228" width="7.25" style="252" bestFit="1" customWidth="1"/>
    <col min="229" max="229" width="7.875" style="252" bestFit="1" customWidth="1"/>
    <col min="230" max="230" width="8.75" style="252" bestFit="1" customWidth="1"/>
    <col min="231" max="231" width="8.25" style="252" bestFit="1" customWidth="1"/>
    <col min="232" max="232" width="15" style="252" bestFit="1" customWidth="1"/>
    <col min="233" max="233" width="17.125" style="252" bestFit="1" customWidth="1"/>
    <col min="234" max="234" width="8.125" style="252" bestFit="1" customWidth="1"/>
    <col min="235" max="235" width="10.5" style="252" bestFit="1" customWidth="1"/>
    <col min="236" max="237" width="12.75" style="252" bestFit="1" customWidth="1"/>
    <col min="238" max="238" width="21.875" style="252" bestFit="1" customWidth="1"/>
    <col min="239" max="239" width="29.75" style="252" bestFit="1" customWidth="1"/>
    <col min="240" max="240" width="12.75" style="252" bestFit="1" customWidth="1"/>
    <col min="241" max="241" width="15.5" style="252" bestFit="1" customWidth="1"/>
    <col min="242" max="242" width="10.5" style="252" bestFit="1" customWidth="1"/>
    <col min="243" max="244" width="8" style="252" bestFit="1" customWidth="1"/>
    <col min="245" max="245" width="20.5" style="252" bestFit="1" customWidth="1"/>
    <col min="246" max="246" width="7.25" style="252" bestFit="1" customWidth="1"/>
    <col min="247" max="247" width="7.875" style="252" bestFit="1" customWidth="1"/>
    <col min="248" max="248" width="8.75" style="252" bestFit="1" customWidth="1"/>
    <col min="249" max="249" width="8.25" style="252" bestFit="1" customWidth="1"/>
    <col min="250" max="250" width="15" style="252" bestFit="1" customWidth="1"/>
    <col min="251" max="251" width="17.125" style="252" bestFit="1" customWidth="1"/>
    <col min="252" max="252" width="8.125" style="252" bestFit="1" customWidth="1"/>
    <col min="253" max="253" width="10.5" style="252" bestFit="1" customWidth="1"/>
    <col min="254" max="254" width="12.75" style="252" bestFit="1" customWidth="1"/>
    <col min="255" max="256" width="23.375" style="252" bestFit="1" customWidth="1"/>
    <col min="257" max="257" width="22.75" style="252" bestFit="1" customWidth="1"/>
    <col min="258" max="258" width="18.625" style="252" bestFit="1" customWidth="1"/>
    <col min="259" max="259" width="10.625" style="252" bestFit="1" customWidth="1"/>
    <col min="260" max="260" width="12.375" style="252" bestFit="1" customWidth="1"/>
    <col min="261" max="261" width="15.625" style="252" bestFit="1" customWidth="1"/>
    <col min="262" max="262" width="8" style="252" bestFit="1" customWidth="1"/>
    <col min="263" max="263" width="20.5" style="252" bestFit="1" customWidth="1"/>
    <col min="264" max="264" width="7.25" style="252" bestFit="1" customWidth="1"/>
    <col min="265" max="265" width="7.875" style="252" bestFit="1" customWidth="1"/>
    <col min="266" max="266" width="8.75" style="252" bestFit="1" customWidth="1"/>
    <col min="267" max="267" width="8.25" style="252" bestFit="1" customWidth="1"/>
    <col min="268" max="268" width="15" style="252" bestFit="1" customWidth="1"/>
    <col min="269" max="269" width="17.125" style="252" bestFit="1" customWidth="1"/>
    <col min="270" max="270" width="8.125" style="252" bestFit="1" customWidth="1"/>
    <col min="271" max="271" width="10.5" style="252" bestFit="1" customWidth="1"/>
    <col min="272" max="272" width="12.75" style="252" bestFit="1" customWidth="1"/>
    <col min="273" max="273" width="22.75" style="252" bestFit="1" customWidth="1"/>
    <col min="274" max="274" width="26" style="252" bestFit="1" customWidth="1"/>
    <col min="275" max="275" width="29" style="252" bestFit="1" customWidth="1"/>
    <col min="276" max="276" width="22.75" style="252" bestFit="1" customWidth="1"/>
    <col min="277" max="277" width="26" style="252" bestFit="1" customWidth="1"/>
    <col min="278" max="278" width="29" style="252" bestFit="1" customWidth="1"/>
    <col min="279" max="279" width="17.75" style="252" bestFit="1" customWidth="1"/>
    <col min="280" max="280" width="8" style="252" bestFit="1" customWidth="1"/>
    <col min="281" max="281" width="20.5" style="252" bestFit="1" customWidth="1"/>
    <col min="282" max="282" width="7.25" style="252" bestFit="1" customWidth="1"/>
    <col min="283" max="283" width="7.875" style="252" bestFit="1" customWidth="1"/>
    <col min="284" max="284" width="8.75" style="252" bestFit="1" customWidth="1"/>
    <col min="285" max="285" width="8.25" style="252" bestFit="1" customWidth="1"/>
    <col min="286" max="286" width="15" style="252" bestFit="1" customWidth="1"/>
    <col min="287" max="287" width="17.125" style="252" bestFit="1" customWidth="1"/>
    <col min="288" max="288" width="8.125" style="252" bestFit="1" customWidth="1"/>
    <col min="289" max="289" width="10.5" style="252" bestFit="1" customWidth="1"/>
    <col min="290" max="290" width="12.75" style="252" bestFit="1" customWidth="1"/>
    <col min="291" max="293" width="35" style="252" bestFit="1" customWidth="1"/>
    <col min="294" max="295" width="28.75" style="252" bestFit="1" customWidth="1"/>
    <col min="296" max="297" width="17.75" style="252" bestFit="1" customWidth="1"/>
    <col min="298" max="298" width="8" style="252" bestFit="1" customWidth="1"/>
    <col min="299" max="299" width="20.5" style="252" bestFit="1" customWidth="1"/>
    <col min="300" max="300" width="7.25" style="252" bestFit="1" customWidth="1"/>
    <col min="301" max="301" width="7.875" style="252" bestFit="1" customWidth="1"/>
    <col min="302" max="302" width="8.75" style="252" bestFit="1" customWidth="1"/>
    <col min="303" max="303" width="8.25" style="252" bestFit="1" customWidth="1"/>
    <col min="304" max="304" width="15" style="252" bestFit="1" customWidth="1"/>
    <col min="305" max="305" width="17.125" style="252" bestFit="1" customWidth="1"/>
    <col min="306" max="306" width="8.125" style="252" bestFit="1" customWidth="1"/>
    <col min="307" max="307" width="10.5" style="252" bestFit="1" customWidth="1"/>
    <col min="308" max="308" width="12.75" style="252" bestFit="1" customWidth="1"/>
    <col min="309" max="310" width="27.25" style="252" bestFit="1" customWidth="1"/>
    <col min="311" max="311" width="33.125" style="252" bestFit="1" customWidth="1"/>
    <col min="312" max="312" width="27.25" style="252" bestFit="1" customWidth="1"/>
    <col min="313" max="316" width="28.5" style="252" bestFit="1" customWidth="1"/>
    <col min="317" max="317" width="20.5" style="252" bestFit="1" customWidth="1"/>
    <col min="318" max="318" width="7.25" style="252" bestFit="1" customWidth="1"/>
    <col min="319" max="319" width="7.875" style="252" bestFit="1" customWidth="1"/>
    <col min="320" max="320" width="8.75" style="252" bestFit="1" customWidth="1"/>
    <col min="321" max="321" width="8.25" style="252" bestFit="1" customWidth="1"/>
    <col min="322" max="322" width="15" style="252" bestFit="1" customWidth="1"/>
    <col min="323" max="323" width="17.125" style="252" bestFit="1" customWidth="1"/>
    <col min="324" max="324" width="8.75" style="252" bestFit="1" customWidth="1"/>
    <col min="325" max="325" width="10.5" style="252" bestFit="1" customWidth="1"/>
    <col min="326" max="326" width="12.75" style="252" bestFit="1" customWidth="1"/>
    <col min="327" max="327" width="26" style="252" bestFit="1" customWidth="1"/>
    <col min="328" max="328" width="26.875" style="252" bestFit="1" customWidth="1"/>
    <col min="329" max="329" width="25" style="252" bestFit="1" customWidth="1"/>
    <col min="330" max="330" width="27.25" style="252" bestFit="1" customWidth="1"/>
    <col min="331" max="331" width="28.25" style="252" bestFit="1" customWidth="1"/>
    <col min="332" max="332" width="26.25" style="252" bestFit="1" customWidth="1"/>
    <col min="333" max="334" width="27.25" style="252" customWidth="1"/>
    <col min="335" max="339" width="4.125" style="252" customWidth="1"/>
    <col min="340" max="340" width="4.375" style="252" customWidth="1"/>
    <col min="341" max="341" width="18.625" style="252" bestFit="1" customWidth="1"/>
    <col min="342" max="342" width="22.625" style="252" bestFit="1" customWidth="1"/>
    <col min="343" max="343" width="9.875" style="252" bestFit="1" customWidth="1"/>
    <col min="344" max="344" width="14.625" style="252" bestFit="1" customWidth="1"/>
    <col min="345" max="345" width="14.75" style="252" bestFit="1" customWidth="1"/>
    <col min="346" max="348" width="16.375" style="252" bestFit="1" customWidth="1"/>
    <col min="349" max="349" width="10.875" style="252" bestFit="1" customWidth="1"/>
    <col min="350" max="358" width="8.75" style="252"/>
    <col min="359" max="359" width="3.875" style="252" customWidth="1"/>
    <col min="360" max="363" width="3.75" style="252" customWidth="1"/>
    <col min="364" max="364" width="3.125" style="252" customWidth="1"/>
    <col min="365" max="365" width="13.75" style="252" customWidth="1"/>
    <col min="366" max="366" width="19.5" style="252" customWidth="1"/>
    <col min="367" max="378" width="14.125" style="252" customWidth="1"/>
    <col min="379" max="399" width="13.125" style="252" customWidth="1"/>
    <col min="400" max="413" width="13.5" style="252" customWidth="1"/>
    <col min="414" max="427" width="14.25" style="252" customWidth="1"/>
    <col min="428" max="428" width="15.875" style="252" customWidth="1"/>
    <col min="429" max="435" width="14" style="252" customWidth="1"/>
    <col min="436" max="436" width="13.375" style="252" customWidth="1"/>
    <col min="437" max="441" width="14" style="252" customWidth="1"/>
    <col min="442" max="445" width="12.75" style="252" customWidth="1"/>
    <col min="446" max="446" width="14.5" style="252" customWidth="1"/>
    <col min="447" max="447" width="16.25" style="252" customWidth="1"/>
    <col min="448" max="448" width="15.875" style="252" customWidth="1"/>
    <col min="449" max="449" width="20.375" style="252" customWidth="1"/>
    <col min="450" max="450" width="21.75" style="252" bestFit="1" customWidth="1"/>
    <col min="451" max="454" width="13.125" style="252" customWidth="1"/>
    <col min="455" max="456" width="15" style="252" bestFit="1" customWidth="1"/>
    <col min="457" max="457" width="18.875" style="252" customWidth="1"/>
    <col min="458" max="458" width="17" style="252" customWidth="1"/>
    <col min="459" max="459" width="23.125" style="252" bestFit="1" customWidth="1"/>
    <col min="460" max="460" width="16" style="252" customWidth="1"/>
    <col min="461" max="461" width="13.125" style="252" customWidth="1"/>
    <col min="462" max="462" width="15.125" style="252" customWidth="1"/>
    <col min="463" max="463" width="14.125" style="252" customWidth="1"/>
    <col min="464" max="464" width="17.125" style="252" customWidth="1"/>
    <col min="465" max="465" width="11.75" style="252" bestFit="1" customWidth="1"/>
    <col min="466" max="466" width="19.125" style="252" customWidth="1"/>
    <col min="467" max="467" width="12.5" style="252" customWidth="1"/>
    <col min="468" max="468" width="11.75" style="252" bestFit="1" customWidth="1"/>
    <col min="469" max="469" width="14.875" style="252" customWidth="1"/>
    <col min="470" max="470" width="17.5" style="252" customWidth="1"/>
    <col min="471" max="471" width="25.25" style="252" customWidth="1"/>
    <col min="472" max="472" width="17.25" style="252" customWidth="1"/>
    <col min="473" max="473" width="17.5" style="252" customWidth="1"/>
    <col min="474" max="474" width="16.125" style="252" customWidth="1"/>
    <col min="475" max="476" width="20.25" style="252" customWidth="1"/>
    <col min="477" max="477" width="19.75" style="252" customWidth="1"/>
    <col min="478" max="478" width="22" style="252" customWidth="1"/>
    <col min="479" max="485" width="9.75" style="252" customWidth="1"/>
    <col min="486" max="486" width="19.5" style="252" customWidth="1"/>
    <col min="487" max="487" width="12.625" style="252" customWidth="1"/>
    <col min="488" max="488" width="11.5" style="252" customWidth="1"/>
    <col min="489" max="494" width="12.875" style="252" customWidth="1"/>
    <col min="495" max="500" width="11.5" style="252" customWidth="1"/>
    <col min="501" max="506" width="11.625" style="252" customWidth="1"/>
    <col min="507" max="507" width="14.625" style="252" customWidth="1"/>
    <col min="508" max="508" width="17.125" style="252" bestFit="1" customWidth="1"/>
    <col min="509" max="509" width="11.625" style="252" customWidth="1"/>
    <col min="510" max="510" width="12.125" style="252" customWidth="1"/>
    <col min="511" max="515" width="11.875" style="252" bestFit="1" customWidth="1"/>
    <col min="516" max="527" width="11.75" style="252" bestFit="1" customWidth="1"/>
    <col min="528" max="530" width="3.75" style="252" customWidth="1"/>
    <col min="531" max="534" width="15.875" style="252" customWidth="1"/>
    <col min="535" max="536" width="6.5" style="252" customWidth="1"/>
    <col min="537" max="537" width="23.5" style="252" customWidth="1"/>
    <col min="538" max="543" width="18.625" style="252" customWidth="1"/>
    <col min="544" max="544" width="17.5" style="252" customWidth="1"/>
    <col min="545" max="545" width="21.125" style="252" customWidth="1"/>
    <col min="546" max="552" width="18.625" style="252" customWidth="1"/>
    <col min="553" max="553" width="19.75" style="252" customWidth="1"/>
    <col min="554" max="554" width="20.375" style="252" customWidth="1"/>
    <col min="555" max="556" width="18.625" style="252" customWidth="1"/>
    <col min="557" max="558" width="22.875" style="252" customWidth="1"/>
    <col min="559" max="564" width="18.625" style="252" customWidth="1"/>
    <col min="565" max="565" width="24.375" style="252" customWidth="1"/>
    <col min="566" max="571" width="18.625" style="252" customWidth="1"/>
    <col min="572" max="572" width="10" style="252" customWidth="1"/>
    <col min="573" max="573" width="11.625" style="252" customWidth="1"/>
    <col min="574" max="578" width="16.625" style="252" customWidth="1"/>
    <col min="579" max="579" width="4.625" style="252" customWidth="1"/>
    <col min="580" max="580" width="4.5" style="252" customWidth="1"/>
    <col min="581" max="583" width="18.625" style="252" customWidth="1"/>
    <col min="584" max="584" width="6.125" style="252" customWidth="1"/>
    <col min="585" max="593" width="11.625" style="252" customWidth="1"/>
    <col min="594" max="597" width="18.625" style="252" customWidth="1"/>
    <col min="598" max="600" width="5" style="252" customWidth="1"/>
    <col min="601" max="617" width="11.625" style="252" customWidth="1"/>
    <col min="618" max="16384" width="8.75" style="252"/>
  </cols>
  <sheetData>
    <row r="1" spans="1:600" ht="24" x14ac:dyDescent="0.15">
      <c r="A1" s="251" t="s">
        <v>1702</v>
      </c>
      <c r="D1" s="252" t="s">
        <v>1957</v>
      </c>
      <c r="AB1" s="253" t="s">
        <v>1082</v>
      </c>
      <c r="MC1" s="253" t="s">
        <v>1326</v>
      </c>
      <c r="MZ1" s="253" t="s">
        <v>1454</v>
      </c>
      <c r="TK1" s="253" t="s">
        <v>1083</v>
      </c>
      <c r="UK1" s="253"/>
      <c r="WB1" s="253" t="s">
        <v>1093</v>
      </c>
    </row>
    <row r="2" spans="1:600" ht="24" x14ac:dyDescent="0.35">
      <c r="B2" s="251" t="s">
        <v>1446</v>
      </c>
      <c r="F2" s="251" t="s">
        <v>716</v>
      </c>
      <c r="G2" s="254"/>
      <c r="J2" s="255" t="s">
        <v>717</v>
      </c>
      <c r="K2" s="254"/>
      <c r="N2" s="255" t="s">
        <v>517</v>
      </c>
      <c r="Q2" s="256" t="s">
        <v>1081</v>
      </c>
      <c r="U2" s="256" t="s">
        <v>1287</v>
      </c>
      <c r="X2" s="256" t="s">
        <v>1701</v>
      </c>
      <c r="AB2" s="255" t="s">
        <v>718</v>
      </c>
    </row>
    <row r="3" spans="1:600" ht="21.75" thickBot="1" x14ac:dyDescent="0.35">
      <c r="B3" s="257" t="s">
        <v>719</v>
      </c>
      <c r="C3" s="257" t="s">
        <v>720</v>
      </c>
      <c r="D3" s="257" t="s">
        <v>721</v>
      </c>
      <c r="F3" s="258" t="s">
        <v>168</v>
      </c>
      <c r="G3" s="258" t="s">
        <v>564</v>
      </c>
      <c r="H3" s="259"/>
      <c r="J3" s="260" t="s">
        <v>1052</v>
      </c>
      <c r="K3" s="260" t="s">
        <v>1057</v>
      </c>
      <c r="L3" s="258" t="s">
        <v>1750</v>
      </c>
      <c r="N3" s="258" t="s">
        <v>722</v>
      </c>
      <c r="O3" s="258" t="s">
        <v>517</v>
      </c>
      <c r="P3" s="259"/>
      <c r="Q3" s="260" t="s">
        <v>1466</v>
      </c>
      <c r="R3" s="260" t="s">
        <v>1465</v>
      </c>
      <c r="S3" s="260" t="s">
        <v>1063</v>
      </c>
      <c r="T3" s="259"/>
      <c r="U3" s="260" t="s">
        <v>1574</v>
      </c>
      <c r="V3" s="260" t="s">
        <v>1063</v>
      </c>
      <c r="X3" s="562" t="s">
        <v>1701</v>
      </c>
      <c r="Y3" s="562" t="s">
        <v>564</v>
      </c>
      <c r="Z3" s="563" t="s">
        <v>721</v>
      </c>
      <c r="AC3" s="252" t="s">
        <v>1087</v>
      </c>
    </row>
    <row r="4" spans="1:600" ht="15" customHeight="1" thickBot="1" x14ac:dyDescent="0.35">
      <c r="B4" s="261" t="s">
        <v>723</v>
      </c>
      <c r="C4" s="430">
        <v>100000000</v>
      </c>
      <c r="D4" s="239" t="s">
        <v>724</v>
      </c>
      <c r="F4" s="270" t="str">
        <f>label!C5</f>
        <v>Measured time</v>
      </c>
      <c r="G4" s="523" t="s">
        <v>1958</v>
      </c>
      <c r="H4" s="259"/>
      <c r="J4" s="262" t="s">
        <v>1056</v>
      </c>
      <c r="K4" s="263"/>
      <c r="L4" s="239" t="str">
        <f>IF(COUNT(AC30:CB41)=0,"","True")</f>
        <v>True</v>
      </c>
      <c r="N4" s="264" t="s">
        <v>655</v>
      </c>
      <c r="O4" s="265" t="str">
        <f t="shared" ref="O4" si="0">IF($L$20="True","Lv4",IF($L$14="True","Lv3",IF($L$8="True","Lv2",IF($L$4="True","Lv1",""))))</f>
        <v>Lv4</v>
      </c>
      <c r="Q4" s="266" t="s">
        <v>1470</v>
      </c>
      <c r="R4" s="267" t="s">
        <v>1471</v>
      </c>
      <c r="S4" s="437">
        <v>0.3</v>
      </c>
      <c r="U4" s="280" t="s">
        <v>1281</v>
      </c>
      <c r="V4" s="281">
        <v>1</v>
      </c>
      <c r="X4" s="287" t="s">
        <v>1900</v>
      </c>
      <c r="Y4" s="564">
        <v>0</v>
      </c>
      <c r="Z4" s="288" t="s">
        <v>1905</v>
      </c>
      <c r="AC4" s="252" t="s">
        <v>1088</v>
      </c>
    </row>
    <row r="5" spans="1:600" x14ac:dyDescent="0.25">
      <c r="B5" s="268" t="s">
        <v>725</v>
      </c>
      <c r="C5" s="242"/>
      <c r="D5" s="269" t="s">
        <v>726</v>
      </c>
      <c r="F5" s="270" t="str">
        <f>label!C6</f>
        <v>Node name</v>
      </c>
      <c r="G5" s="524" t="s">
        <v>1959</v>
      </c>
      <c r="H5" s="271"/>
      <c r="J5" s="262" t="s">
        <v>1053</v>
      </c>
      <c r="K5" s="263"/>
      <c r="L5" s="239" t="str">
        <f>IF(COUNT(AU30:BK41)=0,"","True")</f>
        <v>True</v>
      </c>
      <c r="N5" s="264" t="s">
        <v>1684</v>
      </c>
      <c r="O5" s="265" t="str">
        <f>IF($L$20="True","Lv4",IF($L$14="True","Lv3",IF($L$8="True","Lv2","")))</f>
        <v>Lv4</v>
      </c>
      <c r="Q5" s="266" t="s">
        <v>1567</v>
      </c>
      <c r="R5" s="267" t="s">
        <v>1567</v>
      </c>
      <c r="S5" s="437">
        <v>0.7</v>
      </c>
      <c r="U5" s="282" t="s">
        <v>1282</v>
      </c>
      <c r="V5" s="283">
        <v>0</v>
      </c>
      <c r="X5" s="252" t="s">
        <v>1566</v>
      </c>
    </row>
    <row r="6" spans="1:600" x14ac:dyDescent="0.25">
      <c r="B6" s="261" t="s">
        <v>521</v>
      </c>
      <c r="C6" s="243">
        <v>256</v>
      </c>
      <c r="D6" s="272" t="s">
        <v>597</v>
      </c>
      <c r="F6" s="526" t="s">
        <v>1687</v>
      </c>
      <c r="G6" s="527"/>
      <c r="H6" s="271"/>
      <c r="J6" s="262" t="s">
        <v>1041</v>
      </c>
      <c r="K6" s="263"/>
      <c r="L6" s="239" t="str">
        <f>IF(COUNT(BM30:CD41)=0,"","True")</f>
        <v>True</v>
      </c>
      <c r="N6" s="264" t="s">
        <v>874</v>
      </c>
      <c r="O6" s="265" t="str">
        <f t="shared" ref="O6:O9" si="1">IF($L$20="True","Lv4",IF($L$14="True","Lv3",IF($L$8="True","Lv2","")))</f>
        <v>Lv4</v>
      </c>
      <c r="Q6" s="266" t="s">
        <v>1568</v>
      </c>
      <c r="R6" s="267" t="s">
        <v>1568</v>
      </c>
      <c r="S6" s="437">
        <v>0.8</v>
      </c>
      <c r="U6" s="282" t="s">
        <v>1283</v>
      </c>
      <c r="V6" s="283">
        <v>1</v>
      </c>
      <c r="X6" s="252" t="s">
        <v>1904</v>
      </c>
    </row>
    <row r="7" spans="1:600" ht="16.5" thickBot="1" x14ac:dyDescent="0.3">
      <c r="B7" s="270" t="s">
        <v>868</v>
      </c>
      <c r="C7" s="244">
        <v>256</v>
      </c>
      <c r="D7" s="239" t="s">
        <v>1086</v>
      </c>
      <c r="F7" s="526" t="s">
        <v>1688</v>
      </c>
      <c r="G7" s="527"/>
      <c r="H7" s="271"/>
      <c r="J7" s="262" t="s">
        <v>1042</v>
      </c>
      <c r="K7" s="263"/>
      <c r="L7" s="239" t="str">
        <f>IF(COUNT(CE30:DN41)=0,"","True")</f>
        <v>True</v>
      </c>
      <c r="N7" s="264" t="s">
        <v>875</v>
      </c>
      <c r="O7" s="265" t="str">
        <f t="shared" si="1"/>
        <v>Lv4</v>
      </c>
      <c r="Q7" s="266" t="s">
        <v>1569</v>
      </c>
      <c r="R7" s="267" t="s">
        <v>1569</v>
      </c>
      <c r="S7" s="437">
        <v>0.75</v>
      </c>
      <c r="U7" s="285" t="s">
        <v>1284</v>
      </c>
      <c r="V7" s="286">
        <v>2</v>
      </c>
      <c r="X7" s="294" t="s">
        <v>1902</v>
      </c>
    </row>
    <row r="8" spans="1:600" ht="21.75" thickBot="1" x14ac:dyDescent="0.35">
      <c r="B8" s="270" t="s">
        <v>596</v>
      </c>
      <c r="C8" s="239">
        <v>256</v>
      </c>
      <c r="D8" s="239" t="s">
        <v>727</v>
      </c>
      <c r="F8" s="258" t="s">
        <v>168</v>
      </c>
      <c r="G8" s="258" t="s">
        <v>564</v>
      </c>
      <c r="H8" s="271"/>
      <c r="J8" s="262" t="s">
        <v>1043</v>
      </c>
      <c r="K8" s="263"/>
      <c r="L8" s="239" t="str">
        <f>IF(COUNT(CW30:DM41)=0,"","True")</f>
        <v>True</v>
      </c>
      <c r="N8" s="264" t="s">
        <v>153</v>
      </c>
      <c r="O8" s="265" t="str">
        <f t="shared" si="1"/>
        <v>Lv4</v>
      </c>
      <c r="Q8" s="266" t="s">
        <v>1571</v>
      </c>
      <c r="R8" s="265" t="s">
        <v>1570</v>
      </c>
      <c r="S8" s="438">
        <v>0.1</v>
      </c>
      <c r="U8" s="287" t="s">
        <v>654</v>
      </c>
      <c r="V8" s="288">
        <v>1</v>
      </c>
      <c r="X8" s="252" t="s">
        <v>1901</v>
      </c>
    </row>
    <row r="9" spans="1:600" ht="47.25" x14ac:dyDescent="0.25">
      <c r="B9" s="274" t="s">
        <v>728</v>
      </c>
      <c r="C9" s="245">
        <v>3</v>
      </c>
      <c r="D9" s="275" t="s">
        <v>729</v>
      </c>
      <c r="F9" s="273" t="str">
        <f>label!C8</f>
        <v>Spawn no.</v>
      </c>
      <c r="G9" s="240">
        <v>0</v>
      </c>
      <c r="H9" s="254"/>
      <c r="J9" s="276" t="s">
        <v>1054</v>
      </c>
      <c r="K9" s="277"/>
      <c r="L9" s="239" t="str">
        <f>IF(COUNT(DO30:EF41)=0,"","True")</f>
        <v>True</v>
      </c>
      <c r="N9" s="264" t="s">
        <v>876</v>
      </c>
      <c r="O9" s="265" t="str">
        <f t="shared" si="1"/>
        <v>Lv4</v>
      </c>
      <c r="Q9" s="266" t="s">
        <v>1457</v>
      </c>
      <c r="R9" s="265" t="s">
        <v>1461</v>
      </c>
      <c r="S9" s="437">
        <v>5.0000000000000001E-3</v>
      </c>
      <c r="X9" s="252" t="s">
        <v>1903</v>
      </c>
    </row>
    <row r="10" spans="1:600" x14ac:dyDescent="0.25">
      <c r="B10" s="278" t="s">
        <v>866</v>
      </c>
      <c r="C10" s="430">
        <v>512</v>
      </c>
      <c r="D10" s="279" t="s">
        <v>730</v>
      </c>
      <c r="F10" s="270" t="str">
        <f>label!C9</f>
        <v>Process no.</v>
      </c>
      <c r="G10" s="593">
        <v>0</v>
      </c>
      <c r="H10" s="271"/>
      <c r="J10" s="276" t="s">
        <v>1045</v>
      </c>
      <c r="K10" s="277"/>
      <c r="L10" s="239" t="str">
        <f>IF(COUNT(EG30:KK41)=0,"","True")</f>
        <v>True</v>
      </c>
      <c r="N10" s="264" t="s">
        <v>577</v>
      </c>
      <c r="O10" s="265"/>
      <c r="Q10" s="266" t="s">
        <v>1458</v>
      </c>
      <c r="R10" s="265" t="s">
        <v>1458</v>
      </c>
      <c r="S10" s="437">
        <v>0.56000000000000005</v>
      </c>
      <c r="X10" s="294" t="s">
        <v>1902</v>
      </c>
    </row>
    <row r="11" spans="1:600" x14ac:dyDescent="0.25">
      <c r="B11" s="274" t="s">
        <v>867</v>
      </c>
      <c r="C11" s="246">
        <f>C10/128</f>
        <v>4</v>
      </c>
      <c r="D11" s="239" t="s">
        <v>594</v>
      </c>
      <c r="F11" s="270" t="str">
        <f>label!C10</f>
        <v>CMG no.</v>
      </c>
      <c r="G11" s="593">
        <v>0</v>
      </c>
      <c r="H11" s="254"/>
      <c r="J11" s="276" t="s">
        <v>1046</v>
      </c>
      <c r="K11" s="277"/>
      <c r="L11" s="239" t="str">
        <f>IF(COUNT(EY30:FP41)=0,"","True")</f>
        <v>True</v>
      </c>
      <c r="N11" s="264" t="s">
        <v>1686</v>
      </c>
      <c r="O11" s="265"/>
      <c r="Q11" s="811" t="s">
        <v>20</v>
      </c>
      <c r="R11" s="265" t="s">
        <v>1462</v>
      </c>
      <c r="S11" s="437">
        <v>0.2</v>
      </c>
      <c r="X11" s="252" t="s">
        <v>1901</v>
      </c>
    </row>
    <row r="12" spans="1:600" x14ac:dyDescent="0.25">
      <c r="B12" s="274" t="s">
        <v>867</v>
      </c>
      <c r="C12" s="245">
        <f>C10/64</f>
        <v>8</v>
      </c>
      <c r="D12" s="239" t="s">
        <v>731</v>
      </c>
      <c r="F12" s="270" t="str">
        <f>label!C11</f>
        <v>Measured region</v>
      </c>
      <c r="G12" s="241" t="s">
        <v>1960</v>
      </c>
      <c r="H12" s="254"/>
      <c r="J12" s="276" t="s">
        <v>1047</v>
      </c>
      <c r="K12" s="277"/>
      <c r="L12" s="239" t="str">
        <f>IF(COUNT(FQ30:GH41)=0,"","True")</f>
        <v>True</v>
      </c>
      <c r="N12" s="264" t="s">
        <v>1685</v>
      </c>
      <c r="O12" s="265"/>
      <c r="Q12" s="812"/>
      <c r="R12" s="265" t="s">
        <v>1458</v>
      </c>
      <c r="S12" s="437">
        <v>0.04</v>
      </c>
    </row>
    <row r="13" spans="1:600" ht="21" x14ac:dyDescent="0.3">
      <c r="B13" s="284" t="s">
        <v>732</v>
      </c>
      <c r="C13" s="247">
        <f>IF(OR(COUNT(AL30:AL41)=0,COUNT(AK30:AK41)=0),"",AL30/AK30*$C$4)</f>
        <v>2199990070.4247961</v>
      </c>
      <c r="D13" s="279" t="s">
        <v>1178</v>
      </c>
      <c r="F13" s="258" t="s">
        <v>168</v>
      </c>
      <c r="G13" s="258" t="s">
        <v>564</v>
      </c>
      <c r="H13" s="254"/>
      <c r="J13" s="276" t="s">
        <v>895</v>
      </c>
      <c r="K13" s="277"/>
      <c r="L13" s="239" t="str">
        <f>IF(COUNT(GI30:GZ41)=0,"","True")</f>
        <v>True</v>
      </c>
      <c r="N13" s="264" t="s">
        <v>1447</v>
      </c>
      <c r="O13" s="265"/>
      <c r="Q13" s="266" t="s">
        <v>1459</v>
      </c>
      <c r="R13" s="265" t="s">
        <v>1463</v>
      </c>
      <c r="S13" s="437">
        <v>0.56000000000000005</v>
      </c>
    </row>
    <row r="14" spans="1:600" x14ac:dyDescent="0.25">
      <c r="B14" s="270" t="s">
        <v>733</v>
      </c>
      <c r="C14" s="244">
        <v>48</v>
      </c>
      <c r="D14" s="239" t="s">
        <v>1084</v>
      </c>
      <c r="F14" s="270" t="str">
        <f>label!C12</f>
        <v>Vector length (bit)</v>
      </c>
      <c r="G14" s="239">
        <f>IF(C10="","",C10)</f>
        <v>512</v>
      </c>
      <c r="H14" s="254"/>
      <c r="J14" s="276" t="s">
        <v>896</v>
      </c>
      <c r="K14" s="277"/>
      <c r="L14" s="239" t="str">
        <f>IF(COUNT(HA30:JS41)=0,"","True")</f>
        <v>True</v>
      </c>
      <c r="N14" s="291"/>
      <c r="Q14" s="811" t="s">
        <v>25</v>
      </c>
      <c r="R14" s="265" t="s">
        <v>1460</v>
      </c>
      <c r="S14" s="437">
        <v>0.2</v>
      </c>
    </row>
    <row r="15" spans="1:600" x14ac:dyDescent="0.25">
      <c r="B15" s="270" t="s">
        <v>734</v>
      </c>
      <c r="C15" s="239">
        <v>12</v>
      </c>
      <c r="D15" s="239" t="s">
        <v>1085</v>
      </c>
      <c r="F15" s="270" t="str">
        <f>label!C13</f>
        <v>CPU frequency (GHz)</v>
      </c>
      <c r="G15" s="239">
        <f>IF(C13="","",C13/10^9)</f>
        <v>2.1999900704247959</v>
      </c>
      <c r="H15" s="254"/>
      <c r="J15" s="289" t="s">
        <v>1055</v>
      </c>
      <c r="K15" s="290"/>
      <c r="L15" s="239" t="str">
        <f>IF(COUNT(HS30:JT41)=0,"","True")</f>
        <v>True</v>
      </c>
      <c r="N15" s="291"/>
      <c r="Q15" s="812"/>
      <c r="R15" s="265" t="s">
        <v>1464</v>
      </c>
      <c r="S15" s="437">
        <v>8.0000000000000002E-3</v>
      </c>
      <c r="TV15" s="454"/>
    </row>
    <row r="16" spans="1:600" x14ac:dyDescent="0.25">
      <c r="B16" s="270" t="s">
        <v>593</v>
      </c>
      <c r="C16" s="239">
        <v>32</v>
      </c>
      <c r="D16" s="239" t="s">
        <v>735</v>
      </c>
      <c r="F16" s="526"/>
      <c r="G16" s="527"/>
      <c r="J16" s="289" t="s">
        <v>898</v>
      </c>
      <c r="K16" s="290"/>
      <c r="L16" s="239" t="str">
        <f>IF(COUNT(JC30:JS41)=0,"","True")</f>
        <v>True</v>
      </c>
      <c r="Q16" s="266" t="s">
        <v>1572</v>
      </c>
      <c r="R16" s="265" t="s">
        <v>1572</v>
      </c>
      <c r="S16" s="437">
        <v>0.01</v>
      </c>
    </row>
    <row r="17" spans="2:617" x14ac:dyDescent="0.25">
      <c r="B17" s="270" t="s">
        <v>736</v>
      </c>
      <c r="C17" s="239">
        <v>16</v>
      </c>
      <c r="D17" s="239" t="s">
        <v>595</v>
      </c>
      <c r="F17" s="526"/>
      <c r="G17" s="527"/>
      <c r="J17" s="289" t="s">
        <v>899</v>
      </c>
      <c r="K17" s="290"/>
      <c r="L17" s="239" t="str">
        <f>IF(COUNT(IK30:KL41)=0,"","True")</f>
        <v>True</v>
      </c>
      <c r="Q17" s="266" t="s">
        <v>1573</v>
      </c>
      <c r="R17" s="265" t="s">
        <v>1573</v>
      </c>
      <c r="S17" s="437">
        <v>5.0000000000000002E-5</v>
      </c>
    </row>
    <row r="18" spans="2:617" x14ac:dyDescent="0.25">
      <c r="B18" s="292" t="s">
        <v>1439</v>
      </c>
      <c r="C18" s="248" t="s">
        <v>1956</v>
      </c>
      <c r="D18" s="265" t="s">
        <v>1183</v>
      </c>
      <c r="J18" s="289" t="s">
        <v>900</v>
      </c>
      <c r="K18" s="290"/>
      <c r="L18" s="239" t="str">
        <f>IF(COUNT(JU30:KL41)=0,"","True")</f>
        <v>True</v>
      </c>
      <c r="Q18" s="811" t="s">
        <v>1467</v>
      </c>
      <c r="R18" s="265" t="s">
        <v>1468</v>
      </c>
      <c r="S18" s="437">
        <v>0.95</v>
      </c>
      <c r="TV18" s="454"/>
    </row>
    <row r="19" spans="2:617" x14ac:dyDescent="0.25">
      <c r="B19" s="270" t="s">
        <v>1443</v>
      </c>
      <c r="C19" s="431">
        <v>2</v>
      </c>
      <c r="D19" s="265" t="s">
        <v>1444</v>
      </c>
      <c r="J19" s="289" t="s">
        <v>901</v>
      </c>
      <c r="K19" s="290"/>
      <c r="L19" s="239" t="str">
        <f>IF(COUNT(KM30:LD41)=0,"","True")</f>
        <v>True</v>
      </c>
      <c r="Q19" s="812"/>
      <c r="R19" s="265" t="s">
        <v>1469</v>
      </c>
      <c r="S19" s="437">
        <v>1.05</v>
      </c>
    </row>
    <row r="20" spans="2:617" x14ac:dyDescent="0.25">
      <c r="B20" s="270" t="s">
        <v>1442</v>
      </c>
      <c r="C20" s="431">
        <v>1</v>
      </c>
      <c r="D20" s="265" t="s">
        <v>1445</v>
      </c>
      <c r="J20" s="289" t="s">
        <v>902</v>
      </c>
      <c r="K20" s="290"/>
      <c r="L20" s="239" t="str">
        <f>IF(COUNT(LE30:LT41)=0,"","True")</f>
        <v>True</v>
      </c>
      <c r="Q20" s="266" t="s">
        <v>1951</v>
      </c>
      <c r="R20" s="267" t="s">
        <v>1472</v>
      </c>
      <c r="S20" s="437">
        <v>1.4999999999999999E-4</v>
      </c>
    </row>
    <row r="21" spans="2:617" x14ac:dyDescent="0.25">
      <c r="B21" s="270" t="s">
        <v>1441</v>
      </c>
      <c r="C21" s="430">
        <v>2</v>
      </c>
      <c r="D21" s="265" t="s">
        <v>1361</v>
      </c>
    </row>
    <row r="24" spans="2:617" x14ac:dyDescent="0.15">
      <c r="D24" s="252" t="s">
        <v>883</v>
      </c>
      <c r="Q24" s="439"/>
    </row>
    <row r="25" spans="2:617" ht="47.25" x14ac:dyDescent="0.15">
      <c r="C25" s="293"/>
      <c r="D25" s="294" t="s">
        <v>1563</v>
      </c>
      <c r="KZ25" s="252" t="s">
        <v>1949</v>
      </c>
      <c r="NA25" s="134"/>
      <c r="NB25" s="134"/>
      <c r="NC25" s="131" t="str">
        <f>label!C23</f>
        <v>Statistics</v>
      </c>
      <c r="ND25" s="132" t="str">
        <f>IF($L$20="True","Lv4",IF($L$14="True","Lv3",IF($L$8="True","Lv2",IF($L$4="True","Lv1",""))))</f>
        <v>Lv4</v>
      </c>
      <c r="NE25" s="133"/>
      <c r="NF25" s="134"/>
      <c r="NG25" s="134"/>
      <c r="NH25" s="134"/>
      <c r="NI25" s="134"/>
      <c r="NJ25" s="134"/>
      <c r="NK25" s="134"/>
      <c r="NL25" s="134"/>
      <c r="NM25" s="134"/>
      <c r="NN25" s="134"/>
      <c r="NO25" s="135" t="str">
        <f>label!C40</f>
        <v>Cycle Accounting</v>
      </c>
      <c r="NP25" s="135"/>
      <c r="NQ25" s="132" t="str">
        <f>IF($L$20="True","Lv4",IF($L$14="True","Lv3",IF($L$8="True","Lv2","")))</f>
        <v>Lv4</v>
      </c>
      <c r="NR25" s="133"/>
      <c r="NS25" s="136"/>
      <c r="NT25" s="136"/>
      <c r="NU25" s="134"/>
      <c r="NV25" s="134"/>
      <c r="NW25" s="134"/>
      <c r="NX25" s="134"/>
      <c r="NY25" s="134"/>
      <c r="NZ25" s="134"/>
      <c r="OA25" s="134"/>
      <c r="OB25" s="134"/>
      <c r="OC25" s="134"/>
      <c r="OD25" s="134"/>
      <c r="OE25" s="134"/>
      <c r="OF25" s="134"/>
      <c r="OG25" s="134"/>
      <c r="OH25" s="134"/>
      <c r="OI25" s="134"/>
      <c r="OJ25" s="137" t="str">
        <f>label!C79</f>
        <v>Busy</v>
      </c>
      <c r="OK25" s="132" t="str">
        <f>IF($L$20="True","Lv4",IF($L$14="True","Lv3",IF($L$8="True","Lv2","")))</f>
        <v>Lv4</v>
      </c>
      <c r="OL25" s="133"/>
      <c r="OM25" s="136"/>
      <c r="ON25" s="134"/>
      <c r="OO25" s="134"/>
      <c r="OP25" s="134"/>
      <c r="OQ25" s="134"/>
      <c r="OR25" s="134"/>
      <c r="OS25" s="134"/>
      <c r="OT25" s="134"/>
      <c r="OU25" s="134"/>
      <c r="OV25" s="134"/>
      <c r="OW25" s="134"/>
      <c r="OX25" s="137" t="str">
        <f>label!C98</f>
        <v>Cache</v>
      </c>
      <c r="OY25" s="132" t="str">
        <f>IF($L$20="True","Lv4",IF($L$14="True","Lv3",IF($L$8="True","Lv2","")))</f>
        <v>Lv4</v>
      </c>
      <c r="OZ25" s="136"/>
      <c r="PA25" s="138"/>
      <c r="PB25" s="134"/>
      <c r="PC25" s="134"/>
      <c r="PD25" s="134"/>
      <c r="PE25" s="134"/>
      <c r="PF25" s="134"/>
      <c r="PG25" s="134"/>
      <c r="PH25" s="134"/>
      <c r="PI25" s="134"/>
      <c r="PJ25" s="134"/>
      <c r="PK25" s="134"/>
      <c r="PL25" s="139" t="str">
        <f>label!C121</f>
        <v>Instruction</v>
      </c>
      <c r="PM25" s="132" t="str">
        <f>IF($L$20="True","Lv4",IF($L$14="True","Lv3",IF($L$8="True","Lv2","")))</f>
        <v>Lv4</v>
      </c>
      <c r="PN25" s="508" t="str">
        <f>INDEX(Label_Instruction_Above,1,data_Lang_LangValue+1)</f>
        <v>Load-store instruction</v>
      </c>
      <c r="PO25" s="512"/>
      <c r="PP25" s="512"/>
      <c r="PQ25" s="512"/>
      <c r="PR25" s="512"/>
      <c r="PS25" s="512"/>
      <c r="PT25" s="512"/>
      <c r="PU25" s="512"/>
      <c r="PV25" s="512"/>
      <c r="PW25" s="512"/>
      <c r="PX25" s="512"/>
      <c r="PY25" s="513"/>
      <c r="PZ25" s="134"/>
      <c r="QA25" s="134"/>
      <c r="QB25" s="134"/>
      <c r="QC25" s="134"/>
      <c r="QD25" s="134"/>
      <c r="QE25" s="134"/>
      <c r="QF25" s="134"/>
      <c r="QG25" s="134"/>
      <c r="QH25" s="134"/>
      <c r="QI25" s="134"/>
      <c r="QJ25" s="134"/>
      <c r="QK25" s="134"/>
      <c r="QL25" s="134"/>
      <c r="QM25" s="134"/>
      <c r="QN25" s="134"/>
      <c r="QO25" s="426" t="str">
        <f>label!C182</f>
        <v>FLOPS</v>
      </c>
      <c r="QP25" s="133"/>
      <c r="QQ25" s="427"/>
      <c r="QS25" s="140" t="str">
        <f>label!C190</f>
        <v>Extra</v>
      </c>
      <c r="QT25" s="134"/>
      <c r="QU25" s="134"/>
      <c r="QV25" s="134"/>
      <c r="QW25" s="134"/>
      <c r="QX25" s="134"/>
      <c r="QY25" s="134"/>
      <c r="QZ25" s="134"/>
      <c r="RA25" s="134"/>
      <c r="RB25" s="134"/>
      <c r="RC25" s="141" t="str">
        <f>label!C226</f>
        <v xml:space="preserve">Hardware Prefetch Rate (%) (/Hardware Prefetch) </v>
      </c>
      <c r="RD25" s="134"/>
      <c r="RE25" s="134"/>
      <c r="RF25" s="134"/>
      <c r="RG25" s="134"/>
      <c r="RH25" s="134"/>
      <c r="RI25" s="134"/>
      <c r="RJ25" s="142" t="str">
        <f>label!C241</f>
        <v>Data Transfer CMGs</v>
      </c>
      <c r="RK25" s="134"/>
      <c r="RL25" s="134"/>
      <c r="RM25" s="134"/>
      <c r="RN25" s="134"/>
      <c r="RO25" s="134"/>
      <c r="RP25" s="134"/>
      <c r="RQ25" s="134"/>
      <c r="RR25" s="143" t="str">
        <f>label!C268</f>
        <v>Power Consumption (W)</v>
      </c>
      <c r="RS25" s="134"/>
      <c r="RT25" s="134"/>
      <c r="RU25" s="141" t="str">
        <f>label!C276</f>
        <v>Variation of Time</v>
      </c>
      <c r="RV25" s="134"/>
      <c r="RW25" s="134"/>
      <c r="RX25" s="134"/>
      <c r="RY25" s="134"/>
      <c r="RZ25" s="134"/>
      <c r="SA25" s="134"/>
      <c r="SB25" s="134"/>
      <c r="SC25" s="134"/>
      <c r="SD25" s="134"/>
      <c r="SE25" s="134"/>
      <c r="SF25" s="134"/>
      <c r="SG25" s="134"/>
      <c r="SH25" s="134"/>
      <c r="SI25" s="134"/>
      <c r="SJ25" s="134"/>
      <c r="SK25" s="134"/>
      <c r="SL25" s="134"/>
      <c r="SM25" s="141" t="str">
        <f>label!C318</f>
        <v>Mean Time</v>
      </c>
      <c r="SN25" s="134"/>
      <c r="SO25" s="141" t="str">
        <f>label!C324</f>
        <v>Balance</v>
      </c>
      <c r="SP25" s="134"/>
      <c r="SQ25" s="141" t="str">
        <f>label!C332</f>
        <v>Cycle Count</v>
      </c>
      <c r="SR25" s="134"/>
      <c r="SS25" s="134"/>
      <c r="ST25" s="134"/>
      <c r="SU25" s="134"/>
      <c r="SV25" s="134"/>
      <c r="SW25" s="134"/>
      <c r="SX25" s="134"/>
      <c r="SY25" s="134"/>
      <c r="SZ25" s="134"/>
      <c r="TA25" s="134"/>
      <c r="TB25" s="134"/>
      <c r="TC25" s="134"/>
      <c r="TD25" s="134"/>
      <c r="TE25" s="134"/>
      <c r="TF25" s="134"/>
      <c r="TG25" s="134"/>
      <c r="TK25" s="297" t="s">
        <v>879</v>
      </c>
      <c r="TQ25" s="297" t="s">
        <v>1428</v>
      </c>
      <c r="UC25" s="297" t="s">
        <v>1429</v>
      </c>
      <c r="VA25" s="297" t="s">
        <v>880</v>
      </c>
      <c r="VI25" s="10" t="s">
        <v>1417</v>
      </c>
      <c r="VM25" s="297"/>
      <c r="VQ25" s="297"/>
      <c r="VV25" s="297" t="s">
        <v>882</v>
      </c>
    </row>
    <row r="26" spans="2:617" ht="15.75" customHeight="1" x14ac:dyDescent="0.25">
      <c r="C26" s="295"/>
      <c r="D26" s="252" t="s">
        <v>1565</v>
      </c>
      <c r="AB26" s="254"/>
      <c r="AC26" s="299" t="s">
        <v>1756</v>
      </c>
      <c r="AF26" s="254"/>
      <c r="AG26" s="254"/>
      <c r="AH26" s="254"/>
      <c r="AI26" s="254"/>
      <c r="AJ26" s="243" t="s">
        <v>1161</v>
      </c>
      <c r="AK26" s="243" t="s">
        <v>1162</v>
      </c>
      <c r="AL26" s="243" t="s">
        <v>1163</v>
      </c>
      <c r="AM26" s="243" t="s">
        <v>1168</v>
      </c>
      <c r="AN26" s="243" t="s">
        <v>173</v>
      </c>
      <c r="AO26" s="243" t="s">
        <v>174</v>
      </c>
      <c r="AP26" s="243" t="s">
        <v>175</v>
      </c>
      <c r="AQ26" s="243" t="s">
        <v>176</v>
      </c>
      <c r="AR26" s="243" t="s">
        <v>177</v>
      </c>
      <c r="AS26" s="243" t="s">
        <v>178</v>
      </c>
      <c r="AT26" s="243" t="s">
        <v>179</v>
      </c>
      <c r="AU26" s="299" t="s">
        <v>1757</v>
      </c>
      <c r="AX26" s="254"/>
      <c r="AY26" s="254"/>
      <c r="AZ26" s="254"/>
      <c r="BA26" s="254"/>
      <c r="BB26" s="243" t="s">
        <v>1113</v>
      </c>
      <c r="BC26" s="243" t="s">
        <v>1114</v>
      </c>
      <c r="BD26" s="243" t="s">
        <v>1115</v>
      </c>
      <c r="BE26" s="243" t="s">
        <v>1116</v>
      </c>
      <c r="BF26" s="243" t="s">
        <v>920</v>
      </c>
      <c r="BG26" s="243" t="s">
        <v>180</v>
      </c>
      <c r="BH26" s="243" t="s">
        <v>181</v>
      </c>
      <c r="BI26" s="243" t="s">
        <v>182</v>
      </c>
      <c r="BJ26" s="243" t="s">
        <v>183</v>
      </c>
      <c r="BK26" s="243" t="s">
        <v>184</v>
      </c>
      <c r="BL26" s="243" t="s">
        <v>1117</v>
      </c>
      <c r="BM26" s="299" t="s">
        <v>1758</v>
      </c>
      <c r="BP26" s="254"/>
      <c r="BQ26" s="254"/>
      <c r="BR26" s="254"/>
      <c r="BS26" s="254"/>
      <c r="BT26" s="243" t="s">
        <v>1118</v>
      </c>
      <c r="BU26" s="243" t="s">
        <v>1119</v>
      </c>
      <c r="BV26" s="243" t="s">
        <v>1120</v>
      </c>
      <c r="BW26" s="302" t="s">
        <v>454</v>
      </c>
      <c r="BX26" s="302" t="s">
        <v>185</v>
      </c>
      <c r="BY26" s="302" t="s">
        <v>455</v>
      </c>
      <c r="BZ26" s="302" t="s">
        <v>186</v>
      </c>
      <c r="CA26" s="302" t="s">
        <v>187</v>
      </c>
      <c r="CB26" s="302" t="s">
        <v>188</v>
      </c>
      <c r="CC26" s="302" t="s">
        <v>189</v>
      </c>
      <c r="CD26" s="302" t="s">
        <v>456</v>
      </c>
      <c r="CE26" s="299" t="s">
        <v>1759</v>
      </c>
      <c r="CH26" s="254"/>
      <c r="CI26" s="254"/>
      <c r="CJ26" s="254"/>
      <c r="CK26" s="254"/>
      <c r="CL26" s="243" t="s">
        <v>1121</v>
      </c>
      <c r="CM26" s="243" t="s">
        <v>1122</v>
      </c>
      <c r="CN26" s="243" t="s">
        <v>1123</v>
      </c>
      <c r="CO26" s="243" t="s">
        <v>1351</v>
      </c>
      <c r="CP26" s="243" t="s">
        <v>190</v>
      </c>
      <c r="CQ26" s="243" t="s">
        <v>191</v>
      </c>
      <c r="CR26" s="243" t="s">
        <v>192</v>
      </c>
      <c r="CS26" s="243" t="s">
        <v>193</v>
      </c>
      <c r="CT26" s="243" t="s">
        <v>194</v>
      </c>
      <c r="CU26" s="243" t="s">
        <v>195</v>
      </c>
      <c r="CV26" s="243" t="s">
        <v>196</v>
      </c>
      <c r="CW26" s="299" t="s">
        <v>1760</v>
      </c>
      <c r="CZ26" s="254"/>
      <c r="DA26" s="254"/>
      <c r="DB26" s="254"/>
      <c r="DC26" s="254"/>
      <c r="DD26" s="243" t="s">
        <v>1169</v>
      </c>
      <c r="DE26" s="243" t="s">
        <v>1170</v>
      </c>
      <c r="DF26" s="243" t="s">
        <v>1171</v>
      </c>
      <c r="DG26" s="243" t="s">
        <v>1172</v>
      </c>
      <c r="DH26" s="243" t="s">
        <v>197</v>
      </c>
      <c r="DI26" s="243" t="s">
        <v>198</v>
      </c>
      <c r="DJ26" s="243" t="s">
        <v>199</v>
      </c>
      <c r="DK26" s="243" t="s">
        <v>200</v>
      </c>
      <c r="DL26" s="243" t="s">
        <v>201</v>
      </c>
      <c r="DM26" s="243" t="s">
        <v>202</v>
      </c>
      <c r="DN26" s="243" t="s">
        <v>203</v>
      </c>
      <c r="DO26" s="299" t="s">
        <v>1761</v>
      </c>
      <c r="DR26" s="254"/>
      <c r="DS26" s="254"/>
      <c r="DT26" s="254"/>
      <c r="DU26" s="254"/>
      <c r="DV26" s="243" t="s">
        <v>1124</v>
      </c>
      <c r="DW26" s="243" t="s">
        <v>1125</v>
      </c>
      <c r="DX26" s="243" t="s">
        <v>1126</v>
      </c>
      <c r="DY26" s="243" t="s">
        <v>1175</v>
      </c>
      <c r="DZ26" s="243" t="s">
        <v>204</v>
      </c>
      <c r="EA26" s="243" t="s">
        <v>205</v>
      </c>
      <c r="EB26" s="243" t="s">
        <v>206</v>
      </c>
      <c r="EC26" s="243" t="s">
        <v>207</v>
      </c>
      <c r="ED26" s="243" t="s">
        <v>208</v>
      </c>
      <c r="EE26" s="243" t="s">
        <v>209</v>
      </c>
      <c r="EF26" s="243" t="s">
        <v>210</v>
      </c>
      <c r="EG26" s="301" t="s">
        <v>1762</v>
      </c>
      <c r="EJ26" s="254"/>
      <c r="EK26" s="254"/>
      <c r="EL26" s="254"/>
      <c r="EM26" s="254"/>
      <c r="EN26" s="243" t="s">
        <v>1127</v>
      </c>
      <c r="EO26" s="243" t="s">
        <v>1128</v>
      </c>
      <c r="EP26" s="243" t="s">
        <v>1129</v>
      </c>
      <c r="EQ26" s="243" t="s">
        <v>1130</v>
      </c>
      <c r="ER26" s="243" t="s">
        <v>921</v>
      </c>
      <c r="ES26" s="243" t="s">
        <v>922</v>
      </c>
      <c r="ET26" s="243" t="s">
        <v>1476</v>
      </c>
      <c r="EU26" s="243" t="s">
        <v>1477</v>
      </c>
      <c r="EV26" s="243" t="s">
        <v>1478</v>
      </c>
      <c r="EW26" s="243" t="s">
        <v>1479</v>
      </c>
      <c r="EX26" s="243" t="s">
        <v>1480</v>
      </c>
      <c r="EY26" s="301" t="s">
        <v>1763</v>
      </c>
      <c r="FB26" s="254"/>
      <c r="FC26" s="254"/>
      <c r="FD26" s="254"/>
      <c r="FE26" s="254"/>
      <c r="FF26" s="243" t="s">
        <v>1131</v>
      </c>
      <c r="FG26" s="243" t="s">
        <v>1132</v>
      </c>
      <c r="FH26" s="243" t="s">
        <v>1133</v>
      </c>
      <c r="FI26" s="243" t="s">
        <v>1365</v>
      </c>
      <c r="FJ26" s="243" t="s">
        <v>1366</v>
      </c>
      <c r="FK26" s="243" t="s">
        <v>1367</v>
      </c>
      <c r="FL26" s="243" t="s">
        <v>1368</v>
      </c>
      <c r="FM26" s="243" t="s">
        <v>217</v>
      </c>
      <c r="FN26" s="243" t="s">
        <v>218</v>
      </c>
      <c r="FO26" s="243" t="s">
        <v>219</v>
      </c>
      <c r="FP26" s="243" t="s">
        <v>269</v>
      </c>
      <c r="FQ26" s="301" t="s">
        <v>1764</v>
      </c>
      <c r="FT26" s="254"/>
      <c r="FU26" s="254"/>
      <c r="FV26" s="254"/>
      <c r="FW26" s="254"/>
      <c r="FX26" s="243" t="s">
        <v>1134</v>
      </c>
      <c r="FY26" s="243" t="s">
        <v>1135</v>
      </c>
      <c r="FZ26" s="243" t="s">
        <v>1136</v>
      </c>
      <c r="GA26" s="243" t="s">
        <v>1176</v>
      </c>
      <c r="GB26" s="243" t="s">
        <v>211</v>
      </c>
      <c r="GC26" s="243" t="s">
        <v>212</v>
      </c>
      <c r="GD26" s="243" t="s">
        <v>213</v>
      </c>
      <c r="GE26" s="243" t="s">
        <v>214</v>
      </c>
      <c r="GF26" s="243" t="s">
        <v>215</v>
      </c>
      <c r="GG26" s="243" t="s">
        <v>216</v>
      </c>
      <c r="GH26" s="243" t="s">
        <v>268</v>
      </c>
      <c r="GI26" s="301" t="s">
        <v>1765</v>
      </c>
      <c r="GL26" s="254"/>
      <c r="GM26" s="254"/>
      <c r="GN26" s="254"/>
      <c r="GO26" s="254"/>
      <c r="GP26" s="243" t="s">
        <v>1137</v>
      </c>
      <c r="GQ26" s="243" t="s">
        <v>1138</v>
      </c>
      <c r="GR26" s="243" t="s">
        <v>1139</v>
      </c>
      <c r="GS26" s="243" t="s">
        <v>1140</v>
      </c>
      <c r="GT26" s="243" t="s">
        <v>220</v>
      </c>
      <c r="GU26" s="243" t="s">
        <v>221</v>
      </c>
      <c r="GV26" s="243" t="s">
        <v>222</v>
      </c>
      <c r="GW26" s="243" t="s">
        <v>223</v>
      </c>
      <c r="GX26" s="243" t="s">
        <v>224</v>
      </c>
      <c r="GY26" s="243" t="s">
        <v>225</v>
      </c>
      <c r="GZ26" s="243" t="s">
        <v>226</v>
      </c>
      <c r="HA26" s="301" t="s">
        <v>1766</v>
      </c>
      <c r="HD26" s="254"/>
      <c r="HE26" s="254"/>
      <c r="HF26" s="254"/>
      <c r="HG26" s="254"/>
      <c r="HH26" s="243" t="s">
        <v>1141</v>
      </c>
      <c r="HI26" s="243" t="s">
        <v>1142</v>
      </c>
      <c r="HJ26" s="243" t="s">
        <v>1143</v>
      </c>
      <c r="HK26" s="243" t="s">
        <v>1144</v>
      </c>
      <c r="HL26" s="243" t="s">
        <v>227</v>
      </c>
      <c r="HM26" s="243" t="s">
        <v>228</v>
      </c>
      <c r="HN26" s="243" t="s">
        <v>229</v>
      </c>
      <c r="HO26" s="243" t="s">
        <v>230</v>
      </c>
      <c r="HP26" s="243" t="s">
        <v>231</v>
      </c>
      <c r="HQ26" s="243" t="s">
        <v>232</v>
      </c>
      <c r="HR26" s="243" t="s">
        <v>1145</v>
      </c>
      <c r="HS26" s="301" t="s">
        <v>1767</v>
      </c>
      <c r="HV26" s="303"/>
      <c r="HW26" s="303"/>
      <c r="HX26" s="303"/>
      <c r="HY26" s="303"/>
      <c r="HZ26" s="243" t="s">
        <v>1146</v>
      </c>
      <c r="IA26" s="243" t="s">
        <v>1147</v>
      </c>
      <c r="IB26" s="243" t="s">
        <v>1148</v>
      </c>
      <c r="IC26" s="243" t="s">
        <v>1352</v>
      </c>
      <c r="ID26" s="243" t="s">
        <v>233</v>
      </c>
      <c r="IE26" s="243" t="s">
        <v>234</v>
      </c>
      <c r="IF26" s="243" t="s">
        <v>270</v>
      </c>
      <c r="IG26" s="243" t="s">
        <v>271</v>
      </c>
      <c r="IH26" s="243" t="s">
        <v>439</v>
      </c>
      <c r="II26" s="243" t="s">
        <v>440</v>
      </c>
      <c r="IJ26" s="243" t="s">
        <v>441</v>
      </c>
      <c r="IK26" s="301" t="s">
        <v>1768</v>
      </c>
      <c r="IN26" s="254"/>
      <c r="IO26" s="254"/>
      <c r="IP26" s="254"/>
      <c r="IQ26" s="254"/>
      <c r="IR26" s="243" t="s">
        <v>1357</v>
      </c>
      <c r="IS26" s="243" t="s">
        <v>1358</v>
      </c>
      <c r="IT26" s="243" t="s">
        <v>1359</v>
      </c>
      <c r="IU26" s="243" t="s">
        <v>1360</v>
      </c>
      <c r="IV26" s="243" t="s">
        <v>235</v>
      </c>
      <c r="IW26" s="243" t="s">
        <v>236</v>
      </c>
      <c r="IX26" s="243" t="s">
        <v>237</v>
      </c>
      <c r="IY26" s="243" t="s">
        <v>238</v>
      </c>
      <c r="IZ26" s="243" t="s">
        <v>239</v>
      </c>
      <c r="JA26" s="243" t="s">
        <v>240</v>
      </c>
      <c r="JB26" s="243" t="s">
        <v>272</v>
      </c>
      <c r="JC26" s="301" t="s">
        <v>1769</v>
      </c>
      <c r="JF26" s="254"/>
      <c r="JG26" s="254"/>
      <c r="JH26" s="254"/>
      <c r="JI26" s="254"/>
      <c r="JJ26" s="243" t="s">
        <v>1353</v>
      </c>
      <c r="JK26" s="243" t="s">
        <v>1354</v>
      </c>
      <c r="JL26" s="243" t="s">
        <v>1355</v>
      </c>
      <c r="JM26" s="243" t="s">
        <v>1356</v>
      </c>
      <c r="JN26" s="243" t="s">
        <v>248</v>
      </c>
      <c r="JO26" s="243" t="s">
        <v>249</v>
      </c>
      <c r="JP26" s="243" t="s">
        <v>250</v>
      </c>
      <c r="JQ26" s="243" t="s">
        <v>251</v>
      </c>
      <c r="JR26" s="243" t="s">
        <v>252</v>
      </c>
      <c r="JS26" s="243" t="s">
        <v>1917</v>
      </c>
      <c r="JT26" s="243" t="s">
        <v>253</v>
      </c>
      <c r="JU26" s="301" t="s">
        <v>1770</v>
      </c>
      <c r="JX26" s="254"/>
      <c r="JY26" s="254"/>
      <c r="JZ26" s="254"/>
      <c r="KA26" s="254"/>
      <c r="KB26" s="243" t="s">
        <v>1149</v>
      </c>
      <c r="KC26" s="243" t="s">
        <v>1150</v>
      </c>
      <c r="KD26" s="243" t="s">
        <v>1151</v>
      </c>
      <c r="KE26" s="243" t="s">
        <v>1177</v>
      </c>
      <c r="KF26" s="243" t="s">
        <v>254</v>
      </c>
      <c r="KG26" s="243" t="s">
        <v>255</v>
      </c>
      <c r="KH26" s="243" t="s">
        <v>256</v>
      </c>
      <c r="KI26" s="243" t="s">
        <v>257</v>
      </c>
      <c r="KJ26" s="243" t="s">
        <v>258</v>
      </c>
      <c r="KK26" s="243" t="s">
        <v>273</v>
      </c>
      <c r="KL26" s="243" t="s">
        <v>905</v>
      </c>
      <c r="KM26" s="301" t="s">
        <v>1771</v>
      </c>
      <c r="KP26" s="254"/>
      <c r="KQ26" s="254"/>
      <c r="KR26" s="254"/>
      <c r="KS26" s="254"/>
      <c r="KT26" s="243" t="s">
        <v>1152</v>
      </c>
      <c r="KU26" s="243" t="s">
        <v>1153</v>
      </c>
      <c r="KV26" s="243" t="s">
        <v>1154</v>
      </c>
      <c r="KW26" s="243" t="s">
        <v>1155</v>
      </c>
      <c r="KX26" s="243" t="s">
        <v>241</v>
      </c>
      <c r="KY26" s="243" t="s">
        <v>242</v>
      </c>
      <c r="KZ26" s="243" t="s">
        <v>243</v>
      </c>
      <c r="LA26" s="243" t="s">
        <v>244</v>
      </c>
      <c r="LB26" s="243" t="s">
        <v>245</v>
      </c>
      <c r="LC26" s="243" t="s">
        <v>246</v>
      </c>
      <c r="LD26" s="243" t="s">
        <v>247</v>
      </c>
      <c r="LE26" s="301" t="s">
        <v>1772</v>
      </c>
      <c r="LH26" s="254"/>
      <c r="LI26" s="254"/>
      <c r="LJ26" s="254"/>
      <c r="LK26" s="254"/>
      <c r="LL26" s="243" t="s">
        <v>1156</v>
      </c>
      <c r="LM26" s="243" t="s">
        <v>1157</v>
      </c>
      <c r="LN26" s="243" t="s">
        <v>1158</v>
      </c>
      <c r="LO26" s="243" t="s">
        <v>1159</v>
      </c>
      <c r="LP26" s="243" t="s">
        <v>1160</v>
      </c>
      <c r="LQ26" s="243" t="s">
        <v>906</v>
      </c>
      <c r="LR26" s="243" t="s">
        <v>259</v>
      </c>
      <c r="LS26" s="243" t="s">
        <v>260</v>
      </c>
      <c r="LT26" s="243" t="s">
        <v>907</v>
      </c>
      <c r="LU26" s="243" t="s">
        <v>274</v>
      </c>
      <c r="LV26" s="243" t="s">
        <v>275</v>
      </c>
      <c r="NA26" s="134"/>
      <c r="NB26" s="134"/>
      <c r="NC26" s="144"/>
      <c r="ND26" s="145"/>
      <c r="NE26" s="145"/>
      <c r="NF26" s="144"/>
      <c r="NG26" s="144"/>
      <c r="NH26" s="146"/>
      <c r="NI26" s="144"/>
      <c r="NJ26" s="144"/>
      <c r="NK26" s="146"/>
      <c r="NL26" s="146"/>
      <c r="NM26" s="144"/>
      <c r="NN26" s="144"/>
      <c r="NO26" s="144"/>
      <c r="NP26" s="147"/>
      <c r="NQ26" s="147"/>
      <c r="NR26" s="134"/>
      <c r="NS26" s="134"/>
      <c r="NT26" s="134"/>
      <c r="NU26" s="148"/>
      <c r="NV26" s="149"/>
      <c r="NW26" s="150"/>
      <c r="NX26" s="149"/>
      <c r="NY26" s="150"/>
      <c r="NZ26" s="149"/>
      <c r="OA26" s="148"/>
      <c r="OB26" s="144"/>
      <c r="OC26" s="144"/>
      <c r="OD26" s="148"/>
      <c r="OE26" s="148"/>
      <c r="OF26" s="148"/>
      <c r="OG26" s="148"/>
      <c r="OH26" s="149"/>
      <c r="OI26" s="144"/>
      <c r="OJ26" s="144"/>
      <c r="OK26" s="144"/>
      <c r="OL26" s="144"/>
      <c r="OM26" s="144"/>
      <c r="ON26" s="144"/>
      <c r="OO26" s="146"/>
      <c r="OP26" s="146"/>
      <c r="OQ26" s="144"/>
      <c r="OR26" s="144"/>
      <c r="OS26" s="151"/>
      <c r="OT26" s="151"/>
      <c r="OU26" s="151"/>
      <c r="OV26" s="151"/>
      <c r="OW26" s="151"/>
      <c r="OX26" s="144"/>
      <c r="OY26" s="145"/>
      <c r="OZ26" s="145"/>
      <c r="PA26" s="145"/>
      <c r="PB26" s="144"/>
      <c r="PC26" s="144"/>
      <c r="PD26" s="144"/>
      <c r="PE26" s="144"/>
      <c r="PF26" s="144"/>
      <c r="PG26" s="144"/>
      <c r="PH26" s="144"/>
      <c r="PI26" s="144"/>
      <c r="PJ26" s="144"/>
      <c r="PK26" s="144"/>
      <c r="PL26" s="530" t="str">
        <f>INDEX(Label_Instruction_Middle,1,data_Lang_LangValue+1)</f>
        <v>Load instruction</v>
      </c>
      <c r="PM26" s="531"/>
      <c r="PN26" s="531"/>
      <c r="PO26" s="531"/>
      <c r="PP26" s="531"/>
      <c r="PQ26" s="531"/>
      <c r="PR26" s="531"/>
      <c r="PS26" s="532"/>
      <c r="PT26" s="533" t="str">
        <f>INDEX(Label_Instruction_Middle,2,data_Lang_LangValue+1)</f>
        <v>Store instruction</v>
      </c>
      <c r="PU26" s="533"/>
      <c r="PV26" s="533"/>
      <c r="PW26" s="534"/>
      <c r="PX26" s="533"/>
      <c r="PY26" s="534"/>
      <c r="PZ26" s="152" t="s">
        <v>1399</v>
      </c>
      <c r="QA26" s="153"/>
      <c r="QB26" s="154"/>
      <c r="QC26" s="155"/>
      <c r="QD26" s="156" t="s">
        <v>1387</v>
      </c>
      <c r="QE26" s="157"/>
      <c r="QF26" s="155"/>
      <c r="QG26" s="158" t="s">
        <v>1371</v>
      </c>
      <c r="QH26" s="159"/>
      <c r="QI26" s="155"/>
      <c r="QJ26" s="155"/>
      <c r="QK26" s="155"/>
      <c r="QL26" s="155"/>
      <c r="QM26" s="155"/>
      <c r="QN26" s="160"/>
      <c r="QO26" s="144"/>
      <c r="QP26" s="144"/>
      <c r="QQ26" s="144"/>
      <c r="QR26" s="144"/>
      <c r="QS26" s="511" t="str">
        <f>INDEX(Label_Extra_Above,1,data_Lang_LangValue+1)</f>
        <v>Gather instruction rate (%)</v>
      </c>
      <c r="QT26" s="161"/>
      <c r="QU26" s="161"/>
      <c r="QV26" s="508" t="str">
        <f>INDEX(Label_Extra_Above,2,data_Lang_LangValue+1)</f>
        <v>Instruction</v>
      </c>
      <c r="QW26" s="161"/>
      <c r="QX26" s="161"/>
      <c r="QY26" s="161"/>
      <c r="QZ26" s="161"/>
      <c r="RA26" s="161"/>
      <c r="RB26" s="192"/>
      <c r="RC26" s="150"/>
      <c r="RD26" s="162"/>
      <c r="RE26" s="149"/>
      <c r="RF26" s="150"/>
      <c r="RG26" s="162"/>
      <c r="RH26" s="149"/>
      <c r="RI26" s="146"/>
      <c r="RJ26" s="149"/>
      <c r="RK26" s="813" t="str">
        <f>INDEX(Label_CMG_Above,1,data_Lang_LangValue+1)</f>
        <v>Destination (GB/s)</v>
      </c>
      <c r="RL26" s="814"/>
      <c r="RM26" s="814"/>
      <c r="RN26" s="814"/>
      <c r="RO26" s="814"/>
      <c r="RP26" s="814"/>
      <c r="RQ26" s="815"/>
      <c r="RR26" s="144"/>
      <c r="RS26" s="144"/>
      <c r="RT26" s="144"/>
      <c r="RU26" s="146"/>
      <c r="RV26" s="146"/>
      <c r="RW26" s="146"/>
      <c r="RX26" s="146"/>
      <c r="RY26" s="146"/>
      <c r="RZ26" s="146"/>
      <c r="SA26" s="146"/>
      <c r="SB26" s="146"/>
      <c r="SC26" s="146"/>
      <c r="SD26" s="146"/>
      <c r="SE26" s="146"/>
      <c r="SF26" s="146"/>
      <c r="SG26" s="146"/>
      <c r="SH26" s="146"/>
      <c r="SI26" s="146"/>
      <c r="SJ26" s="146"/>
      <c r="SK26" s="146"/>
      <c r="SL26" s="146"/>
      <c r="SM26" s="144"/>
      <c r="SN26" s="144"/>
      <c r="SO26" s="144"/>
      <c r="SP26" s="144"/>
      <c r="SQ26" s="144"/>
      <c r="SR26" s="144"/>
      <c r="SS26" s="144"/>
      <c r="ST26" s="144"/>
      <c r="SU26" s="144"/>
      <c r="SV26" s="144"/>
      <c r="SW26" s="144"/>
      <c r="SX26" s="144"/>
      <c r="SY26" s="144"/>
      <c r="SZ26" s="144"/>
      <c r="TA26" s="144"/>
      <c r="TB26" s="144"/>
      <c r="TC26" s="144"/>
      <c r="TD26" s="144"/>
      <c r="TE26" s="144"/>
      <c r="TF26" s="144"/>
      <c r="TG26" s="144"/>
    </row>
    <row r="27" spans="2:617" ht="31.5" x14ac:dyDescent="0.25">
      <c r="C27" s="296"/>
      <c r="D27" s="252" t="s">
        <v>1564</v>
      </c>
      <c r="AB27" s="306" t="s">
        <v>1773</v>
      </c>
      <c r="AC27" s="300"/>
      <c r="AD27" s="300"/>
      <c r="AE27" s="300"/>
      <c r="AF27" s="300"/>
      <c r="AG27" s="300"/>
      <c r="AH27" s="300"/>
      <c r="AI27" s="300"/>
      <c r="AJ27" s="300"/>
      <c r="AK27" s="307"/>
      <c r="AL27" s="300"/>
      <c r="AM27" s="239" t="s">
        <v>359</v>
      </c>
      <c r="AN27" s="239" t="s">
        <v>358</v>
      </c>
      <c r="AO27" s="239" t="s">
        <v>450</v>
      </c>
      <c r="AP27" s="254" t="s">
        <v>1174</v>
      </c>
      <c r="AQ27" s="239" t="s">
        <v>1064</v>
      </c>
      <c r="AR27" s="518" t="s">
        <v>1173</v>
      </c>
      <c r="AS27" s="239" t="s">
        <v>448</v>
      </c>
      <c r="AT27" s="239" t="s">
        <v>744</v>
      </c>
      <c r="AU27" s="300"/>
      <c r="AV27" s="300"/>
      <c r="AW27" s="300"/>
      <c r="AX27" s="300"/>
      <c r="AY27" s="300"/>
      <c r="AZ27" s="300"/>
      <c r="BA27" s="300"/>
      <c r="BB27" s="300"/>
      <c r="BC27" s="307"/>
      <c r="BD27" s="300"/>
      <c r="BE27" s="239" t="s">
        <v>360</v>
      </c>
      <c r="BF27" s="239" t="s">
        <v>772</v>
      </c>
      <c r="BG27" s="239" t="s">
        <v>747</v>
      </c>
      <c r="BH27" s="239" t="s">
        <v>366</v>
      </c>
      <c r="BI27" s="239" t="s">
        <v>361</v>
      </c>
      <c r="BJ27" s="239" t="s">
        <v>748</v>
      </c>
      <c r="BK27" s="239" t="s">
        <v>749</v>
      </c>
      <c r="BL27" s="239" t="s">
        <v>362</v>
      </c>
      <c r="BM27" s="300"/>
      <c r="BN27" s="300"/>
      <c r="BO27" s="300"/>
      <c r="BP27" s="300"/>
      <c r="BQ27" s="300"/>
      <c r="BR27" s="300"/>
      <c r="BS27" s="300"/>
      <c r="BT27" s="300"/>
      <c r="BU27" s="307"/>
      <c r="BV27" s="300"/>
      <c r="BW27" s="239" t="s">
        <v>752</v>
      </c>
      <c r="BX27" s="239" t="s">
        <v>52</v>
      </c>
      <c r="BY27" s="239" t="s">
        <v>753</v>
      </c>
      <c r="BZ27" s="239" t="s">
        <v>916</v>
      </c>
      <c r="CA27" s="239" t="s">
        <v>53</v>
      </c>
      <c r="CB27" s="239" t="s">
        <v>923</v>
      </c>
      <c r="CC27" s="239" t="s">
        <v>54</v>
      </c>
      <c r="CD27" s="239" t="s">
        <v>904</v>
      </c>
      <c r="CE27" s="300"/>
      <c r="CF27" s="300"/>
      <c r="CG27" s="300"/>
      <c r="CH27" s="300"/>
      <c r="CI27" s="300"/>
      <c r="CJ27" s="300"/>
      <c r="CK27" s="300"/>
      <c r="CL27" s="300"/>
      <c r="CM27" s="307"/>
      <c r="CN27" s="300"/>
      <c r="CO27" s="239" t="s">
        <v>1064</v>
      </c>
      <c r="CP27" s="239" t="s">
        <v>758</v>
      </c>
      <c r="CQ27" s="239" t="s">
        <v>372</v>
      </c>
      <c r="CR27" s="239" t="s">
        <v>759</v>
      </c>
      <c r="CS27" s="239" t="s">
        <v>365</v>
      </c>
      <c r="CT27" s="308" t="s">
        <v>363</v>
      </c>
      <c r="CU27" s="308" t="s">
        <v>757</v>
      </c>
      <c r="CV27" s="254" t="s">
        <v>1173</v>
      </c>
      <c r="CW27" s="300"/>
      <c r="CX27" s="300"/>
      <c r="CY27" s="300"/>
      <c r="CZ27" s="300"/>
      <c r="DA27" s="300"/>
      <c r="DB27" s="300"/>
      <c r="DC27" s="300"/>
      <c r="DD27" s="300"/>
      <c r="DE27" s="307"/>
      <c r="DF27" s="300"/>
      <c r="DG27" s="239" t="s">
        <v>763</v>
      </c>
      <c r="DH27" s="239" t="s">
        <v>764</v>
      </c>
      <c r="DI27" s="239" t="s">
        <v>765</v>
      </c>
      <c r="DJ27" s="239" t="s">
        <v>768</v>
      </c>
      <c r="DK27" s="239" t="s">
        <v>769</v>
      </c>
      <c r="DL27" s="239" t="s">
        <v>767</v>
      </c>
      <c r="DM27" s="239" t="s">
        <v>90</v>
      </c>
      <c r="DN27" s="239" t="s">
        <v>364</v>
      </c>
      <c r="DO27" s="300"/>
      <c r="DP27" s="300"/>
      <c r="DQ27" s="300"/>
      <c r="DR27" s="300"/>
      <c r="DS27" s="300"/>
      <c r="DT27" s="300"/>
      <c r="DU27" s="300"/>
      <c r="DV27" s="300"/>
      <c r="DW27" s="307"/>
      <c r="DX27" s="300"/>
      <c r="DY27" s="239" t="s">
        <v>770</v>
      </c>
      <c r="DZ27" s="239" t="s">
        <v>771</v>
      </c>
      <c r="EA27" s="239" t="s">
        <v>367</v>
      </c>
      <c r="EB27" s="239" t="s">
        <v>169</v>
      </c>
      <c r="EC27" s="239" t="s">
        <v>263</v>
      </c>
      <c r="ED27" s="239" t="s">
        <v>368</v>
      </c>
      <c r="EE27" s="239" t="s">
        <v>385</v>
      </c>
      <c r="EF27" s="239" t="s">
        <v>370</v>
      </c>
      <c r="EG27" s="300"/>
      <c r="EH27" s="300"/>
      <c r="EI27" s="300"/>
      <c r="EJ27" s="300"/>
      <c r="EK27" s="300"/>
      <c r="EL27" s="300"/>
      <c r="EM27" s="300"/>
      <c r="EN27" s="300"/>
      <c r="EO27" s="307"/>
      <c r="EP27" s="300"/>
      <c r="EQ27" s="239" t="s">
        <v>56</v>
      </c>
      <c r="ER27" s="239" t="s">
        <v>57</v>
      </c>
      <c r="ES27" s="239" t="s">
        <v>51</v>
      </c>
      <c r="ET27" s="239" t="s">
        <v>369</v>
      </c>
      <c r="EU27" s="239" t="s">
        <v>778</v>
      </c>
      <c r="EV27" s="239" t="s">
        <v>376</v>
      </c>
      <c r="EW27" s="239" t="s">
        <v>779</v>
      </c>
      <c r="EX27" s="239" t="s">
        <v>377</v>
      </c>
      <c r="EY27" s="300"/>
      <c r="EZ27" s="300"/>
      <c r="FA27" s="300"/>
      <c r="FB27" s="300"/>
      <c r="FC27" s="300"/>
      <c r="FD27" s="300"/>
      <c r="FE27" s="300"/>
      <c r="FF27" s="300"/>
      <c r="FG27" s="307"/>
      <c r="FH27" s="300"/>
      <c r="FI27" s="239" t="s">
        <v>777</v>
      </c>
      <c r="FJ27" s="239" t="s">
        <v>773</v>
      </c>
      <c r="FK27" s="239" t="s">
        <v>774</v>
      </c>
      <c r="FL27" s="239" t="s">
        <v>91</v>
      </c>
      <c r="FM27" s="239" t="s">
        <v>776</v>
      </c>
      <c r="FN27" s="239" t="s">
        <v>55</v>
      </c>
      <c r="FO27" s="239" t="s">
        <v>754</v>
      </c>
      <c r="FP27" s="239" t="s">
        <v>755</v>
      </c>
      <c r="FQ27" s="300"/>
      <c r="FR27" s="300"/>
      <c r="FS27" s="300"/>
      <c r="FT27" s="300"/>
      <c r="FU27" s="300"/>
      <c r="FV27" s="300"/>
      <c r="FW27" s="300"/>
      <c r="FX27" s="300"/>
      <c r="FY27" s="307"/>
      <c r="FZ27" s="300"/>
      <c r="GA27" s="239" t="s">
        <v>372</v>
      </c>
      <c r="GB27" s="239" t="s">
        <v>371</v>
      </c>
      <c r="GC27" s="239" t="s">
        <v>58</v>
      </c>
      <c r="GD27" s="239" t="s">
        <v>373</v>
      </c>
      <c r="GE27" s="239" t="s">
        <v>374</v>
      </c>
      <c r="GF27" s="239" t="s">
        <v>781</v>
      </c>
      <c r="GG27" s="239" t="s">
        <v>375</v>
      </c>
      <c r="GH27" s="254" t="s">
        <v>1173</v>
      </c>
      <c r="GI27" s="300"/>
      <c r="GJ27" s="300"/>
      <c r="GK27" s="300"/>
      <c r="GL27" s="300"/>
      <c r="GM27" s="300"/>
      <c r="GN27" s="300"/>
      <c r="GO27" s="300"/>
      <c r="GP27" s="300"/>
      <c r="GQ27" s="307"/>
      <c r="GR27" s="300"/>
      <c r="GS27" s="239" t="s">
        <v>783</v>
      </c>
      <c r="GT27" s="239" t="s">
        <v>784</v>
      </c>
      <c r="GU27" s="239" t="s">
        <v>785</v>
      </c>
      <c r="GV27" s="239" t="s">
        <v>378</v>
      </c>
      <c r="GW27" s="239" t="s">
        <v>379</v>
      </c>
      <c r="GX27" s="239" t="s">
        <v>786</v>
      </c>
      <c r="GY27" s="239" t="s">
        <v>380</v>
      </c>
      <c r="GZ27" s="239" t="s">
        <v>381</v>
      </c>
      <c r="HA27" s="300"/>
      <c r="HB27" s="300"/>
      <c r="HC27" s="300"/>
      <c r="HD27" s="300"/>
      <c r="HE27" s="300"/>
      <c r="HF27" s="300"/>
      <c r="HG27" s="300"/>
      <c r="HH27" s="300"/>
      <c r="HI27" s="307"/>
      <c r="HJ27" s="300"/>
      <c r="HK27" s="239" t="s">
        <v>787</v>
      </c>
      <c r="HL27" s="239" t="s">
        <v>449</v>
      </c>
      <c r="HM27" s="239" t="s">
        <v>788</v>
      </c>
      <c r="HN27" s="239" t="s">
        <v>383</v>
      </c>
      <c r="HO27" s="239" t="s">
        <v>790</v>
      </c>
      <c r="HP27" s="239" t="s">
        <v>789</v>
      </c>
      <c r="HQ27" s="239" t="s">
        <v>766</v>
      </c>
      <c r="HR27" s="239" t="s">
        <v>382</v>
      </c>
      <c r="HS27" s="300"/>
      <c r="HT27" s="300"/>
      <c r="HU27" s="300"/>
      <c r="HV27" s="300"/>
      <c r="HW27" s="300"/>
      <c r="HX27" s="300"/>
      <c r="HY27" s="300"/>
      <c r="HZ27" s="300"/>
      <c r="IA27" s="307"/>
      <c r="IB27" s="300"/>
      <c r="IC27" s="239" t="s">
        <v>391</v>
      </c>
      <c r="ID27" s="239" t="s">
        <v>791</v>
      </c>
      <c r="IE27" s="239" t="s">
        <v>386</v>
      </c>
      <c r="IF27" s="239" t="s">
        <v>392</v>
      </c>
      <c r="IG27" s="239" t="s">
        <v>442</v>
      </c>
      <c r="IH27" s="239" t="s">
        <v>381</v>
      </c>
      <c r="II27" s="239"/>
      <c r="IJ27" s="239"/>
      <c r="IK27" s="300"/>
      <c r="IL27" s="300"/>
      <c r="IM27" s="300"/>
      <c r="IN27" s="300"/>
      <c r="IO27" s="300"/>
      <c r="IP27" s="300"/>
      <c r="IQ27" s="300"/>
      <c r="IR27" s="300"/>
      <c r="IS27" s="307"/>
      <c r="IT27" s="300"/>
      <c r="IU27" s="239" t="s">
        <v>793</v>
      </c>
      <c r="IV27" s="239" t="s">
        <v>794</v>
      </c>
      <c r="IW27" s="239" t="s">
        <v>797</v>
      </c>
      <c r="IX27" s="239" t="s">
        <v>452</v>
      </c>
      <c r="IY27" s="239" t="s">
        <v>796</v>
      </c>
      <c r="IZ27" s="239" t="s">
        <v>92</v>
      </c>
      <c r="JA27" s="239" t="s">
        <v>384</v>
      </c>
      <c r="JB27" s="239"/>
      <c r="JC27" s="300"/>
      <c r="JD27" s="300"/>
      <c r="JE27" s="300"/>
      <c r="JF27" s="300"/>
      <c r="JG27" s="300"/>
      <c r="JH27" s="300"/>
      <c r="JI27" s="300"/>
      <c r="JJ27" s="300"/>
      <c r="JK27" s="307"/>
      <c r="JL27" s="300"/>
      <c r="JM27" s="239" t="s">
        <v>792</v>
      </c>
      <c r="JN27" s="239" t="s">
        <v>387</v>
      </c>
      <c r="JO27" s="239" t="s">
        <v>388</v>
      </c>
      <c r="JP27" s="239" t="s">
        <v>389</v>
      </c>
      <c r="JQ27" s="239" t="s">
        <v>390</v>
      </c>
      <c r="JR27" s="239" t="s">
        <v>96</v>
      </c>
      <c r="JS27" s="239" t="s">
        <v>98</v>
      </c>
      <c r="JT27" s="239"/>
      <c r="JU27" s="300"/>
      <c r="JV27" s="300"/>
      <c r="JW27" s="300"/>
      <c r="JX27" s="300"/>
      <c r="JY27" s="300"/>
      <c r="JZ27" s="300"/>
      <c r="KA27" s="300"/>
      <c r="KB27" s="300"/>
      <c r="KC27" s="307"/>
      <c r="KD27" s="300"/>
      <c r="KE27" s="239" t="s">
        <v>95</v>
      </c>
      <c r="KF27" s="239" t="s">
        <v>93</v>
      </c>
      <c r="KG27" s="239" t="s">
        <v>795</v>
      </c>
      <c r="KH27" s="239" t="s">
        <v>393</v>
      </c>
      <c r="KI27" s="239" t="s">
        <v>394</v>
      </c>
      <c r="KJ27" s="239" t="s">
        <v>775</v>
      </c>
      <c r="KK27" s="239" t="s">
        <v>585</v>
      </c>
      <c r="KL27" s="239"/>
      <c r="KM27" s="300"/>
      <c r="KN27" s="300"/>
      <c r="KO27" s="300"/>
      <c r="KP27" s="300"/>
      <c r="KQ27" s="300"/>
      <c r="KR27" s="300"/>
      <c r="KS27" s="300"/>
      <c r="KT27" s="300"/>
      <c r="KU27" s="307"/>
      <c r="KV27" s="300"/>
      <c r="KW27" s="239" t="s">
        <v>1939</v>
      </c>
      <c r="KX27" s="239" t="s">
        <v>1940</v>
      </c>
      <c r="KY27" s="239" t="s">
        <v>1941</v>
      </c>
      <c r="KZ27" s="239" t="s">
        <v>1915</v>
      </c>
      <c r="LA27" s="239" t="s">
        <v>94</v>
      </c>
      <c r="LB27" s="239" t="s">
        <v>97</v>
      </c>
      <c r="LC27" s="239" t="s">
        <v>99</v>
      </c>
      <c r="LD27" s="239" t="s">
        <v>100</v>
      </c>
      <c r="LE27" s="300"/>
      <c r="LF27" s="300"/>
      <c r="LG27" s="300"/>
      <c r="LH27" s="300"/>
      <c r="LI27" s="300"/>
      <c r="LJ27" s="300"/>
      <c r="LK27" s="300"/>
      <c r="LL27" s="300"/>
      <c r="LM27" s="307"/>
      <c r="LN27" s="300"/>
      <c r="LO27" s="239" t="s">
        <v>798</v>
      </c>
      <c r="LP27" s="239" t="s">
        <v>799</v>
      </c>
      <c r="LQ27" s="239" t="s">
        <v>101</v>
      </c>
      <c r="LR27" s="239" t="s">
        <v>172</v>
      </c>
      <c r="LS27" s="239" t="s">
        <v>170</v>
      </c>
      <c r="LT27" s="239" t="s">
        <v>171</v>
      </c>
      <c r="LU27" s="239" t="s">
        <v>1947</v>
      </c>
      <c r="LV27" s="239" t="s">
        <v>1948</v>
      </c>
      <c r="NA27" s="134"/>
      <c r="NB27" s="134"/>
      <c r="NC27" s="145"/>
      <c r="ND27" s="145"/>
      <c r="NE27" s="145"/>
      <c r="NF27" s="145"/>
      <c r="NG27" s="145"/>
      <c r="NH27" s="145"/>
      <c r="NI27" s="145"/>
      <c r="NJ27" s="145"/>
      <c r="NK27" s="145"/>
      <c r="NL27" s="145"/>
      <c r="NM27" s="145"/>
      <c r="NN27" s="145"/>
      <c r="NO27" s="546" t="str">
        <f>INDEX(Label_CycleAccounting_Above,1,data_Lang_LangValue+1)</f>
        <v>Prefetch port busy wait</v>
      </c>
      <c r="NP27" s="547"/>
      <c r="NQ27" s="163" t="str">
        <f>INDEX(Label_CycleAccounting_Above,2,data_Lang_LangValue+1)</f>
        <v>Memory access wait &amp; Cache access wait</v>
      </c>
      <c r="NR27" s="136"/>
      <c r="NS27" s="164"/>
      <c r="NT27" s="136"/>
      <c r="NU27" s="136"/>
      <c r="NV27" s="165"/>
      <c r="NW27" s="133" t="str">
        <f>INDEX(Label_CycleAccounting_Above,3,data_Lang_LangValue+1)</f>
        <v>Operation wait</v>
      </c>
      <c r="NX27" s="165"/>
      <c r="NY27" s="163" t="str">
        <f>INDEX(Label_CycleAccounting_Above,4,data_Lang_LangValue+1)</f>
        <v>Other wait</v>
      </c>
      <c r="NZ27" s="165"/>
      <c r="OA27" s="136"/>
      <c r="OB27" s="166"/>
      <c r="OC27" s="166"/>
      <c r="OD27" s="133" t="str">
        <f>INDEX(Label_CycleAccounting_Above,9,data_Lang_LangValue+1)</f>
        <v>Other instruction commit</v>
      </c>
      <c r="OE27" s="136"/>
      <c r="OF27" s="136"/>
      <c r="OG27" s="136"/>
      <c r="OH27" s="165"/>
      <c r="OI27" s="167"/>
      <c r="OJ27" s="145"/>
      <c r="OK27" s="145"/>
      <c r="OL27" s="145"/>
      <c r="OM27" s="145"/>
      <c r="ON27" s="145"/>
      <c r="OO27" s="145"/>
      <c r="OP27" s="145"/>
      <c r="OQ27" s="145"/>
      <c r="OR27" s="145"/>
      <c r="OS27" s="168"/>
      <c r="OT27" s="168"/>
      <c r="OU27" s="168"/>
      <c r="OV27" s="168"/>
      <c r="OW27" s="168"/>
      <c r="OX27" s="145"/>
      <c r="OY27" s="145"/>
      <c r="OZ27" s="145"/>
      <c r="PA27" s="145"/>
      <c r="PB27" s="145"/>
      <c r="PC27" s="145"/>
      <c r="PD27" s="145"/>
      <c r="PE27" s="145"/>
      <c r="PF27" s="145"/>
      <c r="PG27" s="145"/>
      <c r="PH27" s="145"/>
      <c r="PI27" s="145"/>
      <c r="PJ27" s="145"/>
      <c r="PK27" s="145"/>
      <c r="PL27" s="535" t="str">
        <f>INDEX(Label_Instruction_Middle2,1,data_Lang_LangValue+1)</f>
        <v>SIMD</v>
      </c>
      <c r="PM27" s="536"/>
      <c r="PN27" s="536"/>
      <c r="PO27" s="536"/>
      <c r="PP27" s="536"/>
      <c r="PQ27" s="536"/>
      <c r="PR27" s="537"/>
      <c r="PS27" s="538" t="str">
        <f>INDEX(Label_Instruction_Middle2,2,data_Lang_LangValue+1)</f>
        <v>Non-SIMD</v>
      </c>
      <c r="PT27" s="535" t="str">
        <f>INDEX(Label_Instruction_Middle2,3,data_Lang_LangValue+1)</f>
        <v>SIMD</v>
      </c>
      <c r="PU27" s="536"/>
      <c r="PV27" s="536"/>
      <c r="PW27" s="536"/>
      <c r="PX27" s="536"/>
      <c r="PY27" s="539" t="str">
        <f>INDEX(Label_Instruction_Middle2,4,data_Lang_LangValue+1)</f>
        <v>Non-SIMD</v>
      </c>
      <c r="PZ27" s="169"/>
      <c r="QA27" s="169"/>
      <c r="QB27" s="169"/>
      <c r="QC27" s="250"/>
      <c r="QD27" s="170"/>
      <c r="QE27" s="171"/>
      <c r="QF27" s="172"/>
      <c r="QG27" s="173"/>
      <c r="QH27" s="174"/>
      <c r="QI27" s="175"/>
      <c r="QJ27" s="249"/>
      <c r="QK27" s="175"/>
      <c r="QL27" s="175"/>
      <c r="QM27" s="175"/>
      <c r="QN27" s="175"/>
      <c r="QO27" s="145"/>
      <c r="QP27" s="145"/>
      <c r="QQ27" s="145"/>
      <c r="QR27" s="145"/>
      <c r="QS27" s="180"/>
      <c r="QT27" s="180"/>
      <c r="QU27" s="180"/>
      <c r="QW27" s="176"/>
      <c r="QX27" s="176"/>
      <c r="QY27" s="177"/>
      <c r="QZ27" s="178"/>
      <c r="RA27" s="179"/>
      <c r="RB27" s="168"/>
      <c r="RC27" s="133" t="str">
        <f>INDEX(Label_HardwarePrefetch_Above,1,data_Lang_LangValue+1)</f>
        <v>L1</v>
      </c>
      <c r="RD27" s="136"/>
      <c r="RE27" s="165"/>
      <c r="RF27" s="133" t="str">
        <f>INDEX(Label_HardwarePrefetch_Above,2,data_Lang_LangValue+1)</f>
        <v>L2</v>
      </c>
      <c r="RG27" s="136"/>
      <c r="RH27" s="165"/>
      <c r="RI27" s="181" t="str">
        <f>INDEX(Label_HardwarePrefetch_Above,3,data_Lang_LangValue+1)</f>
        <v>L1/L2</v>
      </c>
      <c r="RJ27" s="182"/>
      <c r="RK27" s="816"/>
      <c r="RL27" s="817"/>
      <c r="RM27" s="817"/>
      <c r="RN27" s="817"/>
      <c r="RO27" s="817"/>
      <c r="RP27" s="817"/>
      <c r="RQ27" s="818"/>
      <c r="RR27" s="145"/>
      <c r="RS27" s="145"/>
      <c r="RT27" s="145"/>
      <c r="RU27" s="183" t="str">
        <f t="shared" ref="RU27:SL27" si="2">INDEX(Label_Time,1+COLUMN(RU$27)-COLUMN($RU$27),data_Lang_LangValue+1)</f>
        <v>Base Time (s)</v>
      </c>
      <c r="RV27" s="183" t="str">
        <f t="shared" si="2"/>
        <v>statistics</v>
      </c>
      <c r="RW27" s="183" t="str">
        <f t="shared" si="2"/>
        <v>cycleaccounting1</v>
      </c>
      <c r="RX27" s="183" t="str">
        <f t="shared" si="2"/>
        <v>busy1</v>
      </c>
      <c r="RY27" s="183" t="str">
        <f t="shared" si="2"/>
        <v>cache1</v>
      </c>
      <c r="RZ27" s="183" t="str">
        <f t="shared" si="2"/>
        <v>instruction1</v>
      </c>
      <c r="SA27" s="183" t="str">
        <f t="shared" si="2"/>
        <v>cycleaccounting2</v>
      </c>
      <c r="SB27" s="183" t="str">
        <f t="shared" si="2"/>
        <v>cycleaccounting3</v>
      </c>
      <c r="SC27" s="183" t="str">
        <f t="shared" si="2"/>
        <v>busy2</v>
      </c>
      <c r="SD27" s="183" t="str">
        <f t="shared" si="2"/>
        <v>cache2</v>
      </c>
      <c r="SE27" s="183" t="str">
        <f t="shared" si="2"/>
        <v>instruction2</v>
      </c>
      <c r="SF27" s="183" t="str">
        <f t="shared" si="2"/>
        <v>instruction3</v>
      </c>
      <c r="SG27" s="183" t="str">
        <f t="shared" si="2"/>
        <v>cycleaccountingex</v>
      </c>
      <c r="SH27" s="183" t="str">
        <f t="shared" si="2"/>
        <v>hardwareprefetch</v>
      </c>
      <c r="SI27" s="183" t="str">
        <f t="shared" si="2"/>
        <v>extra1</v>
      </c>
      <c r="SJ27" s="183" t="str">
        <f t="shared" si="2"/>
        <v>extra2</v>
      </c>
      <c r="SK27" s="183" t="str">
        <f t="shared" si="2"/>
        <v>CMG1</v>
      </c>
      <c r="SL27" s="183" t="str">
        <f t="shared" si="2"/>
        <v>CMG2</v>
      </c>
      <c r="SM27" s="145"/>
      <c r="SN27" s="145"/>
      <c r="SO27" s="145"/>
      <c r="SP27" s="145"/>
      <c r="SQ27" s="145"/>
      <c r="SR27" s="145"/>
      <c r="SS27" s="145"/>
      <c r="ST27" s="145"/>
      <c r="SU27" s="145"/>
      <c r="SV27" s="145"/>
      <c r="SW27" s="145"/>
      <c r="SX27" s="145"/>
      <c r="SY27" s="145"/>
      <c r="SZ27" s="145"/>
      <c r="TA27" s="145"/>
      <c r="TB27" s="145"/>
      <c r="TC27" s="145"/>
      <c r="TD27" s="145"/>
      <c r="TE27" s="145"/>
      <c r="TF27" s="145"/>
      <c r="TG27" s="145"/>
      <c r="TQ27" s="252" t="s">
        <v>1751</v>
      </c>
      <c r="UC27" s="252" t="s">
        <v>1752</v>
      </c>
      <c r="VA27" s="252" t="s">
        <v>1754</v>
      </c>
      <c r="VH27" s="314"/>
      <c r="VI27" s="252" t="s">
        <v>1755</v>
      </c>
      <c r="VL27" s="314"/>
      <c r="VM27" s="252" t="s">
        <v>1755</v>
      </c>
      <c r="VQ27" s="252" t="s">
        <v>1755</v>
      </c>
    </row>
    <row r="28" spans="2:617" ht="111" thickBot="1" x14ac:dyDescent="0.4">
      <c r="AB28" s="315" t="s">
        <v>1165</v>
      </c>
      <c r="AC28" s="300" t="s">
        <v>1331</v>
      </c>
      <c r="AD28" s="300" t="s">
        <v>517</v>
      </c>
      <c r="AE28" s="300" t="s">
        <v>737</v>
      </c>
      <c r="AF28" s="300" t="s">
        <v>738</v>
      </c>
      <c r="AG28" s="300" t="s">
        <v>1332</v>
      </c>
      <c r="AH28" s="300" t="s">
        <v>739</v>
      </c>
      <c r="AI28" s="300" t="s">
        <v>740</v>
      </c>
      <c r="AJ28" s="300" t="s">
        <v>741</v>
      </c>
      <c r="AK28" s="307" t="s">
        <v>742</v>
      </c>
      <c r="AL28" s="300" t="s">
        <v>743</v>
      </c>
      <c r="AM28" s="315" t="s">
        <v>413</v>
      </c>
      <c r="AN28" s="315" t="s">
        <v>414</v>
      </c>
      <c r="AO28" s="315" t="s">
        <v>1192</v>
      </c>
      <c r="AP28" s="315" t="s">
        <v>1193</v>
      </c>
      <c r="AQ28" s="315" t="s">
        <v>1194</v>
      </c>
      <c r="AR28" s="315" t="s">
        <v>1195</v>
      </c>
      <c r="AS28" s="315" t="s">
        <v>1196</v>
      </c>
      <c r="AT28" s="315" t="s">
        <v>415</v>
      </c>
      <c r="AU28" s="300" t="s">
        <v>1331</v>
      </c>
      <c r="AV28" s="300" t="s">
        <v>517</v>
      </c>
      <c r="AW28" s="300" t="s">
        <v>518</v>
      </c>
      <c r="AX28" s="300" t="s">
        <v>738</v>
      </c>
      <c r="AY28" s="300" t="s">
        <v>1332</v>
      </c>
      <c r="AZ28" s="300" t="s">
        <v>745</v>
      </c>
      <c r="BA28" s="300" t="s">
        <v>740</v>
      </c>
      <c r="BB28" s="300" t="s">
        <v>511</v>
      </c>
      <c r="BC28" s="307" t="s">
        <v>742</v>
      </c>
      <c r="BD28" s="300" t="s">
        <v>746</v>
      </c>
      <c r="BE28" s="315" t="s">
        <v>1197</v>
      </c>
      <c r="BF28" s="315" t="s">
        <v>1198</v>
      </c>
      <c r="BG28" s="315" t="s">
        <v>1199</v>
      </c>
      <c r="BH28" s="315" t="s">
        <v>1200</v>
      </c>
      <c r="BI28" s="315" t="s">
        <v>1201</v>
      </c>
      <c r="BJ28" s="315" t="s">
        <v>1202</v>
      </c>
      <c r="BK28" s="315" t="s">
        <v>1203</v>
      </c>
      <c r="BL28" s="315" t="s">
        <v>1204</v>
      </c>
      <c r="BM28" s="300" t="s">
        <v>1331</v>
      </c>
      <c r="BN28" s="300" t="s">
        <v>750</v>
      </c>
      <c r="BO28" s="300" t="s">
        <v>518</v>
      </c>
      <c r="BP28" s="300" t="s">
        <v>73</v>
      </c>
      <c r="BQ28" s="300" t="s">
        <v>1332</v>
      </c>
      <c r="BR28" s="300" t="s">
        <v>519</v>
      </c>
      <c r="BS28" s="300" t="s">
        <v>751</v>
      </c>
      <c r="BT28" s="300" t="s">
        <v>741</v>
      </c>
      <c r="BU28" s="307" t="s">
        <v>265</v>
      </c>
      <c r="BV28" s="300" t="s">
        <v>743</v>
      </c>
      <c r="BW28" s="315" t="s">
        <v>1205</v>
      </c>
      <c r="BX28" s="315" t="s">
        <v>1206</v>
      </c>
      <c r="BY28" s="315" t="s">
        <v>1207</v>
      </c>
      <c r="BZ28" s="315" t="s">
        <v>1208</v>
      </c>
      <c r="CA28" s="315" t="s">
        <v>1209</v>
      </c>
      <c r="CB28" s="315" t="s">
        <v>1210</v>
      </c>
      <c r="CC28" s="315" t="s">
        <v>1211</v>
      </c>
      <c r="CD28" s="315" t="s">
        <v>1212</v>
      </c>
      <c r="CE28" s="300" t="s">
        <v>1331</v>
      </c>
      <c r="CF28" s="300" t="s">
        <v>750</v>
      </c>
      <c r="CG28" s="300" t="s">
        <v>737</v>
      </c>
      <c r="CH28" s="300" t="s">
        <v>738</v>
      </c>
      <c r="CI28" s="300" t="s">
        <v>1332</v>
      </c>
      <c r="CJ28" s="300" t="s">
        <v>745</v>
      </c>
      <c r="CK28" s="300" t="s">
        <v>520</v>
      </c>
      <c r="CL28" s="300" t="s">
        <v>741</v>
      </c>
      <c r="CM28" s="307" t="s">
        <v>756</v>
      </c>
      <c r="CN28" s="300" t="s">
        <v>743</v>
      </c>
      <c r="CO28" s="315" t="s">
        <v>1194</v>
      </c>
      <c r="CP28" s="315" t="s">
        <v>1213</v>
      </c>
      <c r="CQ28" s="315" t="s">
        <v>1897</v>
      </c>
      <c r="CR28" s="315" t="s">
        <v>1192</v>
      </c>
      <c r="CS28" s="315" t="s">
        <v>1214</v>
      </c>
      <c r="CT28" s="316" t="s">
        <v>314</v>
      </c>
      <c r="CU28" s="316" t="s">
        <v>317</v>
      </c>
      <c r="CV28" s="315" t="s">
        <v>1195</v>
      </c>
      <c r="CW28" s="300" t="s">
        <v>1331</v>
      </c>
      <c r="CX28" s="300" t="s">
        <v>760</v>
      </c>
      <c r="CY28" s="300" t="s">
        <v>518</v>
      </c>
      <c r="CZ28" s="300" t="s">
        <v>761</v>
      </c>
      <c r="DA28" s="300" t="s">
        <v>1332</v>
      </c>
      <c r="DB28" s="300" t="s">
        <v>745</v>
      </c>
      <c r="DC28" s="300" t="s">
        <v>520</v>
      </c>
      <c r="DD28" s="300" t="s">
        <v>741</v>
      </c>
      <c r="DE28" s="307" t="s">
        <v>762</v>
      </c>
      <c r="DF28" s="300" t="s">
        <v>264</v>
      </c>
      <c r="DG28" s="315" t="s">
        <v>417</v>
      </c>
      <c r="DH28" s="315" t="s">
        <v>418</v>
      </c>
      <c r="DI28" s="315" t="s">
        <v>319</v>
      </c>
      <c r="DJ28" s="315" t="s">
        <v>1215</v>
      </c>
      <c r="DK28" s="315" t="s">
        <v>1216</v>
      </c>
      <c r="DL28" s="315" t="s">
        <v>419</v>
      </c>
      <c r="DM28" s="315" t="s">
        <v>420</v>
      </c>
      <c r="DN28" s="315" t="s">
        <v>416</v>
      </c>
      <c r="DO28" s="300" t="s">
        <v>1331</v>
      </c>
      <c r="DP28" s="300" t="s">
        <v>760</v>
      </c>
      <c r="DQ28" s="300" t="s">
        <v>518</v>
      </c>
      <c r="DR28" s="300" t="s">
        <v>761</v>
      </c>
      <c r="DS28" s="300" t="s">
        <v>1332</v>
      </c>
      <c r="DT28" s="300" t="s">
        <v>739</v>
      </c>
      <c r="DU28" s="300" t="s">
        <v>520</v>
      </c>
      <c r="DV28" s="300" t="s">
        <v>511</v>
      </c>
      <c r="DW28" s="307" t="s">
        <v>265</v>
      </c>
      <c r="DX28" s="300" t="s">
        <v>264</v>
      </c>
      <c r="DY28" s="315" t="s">
        <v>1218</v>
      </c>
      <c r="DZ28" s="315" t="s">
        <v>1219</v>
      </c>
      <c r="EA28" s="315" t="s">
        <v>1220</v>
      </c>
      <c r="EB28" s="315" t="s">
        <v>1221</v>
      </c>
      <c r="EC28" s="315" t="s">
        <v>1222</v>
      </c>
      <c r="ED28" s="315" t="s">
        <v>1223</v>
      </c>
      <c r="EE28" s="315" t="s">
        <v>1248</v>
      </c>
      <c r="EF28" s="315" t="s">
        <v>1225</v>
      </c>
      <c r="EG28" s="300" t="s">
        <v>1331</v>
      </c>
      <c r="EH28" s="300" t="s">
        <v>517</v>
      </c>
      <c r="EI28" s="300" t="s">
        <v>518</v>
      </c>
      <c r="EJ28" s="300" t="s">
        <v>73</v>
      </c>
      <c r="EK28" s="300" t="s">
        <v>1332</v>
      </c>
      <c r="EL28" s="300" t="s">
        <v>745</v>
      </c>
      <c r="EM28" s="300" t="s">
        <v>520</v>
      </c>
      <c r="EN28" s="300" t="s">
        <v>511</v>
      </c>
      <c r="EO28" s="307" t="s">
        <v>265</v>
      </c>
      <c r="EP28" s="300" t="s">
        <v>264</v>
      </c>
      <c r="EQ28" s="315" t="s">
        <v>1226</v>
      </c>
      <c r="ER28" s="315" t="s">
        <v>1227</v>
      </c>
      <c r="ES28" s="315" t="s">
        <v>1228</v>
      </c>
      <c r="ET28" s="315" t="s">
        <v>1224</v>
      </c>
      <c r="EU28" s="315" t="s">
        <v>423</v>
      </c>
      <c r="EV28" s="315" t="s">
        <v>424</v>
      </c>
      <c r="EW28" s="315" t="s">
        <v>425</v>
      </c>
      <c r="EX28" s="315" t="s">
        <v>426</v>
      </c>
      <c r="EY28" s="300" t="s">
        <v>1331</v>
      </c>
      <c r="EZ28" s="300" t="s">
        <v>517</v>
      </c>
      <c r="FA28" s="300" t="s">
        <v>518</v>
      </c>
      <c r="FB28" s="300" t="s">
        <v>738</v>
      </c>
      <c r="FC28" s="300" t="s">
        <v>1332</v>
      </c>
      <c r="FD28" s="300" t="s">
        <v>745</v>
      </c>
      <c r="FE28" s="300" t="s">
        <v>740</v>
      </c>
      <c r="FF28" s="300" t="s">
        <v>511</v>
      </c>
      <c r="FG28" s="307" t="s">
        <v>742</v>
      </c>
      <c r="FH28" s="300" t="s">
        <v>264</v>
      </c>
      <c r="FI28" s="315" t="s">
        <v>1266</v>
      </c>
      <c r="FJ28" s="315" t="s">
        <v>1229</v>
      </c>
      <c r="FK28" s="315" t="s">
        <v>1230</v>
      </c>
      <c r="FL28" s="315" t="s">
        <v>1231</v>
      </c>
      <c r="FM28" s="315" t="s">
        <v>1234</v>
      </c>
      <c r="FN28" s="315" t="s">
        <v>1235</v>
      </c>
      <c r="FO28" s="315" t="s">
        <v>1236</v>
      </c>
      <c r="FP28" s="315" t="s">
        <v>1237</v>
      </c>
      <c r="FQ28" s="300" t="s">
        <v>1331</v>
      </c>
      <c r="FR28" s="300" t="s">
        <v>760</v>
      </c>
      <c r="FS28" s="300" t="s">
        <v>780</v>
      </c>
      <c r="FT28" s="300" t="s">
        <v>761</v>
      </c>
      <c r="FU28" s="300" t="s">
        <v>1332</v>
      </c>
      <c r="FV28" s="300" t="s">
        <v>519</v>
      </c>
      <c r="FW28" s="300" t="s">
        <v>740</v>
      </c>
      <c r="FX28" s="300" t="s">
        <v>741</v>
      </c>
      <c r="FY28" s="307" t="s">
        <v>265</v>
      </c>
      <c r="FZ28" s="300" t="s">
        <v>264</v>
      </c>
      <c r="GA28" s="315" t="s">
        <v>421</v>
      </c>
      <c r="GB28" s="315" t="s">
        <v>1238</v>
      </c>
      <c r="GC28" s="315" t="s">
        <v>422</v>
      </c>
      <c r="GD28" s="315" t="s">
        <v>1239</v>
      </c>
      <c r="GE28" s="315" t="s">
        <v>1240</v>
      </c>
      <c r="GF28" s="315" t="s">
        <v>1278</v>
      </c>
      <c r="GG28" s="315" t="s">
        <v>1241</v>
      </c>
      <c r="GH28" s="315" t="s">
        <v>1195</v>
      </c>
      <c r="GI28" s="300" t="s">
        <v>1331</v>
      </c>
      <c r="GJ28" s="300" t="s">
        <v>782</v>
      </c>
      <c r="GK28" s="300" t="s">
        <v>518</v>
      </c>
      <c r="GL28" s="300" t="s">
        <v>738</v>
      </c>
      <c r="GM28" s="300" t="s">
        <v>1332</v>
      </c>
      <c r="GN28" s="300" t="s">
        <v>739</v>
      </c>
      <c r="GO28" s="300" t="s">
        <v>740</v>
      </c>
      <c r="GP28" s="300" t="s">
        <v>511</v>
      </c>
      <c r="GQ28" s="307" t="s">
        <v>742</v>
      </c>
      <c r="GR28" s="300" t="s">
        <v>743</v>
      </c>
      <c r="GS28" s="315" t="s">
        <v>315</v>
      </c>
      <c r="GT28" s="315" t="s">
        <v>318</v>
      </c>
      <c r="GU28" s="315" t="s">
        <v>316</v>
      </c>
      <c r="GV28" s="315" t="s">
        <v>1279</v>
      </c>
      <c r="GW28" s="315" t="s">
        <v>1280</v>
      </c>
      <c r="GX28" s="315" t="s">
        <v>313</v>
      </c>
      <c r="GY28" s="315" t="s">
        <v>320</v>
      </c>
      <c r="GZ28" s="315" t="s">
        <v>1242</v>
      </c>
      <c r="HA28" s="300" t="s">
        <v>1331</v>
      </c>
      <c r="HB28" s="300" t="s">
        <v>517</v>
      </c>
      <c r="HC28" s="300" t="s">
        <v>780</v>
      </c>
      <c r="HD28" s="300" t="s">
        <v>73</v>
      </c>
      <c r="HE28" s="300" t="s">
        <v>1332</v>
      </c>
      <c r="HF28" s="300" t="s">
        <v>519</v>
      </c>
      <c r="HG28" s="300" t="s">
        <v>520</v>
      </c>
      <c r="HH28" s="300" t="s">
        <v>511</v>
      </c>
      <c r="HI28" s="307" t="s">
        <v>742</v>
      </c>
      <c r="HJ28" s="300" t="s">
        <v>264</v>
      </c>
      <c r="HK28" s="315" t="s">
        <v>804</v>
      </c>
      <c r="HL28" s="315" t="s">
        <v>805</v>
      </c>
      <c r="HM28" s="315" t="s">
        <v>427</v>
      </c>
      <c r="HN28" s="315" t="s">
        <v>1243</v>
      </c>
      <c r="HO28" s="315" t="s">
        <v>1244</v>
      </c>
      <c r="HP28" s="315" t="s">
        <v>1245</v>
      </c>
      <c r="HQ28" s="315" t="s">
        <v>1217</v>
      </c>
      <c r="HR28" s="315" t="s">
        <v>1247</v>
      </c>
      <c r="HS28" s="300" t="s">
        <v>1331</v>
      </c>
      <c r="HT28" s="300" t="s">
        <v>517</v>
      </c>
      <c r="HU28" s="300" t="s">
        <v>518</v>
      </c>
      <c r="HV28" s="300" t="s">
        <v>451</v>
      </c>
      <c r="HW28" s="300" t="s">
        <v>1332</v>
      </c>
      <c r="HX28" s="300" t="s">
        <v>739</v>
      </c>
      <c r="HY28" s="300" t="s">
        <v>740</v>
      </c>
      <c r="HZ28" s="300" t="s">
        <v>511</v>
      </c>
      <c r="IA28" s="307" t="s">
        <v>742</v>
      </c>
      <c r="IB28" s="300" t="s">
        <v>264</v>
      </c>
      <c r="IC28" s="315" t="s">
        <v>312</v>
      </c>
      <c r="ID28" s="315" t="s">
        <v>1249</v>
      </c>
      <c r="IE28" s="315" t="s">
        <v>1250</v>
      </c>
      <c r="IF28" s="315" t="s">
        <v>1258</v>
      </c>
      <c r="IG28" s="315" t="s">
        <v>1267</v>
      </c>
      <c r="IH28" s="315" t="s">
        <v>1242</v>
      </c>
      <c r="II28" s="315" t="s">
        <v>1333</v>
      </c>
      <c r="IJ28" s="315" t="s">
        <v>1333</v>
      </c>
      <c r="IK28" s="300" t="s">
        <v>1331</v>
      </c>
      <c r="IL28" s="300" t="s">
        <v>760</v>
      </c>
      <c r="IM28" s="300" t="s">
        <v>737</v>
      </c>
      <c r="IN28" s="300" t="s">
        <v>73</v>
      </c>
      <c r="IO28" s="300" t="s">
        <v>1332</v>
      </c>
      <c r="IP28" s="300" t="s">
        <v>519</v>
      </c>
      <c r="IQ28" s="300" t="s">
        <v>520</v>
      </c>
      <c r="IR28" s="300" t="s">
        <v>741</v>
      </c>
      <c r="IS28" s="307" t="s">
        <v>265</v>
      </c>
      <c r="IT28" s="300" t="s">
        <v>746</v>
      </c>
      <c r="IU28" s="315" t="s">
        <v>428</v>
      </c>
      <c r="IV28" s="315" t="s">
        <v>322</v>
      </c>
      <c r="IW28" s="315" t="s">
        <v>321</v>
      </c>
      <c r="IX28" s="315" t="s">
        <v>329</v>
      </c>
      <c r="IY28" s="315" t="s">
        <v>1259</v>
      </c>
      <c r="IZ28" s="315" t="s">
        <v>1260</v>
      </c>
      <c r="JA28" s="315" t="s">
        <v>1246</v>
      </c>
      <c r="JB28" s="315" t="s">
        <v>1333</v>
      </c>
      <c r="JC28" s="300" t="s">
        <v>1331</v>
      </c>
      <c r="JD28" s="300" t="s">
        <v>517</v>
      </c>
      <c r="JE28" s="300" t="s">
        <v>737</v>
      </c>
      <c r="JF28" s="300" t="s">
        <v>761</v>
      </c>
      <c r="JG28" s="300" t="s">
        <v>1332</v>
      </c>
      <c r="JH28" s="300" t="s">
        <v>745</v>
      </c>
      <c r="JI28" s="300" t="s">
        <v>740</v>
      </c>
      <c r="JJ28" s="300" t="s">
        <v>741</v>
      </c>
      <c r="JK28" s="307" t="s">
        <v>265</v>
      </c>
      <c r="JL28" s="300" t="s">
        <v>743</v>
      </c>
      <c r="JM28" s="315" t="s">
        <v>1251</v>
      </c>
      <c r="JN28" s="315" t="s">
        <v>1252</v>
      </c>
      <c r="JO28" s="315" t="s">
        <v>1253</v>
      </c>
      <c r="JP28" s="315" t="s">
        <v>1254</v>
      </c>
      <c r="JQ28" s="315" t="s">
        <v>1255</v>
      </c>
      <c r="JR28" s="315" t="s">
        <v>1256</v>
      </c>
      <c r="JS28" s="315" t="s">
        <v>1257</v>
      </c>
      <c r="JT28" s="315" t="s">
        <v>1333</v>
      </c>
      <c r="JU28" s="300" t="s">
        <v>1331</v>
      </c>
      <c r="JV28" s="300" t="s">
        <v>750</v>
      </c>
      <c r="JW28" s="300" t="s">
        <v>737</v>
      </c>
      <c r="JX28" s="300" t="s">
        <v>761</v>
      </c>
      <c r="JY28" s="300" t="s">
        <v>1332</v>
      </c>
      <c r="JZ28" s="300" t="s">
        <v>745</v>
      </c>
      <c r="KA28" s="300" t="s">
        <v>740</v>
      </c>
      <c r="KB28" s="300" t="s">
        <v>741</v>
      </c>
      <c r="KC28" s="307" t="s">
        <v>742</v>
      </c>
      <c r="KD28" s="300" t="s">
        <v>264</v>
      </c>
      <c r="KE28" s="315" t="s">
        <v>1261</v>
      </c>
      <c r="KF28" s="315" t="s">
        <v>1262</v>
      </c>
      <c r="KG28" s="315" t="s">
        <v>1263</v>
      </c>
      <c r="KH28" s="315" t="s">
        <v>1264</v>
      </c>
      <c r="KI28" s="315" t="s">
        <v>1265</v>
      </c>
      <c r="KJ28" s="315" t="s">
        <v>1232</v>
      </c>
      <c r="KK28" s="315" t="s">
        <v>1233</v>
      </c>
      <c r="KL28" s="315" t="s">
        <v>1333</v>
      </c>
      <c r="KM28" s="300" t="s">
        <v>1331</v>
      </c>
      <c r="KN28" s="300" t="s">
        <v>517</v>
      </c>
      <c r="KO28" s="300" t="s">
        <v>737</v>
      </c>
      <c r="KP28" s="300" t="s">
        <v>73</v>
      </c>
      <c r="KQ28" s="300" t="s">
        <v>1332</v>
      </c>
      <c r="KR28" s="300" t="s">
        <v>519</v>
      </c>
      <c r="KS28" s="300" t="s">
        <v>740</v>
      </c>
      <c r="KT28" s="300" t="s">
        <v>511</v>
      </c>
      <c r="KU28" s="307" t="s">
        <v>756</v>
      </c>
      <c r="KV28" s="300" t="s">
        <v>264</v>
      </c>
      <c r="KW28" s="315" t="s">
        <v>1942</v>
      </c>
      <c r="KX28" s="315" t="s">
        <v>1943</v>
      </c>
      <c r="KY28" s="315" t="s">
        <v>1944</v>
      </c>
      <c r="KZ28" s="315" t="s">
        <v>1916</v>
      </c>
      <c r="LA28" s="315" t="s">
        <v>1268</v>
      </c>
      <c r="LB28" s="315" t="s">
        <v>1269</v>
      </c>
      <c r="LC28" s="315" t="s">
        <v>1270</v>
      </c>
      <c r="LD28" s="315" t="s">
        <v>1271</v>
      </c>
      <c r="LE28" s="300" t="s">
        <v>1331</v>
      </c>
      <c r="LF28" s="300" t="s">
        <v>750</v>
      </c>
      <c r="LG28" s="300" t="s">
        <v>518</v>
      </c>
      <c r="LH28" s="300" t="s">
        <v>73</v>
      </c>
      <c r="LI28" s="300" t="s">
        <v>1332</v>
      </c>
      <c r="LJ28" s="300" t="s">
        <v>519</v>
      </c>
      <c r="LK28" s="300" t="s">
        <v>520</v>
      </c>
      <c r="LL28" s="300" t="s">
        <v>511</v>
      </c>
      <c r="LM28" s="307" t="s">
        <v>265</v>
      </c>
      <c r="LN28" s="300" t="s">
        <v>743</v>
      </c>
      <c r="LO28" s="315" t="s">
        <v>1272</v>
      </c>
      <c r="LP28" s="315" t="s">
        <v>1273</v>
      </c>
      <c r="LQ28" s="315" t="s">
        <v>1274</v>
      </c>
      <c r="LR28" s="315" t="s">
        <v>1275</v>
      </c>
      <c r="LS28" s="315" t="s">
        <v>1276</v>
      </c>
      <c r="LT28" s="315" t="s">
        <v>1277</v>
      </c>
      <c r="LU28" s="315" t="s">
        <v>1945</v>
      </c>
      <c r="LV28" s="315" t="s">
        <v>1946</v>
      </c>
      <c r="MD28" s="255" t="s">
        <v>806</v>
      </c>
      <c r="NA28" s="134"/>
      <c r="NB28" s="134"/>
      <c r="NC28" s="184" t="str">
        <f t="shared" ref="NC28:NN28" si="3">INDEX(Label_Statistics,1+COLUMN(NC$28)-COLUMN($NC$28),data_Lang_LangValue+1)</f>
        <v>Execution time (s)</v>
      </c>
      <c r="ND28" s="184" t="str">
        <f t="shared" si="3"/>
        <v>GFLOPS</v>
      </c>
      <c r="NE28" s="184" t="str">
        <f t="shared" si="3"/>
        <v>Floating-point operation peak ratio (%)</v>
      </c>
      <c r="NF28" s="184" t="str">
        <f t="shared" si="3"/>
        <v>Memory throughput (GB/s)</v>
      </c>
      <c r="NG28" s="184" t="str">
        <f t="shared" si="3"/>
        <v>Memory throughput peak ratio (%)</v>
      </c>
      <c r="NH28" s="184" t="str">
        <f t="shared" si="3"/>
        <v>Effective instruction</v>
      </c>
      <c r="NI28" s="184" t="str">
        <f t="shared" si="3"/>
        <v>Floating-point operation</v>
      </c>
      <c r="NJ28" s="184" t="str">
        <f t="shared" si="3"/>
        <v>SIMD instruction rate (%) (/Effective instruction)</v>
      </c>
      <c r="NK28" s="184" t="str">
        <f t="shared" si="3"/>
        <v>SVE operation rate (%)</v>
      </c>
      <c r="NL28" s="184" t="str">
        <f t="shared" si="3"/>
        <v>Floating-point pipeline Active element rate (%)</v>
      </c>
      <c r="NM28" s="184" t="str">
        <f t="shared" si="3"/>
        <v>IPC</v>
      </c>
      <c r="NN28" s="184" t="str">
        <f t="shared" si="3"/>
        <v>GIPS</v>
      </c>
      <c r="NO28" s="185" t="str">
        <f>IF($NQ$25="Lv2",INDEX(Label_CycleAccounting_Above,1,data_Lang_LangValue+1),
                                  INDEX(Label_CycleAccounting,1+COLUMN(NO$28)-COLUMN($NO$28),data_Lang_LangValue+1) )</f>
        <v>Prefetch port busy wait by hardware prefetch</v>
      </c>
      <c r="NP28" s="185" t="str">
        <f t="shared" ref="NP28:NT28" si="4">INDEX(Label_CycleAccounting,1+COLUMN(NP$28)-COLUMN($NO$28),data_Lang_LangValue+1)</f>
        <v>Prefetch port busy wait by software prefetch</v>
      </c>
      <c r="NQ28" s="186" t="str">
        <f t="shared" si="4"/>
        <v>Integer load memory access wait</v>
      </c>
      <c r="NR28" s="186" t="str">
        <f t="shared" si="4"/>
        <v>Floating-point load memory access wait</v>
      </c>
      <c r="NS28" s="186" t="str">
        <f t="shared" si="4"/>
        <v>Integer load L2 cache access wait</v>
      </c>
      <c r="NT28" s="186" t="str">
        <f t="shared" si="4"/>
        <v>Integer load L1D cache access wait</v>
      </c>
      <c r="NU28" s="186" t="str">
        <f>IF($NQ$25="Lv2",INDEX(Label_CycleAccounting_Above,2,data_Lang_LangValue+1),
                 INDEX(Label_CycleAccounting,1+COLUMN(NU$28)-COLUMN($NO$28),data_Lang_LangValue+1))</f>
        <v>Floating-point load L2 cache access wait</v>
      </c>
      <c r="NV28" s="186" t="str">
        <f t="shared" ref="NV28:OG28" si="5">INDEX(Label_CycleAccounting,1+COLUMN(NV$28)-COLUMN($NO$28),data_Lang_LangValue+1)</f>
        <v>Floating-point load L1D cache access wait (*)</v>
      </c>
      <c r="NW28" s="186" t="str">
        <f t="shared" si="5"/>
        <v>Integer operation wait</v>
      </c>
      <c r="NX28" s="186" t="str">
        <f>IF($NQ$25="Lv2",INDEX(Label_CycleAccounting_Above,3,data_Lang_LangValue+1),
                                  INDEX(Label_CycleAccounting,1+COLUMN(NX$28)-COLUMN($NO$28),data_Lang_LangValue+1))</f>
        <v>Floating-point operation wait</v>
      </c>
      <c r="NY28" s="186" t="str">
        <f t="shared" si="5"/>
        <v>Branch instruction wait</v>
      </c>
      <c r="NZ28" s="186" t="str">
        <f>IF($NQ$25="Lv2",INDEX(Label_CycleAccounting_Above,4,data_Lang_LangValue+1),
  INDEX(Label_CycleAccounting,1+COLUMN(NZ$28)-COLUMN($NO$28),data_Lang_LangValue+1))</f>
        <v>Other wait</v>
      </c>
      <c r="OA28" s="186" t="str">
        <f t="shared" si="5"/>
        <v>Store port busy wait</v>
      </c>
      <c r="OB28" s="186" t="str">
        <f t="shared" si="5"/>
        <v>Instruction fetch wait</v>
      </c>
      <c r="OC28" s="186" t="str">
        <f t="shared" si="5"/>
        <v>Barrier synchronization wait</v>
      </c>
      <c r="OD28" s="186" t="str">
        <f t="shared" si="5"/>
        <v>1 instruction commit</v>
      </c>
      <c r="OE28" s="186" t="str">
        <f t="shared" si="5"/>
        <v>2 instruction commit</v>
      </c>
      <c r="OF28" s="186" t="str">
        <f t="shared" si="5"/>
        <v>3 instruction commit</v>
      </c>
      <c r="OG28" s="186" t="str">
        <f t="shared" si="5"/>
        <v>4 instruction commit</v>
      </c>
      <c r="OH28" s="187" t="str">
        <f>IF($NQ$25="Lv2",INDEX(Label_CycleAccounting_Above,9,data_Lang_LangValue+1),
  INDEX(Label_CycleAccounting,1+COLUMN(OH$28)-COLUMN($NO$28),data_Lang_LangValue+1))</f>
        <v>Other instruction commit</v>
      </c>
      <c r="OI28" s="188" t="str">
        <f>INDEX(Label_CycleAccounting,1+COLUMN(OI$28)-COLUMN($NO$28),data_Lang_LangValue+1)</f>
        <v>Total</v>
      </c>
      <c r="OJ28" s="189" t="str">
        <f t="shared" ref="OJ28:OW28" si="6">INDEX(Label_Busy,1+COLUMN(OJ$48)-COLUMN($OJ$48),data_Lang_LangValue+1)</f>
        <v>Floating-point operation pipeline A busy rate (%)</v>
      </c>
      <c r="OK28" s="189" t="str">
        <f t="shared" si="6"/>
        <v>Floating-point operation pipeline B busy rate (%)</v>
      </c>
      <c r="OL28" s="189" t="str">
        <f t="shared" si="6"/>
        <v>Integer operation pipeline A busy rate (%)</v>
      </c>
      <c r="OM28" s="189" t="str">
        <f t="shared" si="6"/>
        <v>Integer operation pipeline B busy rate (%)</v>
      </c>
      <c r="ON28" s="189" t="str">
        <f t="shared" si="6"/>
        <v>L1 busy rate (%)</v>
      </c>
      <c r="OO28" s="189" t="str">
        <f t="shared" si="6"/>
        <v>L2 busy rate (%)</v>
      </c>
      <c r="OP28" s="189" t="str">
        <f t="shared" si="6"/>
        <v>Memory busy rate (%)</v>
      </c>
      <c r="OQ28" s="189" t="str">
        <f t="shared" si="6"/>
        <v>Address calculation operation pipeline A busy rate (%)</v>
      </c>
      <c r="OR28" s="189" t="str">
        <f t="shared" si="6"/>
        <v>Address calculation operation pipeline B busy rate (%)</v>
      </c>
      <c r="OS28" s="189" t="str">
        <f t="shared" si="6"/>
        <v>Floating-point pipeline A Active element rate (%)</v>
      </c>
      <c r="OT28" s="189" t="str">
        <f t="shared" si="6"/>
        <v>Floating-point pipeline B Active element rate (%)</v>
      </c>
      <c r="OU28" s="189" t="str">
        <f t="shared" si="6"/>
        <v>L1 pipeline 0 Active element rate (%)</v>
      </c>
      <c r="OV28" s="189" t="str">
        <f t="shared" si="6"/>
        <v>L1 pipeline 1 Active element rate (%)</v>
      </c>
      <c r="OW28" s="189" t="str">
        <f t="shared" si="6"/>
        <v>SFI(Store Fetch Interlock) rate</v>
      </c>
      <c r="OX28" s="190" t="str">
        <f t="shared" ref="OX28:PK28" si="7">INDEX(Label_Cache,1+COLUMN(OX$28)-COLUMN($OX$28),data_Lang_LangValue+1)</f>
        <v>L1I miss rate (/Effective instruction)</v>
      </c>
      <c r="OY28" s="190" t="str">
        <f t="shared" si="7"/>
        <v>Load-store instruction</v>
      </c>
      <c r="OZ28" s="190" t="str">
        <f t="shared" si="7"/>
        <v>L1D miss</v>
      </c>
      <c r="PA28" s="190" t="str">
        <f>INDEX(Label_Cache,1+COLUMN(PA$28)-COLUMN($OX$28),data_Lang_LangValue+1)</f>
        <v>L1D miss rate (/Load-store instruction)</v>
      </c>
      <c r="PB28" s="190" t="str">
        <f t="shared" si="7"/>
        <v>L1D miss demand rate (%) (/L1D miss)</v>
      </c>
      <c r="PC28" s="190" t="str">
        <f t="shared" si="7"/>
        <v>L1D miss hardware prefetch rate (%) (/L1D miss)</v>
      </c>
      <c r="PD28" s="190" t="str">
        <f t="shared" si="7"/>
        <v>L1D miss software prefetch rate (%) (/L1D miss)</v>
      </c>
      <c r="PE28" s="190" t="str">
        <f>INDEX(Label_Cache,1+COLUMN(PE$28)-COLUMN($OX$28),data_Lang_LangValue+1)</f>
        <v>L2 miss</v>
      </c>
      <c r="PF28" s="190" t="str">
        <f t="shared" si="7"/>
        <v>L2 miss rate (/Load-store instruction)</v>
      </c>
      <c r="PG28" s="190" t="str">
        <f t="shared" si="7"/>
        <v>L2 miss demand rate (%) (/L2 miss)</v>
      </c>
      <c r="PH28" s="190" t="str">
        <f t="shared" si="7"/>
        <v>L2 miss hardware prefetch rate (%) (/L2 miss)</v>
      </c>
      <c r="PI28" s="190" t="str">
        <f t="shared" si="7"/>
        <v>L2 miss software prefetch rate (%) (/L2 miss)</v>
      </c>
      <c r="PJ28" s="190" t="str">
        <f t="shared" si="7"/>
        <v>L1D TLB miss rate (/Load-store instruction)</v>
      </c>
      <c r="PK28" s="190" t="str">
        <f t="shared" si="7"/>
        <v>L2D TLB miss rate (/Load-store instruction)</v>
      </c>
      <c r="PL28" s="191" t="str">
        <f>IF($PM$25="Lv2",INDEX(Label_Instruction,30,data_Lang_LangValue+1),
                                  INDEX(Label_Instruction,1+COLUMN(PL$28)-COLUMN($PL$28),data_Lang_LangValue+1))</f>
        <v>Single vector contiguous load instruction</v>
      </c>
      <c r="PM28" s="192" t="str">
        <f>INDEX(Label_Instruction,1+COLUMN(PM$28)-COLUMN($PL$28),data_Lang_LangValue+1)</f>
        <v>Multiple vector contiguous structure load instruction</v>
      </c>
      <c r="PN28" s="192" t="str">
        <f>INDEX(Label_Instruction,1+COLUMN(PN$28)-COLUMN($PL$28),data_Lang_LangValue+1)</f>
        <v>Non-contiguous gather load instruction</v>
      </c>
      <c r="PO28" s="192" t="str">
        <f>INDEX(Label_Instruction,1+COLUMN(PO$28)-COLUMN($PL$28),data_Lang_LangValue+1)</f>
        <v>Broadcast load instruction</v>
      </c>
      <c r="PP28" s="193" t="str">
        <f>IF($PM$25="Lv3",INDEX(Label_Instruction,32,data_Lang_LangValue+1),
  INDEX(Label_Instruction,1+COLUMN(PP$28)-COLUMN($PL$28),data_Lang_LangValue+1))</f>
        <v>Floating-point register fill instruction</v>
      </c>
      <c r="PQ28" s="193" t="str">
        <f t="shared" ref="PQ28:QN28" si="8">INDEX(Label_Instruction,1+COLUMN(PQ$28)-COLUMN($PL$28),data_Lang_LangValue+1)</f>
        <v>Predicate register fill instruction</v>
      </c>
      <c r="PR28" s="193" t="str">
        <f t="shared" si="8"/>
        <v>First-fault load instruction</v>
      </c>
      <c r="PS28" s="193" t="str">
        <f t="shared" si="8"/>
        <v>Non-SIMD load instruction</v>
      </c>
      <c r="PT28" s="193" t="str">
        <f>IF($PM$25="Lv2",INDEX(Label_Instruction,31,data_Lang_LangValue+1),
  INDEX(Label_Instruction,1+COLUMN(PT$28)-COLUMN($PL$28),data_Lang_LangValue+1))</f>
        <v>Single vector contiguous store instruction</v>
      </c>
      <c r="PU28" s="193" t="str">
        <f t="shared" si="8"/>
        <v>Multiple vector contiguous structure store instruction</v>
      </c>
      <c r="PV28" s="193" t="str">
        <f t="shared" si="8"/>
        <v>Non-contiguous scatter store instruction</v>
      </c>
      <c r="PW28" s="193" t="str">
        <f>IF($PM$25="Lv3",INDEX(Label_Instruction,33,data_Lang_LangValue+1),
   INDEX(Label_Instruction,1+COLUMN(PW$28)-COLUMN($PL$28),data_Lang_LangValue+1))</f>
        <v>Floating-point register spill instruction</v>
      </c>
      <c r="PX28" s="193" t="str">
        <f t="shared" si="8"/>
        <v>Predicate register spill instruction</v>
      </c>
      <c r="PY28" s="515" t="str">
        <f t="shared" si="8"/>
        <v>Non-SIMD store instruction</v>
      </c>
      <c r="PZ28" s="515" t="str">
        <f t="shared" si="8"/>
        <v>Contiguous prefetch instruction</v>
      </c>
      <c r="QA28" s="515" t="str">
        <f t="shared" si="8"/>
        <v>Gathering prefetch instruction</v>
      </c>
      <c r="QB28" s="515" t="str">
        <f t="shared" si="8"/>
        <v>Scalar prefetch instruction</v>
      </c>
      <c r="QC28" s="515" t="str">
        <f t="shared" si="8"/>
        <v>DCZVA instruction</v>
      </c>
      <c r="QD28" s="515" t="str">
        <f t="shared" si="8"/>
        <v>Floating-point instruction except FMA and reciprocal</v>
      </c>
      <c r="QE28" s="515" t="str">
        <f t="shared" si="8"/>
        <v>FMA instruction</v>
      </c>
      <c r="QF28" s="515" t="str">
        <f t="shared" si="8"/>
        <v>Floating-point reciprocal instruction</v>
      </c>
      <c r="QG28" s="515" t="str">
        <f t="shared" si="8"/>
        <v>Floating-point conversion instruction</v>
      </c>
      <c r="QH28" s="515" t="str">
        <f t="shared" si="8"/>
        <v>Floating-point move instruction</v>
      </c>
      <c r="QI28" s="515" t="str">
        <f t="shared" si="8"/>
        <v>Integer instruction</v>
      </c>
      <c r="QJ28" s="515" t="str">
        <f t="shared" si="8"/>
        <v>Branch instruction</v>
      </c>
      <c r="QK28" s="515" t="str">
        <f t="shared" si="8"/>
        <v>Predicate instruction</v>
      </c>
      <c r="QL28" s="515" t="str">
        <f t="shared" si="8"/>
        <v>Crypto-graphic instruction</v>
      </c>
      <c r="QM28" s="515" t="str">
        <f t="shared" si="8"/>
        <v>Other instruction</v>
      </c>
      <c r="QN28" s="515" t="str">
        <f t="shared" si="8"/>
        <v>Total</v>
      </c>
      <c r="QO28" s="189" t="str">
        <f t="shared" ref="QO28:QR28" si="9">INDEX(Label_Flops,1+COLUMN(QO$28)-COLUMN($QO$28),data_Lang_LangValue+1)</f>
        <v>Double precision floating-point operation</v>
      </c>
      <c r="QP28" s="189" t="str">
        <f t="shared" si="9"/>
        <v>Single precision floating-point operation</v>
      </c>
      <c r="QQ28" s="189" t="str">
        <f t="shared" si="9"/>
        <v>Half precision floating-point operation</v>
      </c>
      <c r="QR28" s="189" t="str">
        <f t="shared" si="9"/>
        <v>GFLOPS by Active element rate</v>
      </c>
      <c r="QS28" s="190" t="str">
        <f t="shared" ref="QS28:RB28" si="10">INDEX(Label_Extra,1+COLUMN(QS$28)-COLUMN($QS$46),data_Lang_LangValue+1)</f>
        <v>0 flow rate (%)</v>
      </c>
      <c r="QT28" s="190" t="str">
        <f t="shared" si="10"/>
        <v>1 flow rate (%)</v>
      </c>
      <c r="QU28" s="190" t="str">
        <f t="shared" si="10"/>
        <v>2 flows rate (%)</v>
      </c>
      <c r="QV28" s="190" t="str">
        <f t="shared" si="10"/>
        <v>Micro-operation instruction</v>
      </c>
      <c r="QW28" s="190" t="str">
        <f t="shared" si="10"/>
        <v>Element manipulated instruction</v>
      </c>
      <c r="QX28" s="190" t="str">
        <f t="shared" si="10"/>
        <v>Register manipulated instruction</v>
      </c>
      <c r="QY28" s="190" t="str">
        <f t="shared" si="10"/>
        <v>MOVPRFX instruction</v>
      </c>
      <c r="QZ28" s="190" t="str">
        <f t="shared" si="10"/>
        <v>Math functional instruction</v>
      </c>
      <c r="RA28" s="190" t="str">
        <f t="shared" si="10"/>
        <v>Micro decomposition instruction rate (%)</v>
      </c>
      <c r="RB28" s="190" t="str">
        <f t="shared" si="10"/>
        <v>Branch prediction miss rate (%)</v>
      </c>
      <c r="RC28" s="190" t="str">
        <f>INDEX(Label_HardwarePrefetch,1+COLUMN(RC$28)-COLUMN($RC$28),data_Lang_LangValue+1)</f>
        <v>Stream mode prefetch rate</v>
      </c>
      <c r="RD28" s="190" t="str">
        <f t="shared" ref="RD28:RI28" si="11">INDEX(Label_HardwarePrefetch,1+COLUMN(RD$28)-COLUMN($RC$28),data_Lang_LangValue+1)</f>
        <v>Injection mode allocate prefetch rate</v>
      </c>
      <c r="RE28" s="190" t="str">
        <f t="shared" si="11"/>
        <v>Injection mode unallocate prefetch rate</v>
      </c>
      <c r="RF28" s="190" t="str">
        <f t="shared" si="11"/>
        <v>Stream mode prefetch rate</v>
      </c>
      <c r="RG28" s="190" t="str">
        <f t="shared" si="11"/>
        <v>Injection mode allocate prefetch rate</v>
      </c>
      <c r="RH28" s="190" t="str">
        <f t="shared" si="11"/>
        <v>Injection mode unallocate prefetch rate</v>
      </c>
      <c r="RI28" s="190" t="str">
        <f t="shared" si="11"/>
        <v>Other hardware prefetch</v>
      </c>
      <c r="RJ28" s="194"/>
      <c r="RK28" s="579" t="str">
        <f t="shared" ref="RK28:RL28" si="12">INDEX(Label_CMG_READ,1+COLUMN(RK$28)-COLUMN($RK$28),data_Lang_LangValue+1)</f>
        <v>Own memory</v>
      </c>
      <c r="RL28" s="579" t="str">
        <f t="shared" si="12"/>
        <v>Other memory</v>
      </c>
      <c r="RM28" s="580"/>
      <c r="RN28" s="580"/>
      <c r="RO28" s="580"/>
      <c r="RP28" s="579" t="str">
        <f t="shared" ref="RP28:RQ28" si="13">INDEX(Label_CMG_READ,1+COLUMN(RP$28)-COLUMN($RK$28),data_Lang_LangValue+1)</f>
        <v>Tofu</v>
      </c>
      <c r="RQ28" s="579" t="str">
        <f t="shared" si="13"/>
        <v>PCI</v>
      </c>
      <c r="RR28" s="190" t="str">
        <f>INDEX(Label_PowerConsumption,1+COLUMN(RR$28)-COLUMN($RR$28),data_Lang_LangValue+1)</f>
        <v>Power consumption used by core</v>
      </c>
      <c r="RS28" s="190" t="str">
        <f>INDEX(Label_PowerConsumption,1+COLUMN(RS$28)-COLUMN($RR$28),data_Lang_LangValue+1)</f>
        <v>Power consumption used by L2 cache</v>
      </c>
      <c r="RT28" s="190" t="str">
        <f>INDEX(Label_PowerConsumption,1+COLUMN(RT$28)-COLUMN($RR$28),data_Lang_LangValue+1)</f>
        <v>Power consumption used by memory</v>
      </c>
      <c r="RU28" s="195" t="str">
        <f t="shared" ref="RU28:SL28" si="14">INDEX(Label_Time_Short,1+COLUMN(RU$27)-COLUMN($RU$27),data_Lang_LangValue+1)</f>
        <v>-</v>
      </c>
      <c r="RV28" s="195" t="str">
        <f t="shared" si="14"/>
        <v>pa1</v>
      </c>
      <c r="RW28" s="195" t="str">
        <f t="shared" si="14"/>
        <v>pa2</v>
      </c>
      <c r="RX28" s="195" t="str">
        <f t="shared" si="14"/>
        <v>pa3</v>
      </c>
      <c r="RY28" s="195" t="str">
        <f t="shared" si="14"/>
        <v>pa4</v>
      </c>
      <c r="RZ28" s="195" t="str">
        <f t="shared" si="14"/>
        <v>pa5</v>
      </c>
      <c r="SA28" s="195" t="str">
        <f t="shared" si="14"/>
        <v>pa6</v>
      </c>
      <c r="SB28" s="195" t="str">
        <f t="shared" si="14"/>
        <v>pa7</v>
      </c>
      <c r="SC28" s="195" t="str">
        <f t="shared" si="14"/>
        <v>pa8</v>
      </c>
      <c r="SD28" s="195" t="str">
        <f t="shared" si="14"/>
        <v>pa9</v>
      </c>
      <c r="SE28" s="195" t="str">
        <f t="shared" si="14"/>
        <v>pa10</v>
      </c>
      <c r="SF28" s="195" t="str">
        <f t="shared" si="14"/>
        <v>pa11</v>
      </c>
      <c r="SG28" s="195" t="str">
        <f t="shared" si="14"/>
        <v>pa12</v>
      </c>
      <c r="SH28" s="195" t="str">
        <f t="shared" si="14"/>
        <v>pa13</v>
      </c>
      <c r="SI28" s="195" t="str">
        <f t="shared" si="14"/>
        <v>pa14</v>
      </c>
      <c r="SJ28" s="195" t="str">
        <f t="shared" si="14"/>
        <v>pa15</v>
      </c>
      <c r="SK28" s="195" t="str">
        <f t="shared" si="14"/>
        <v>pa16</v>
      </c>
      <c r="SL28" s="195" t="str">
        <f t="shared" si="14"/>
        <v>pa17</v>
      </c>
      <c r="SM28" s="190" t="str">
        <f>INDEX(Label_MeanTime,1+COLUMN(SM$28)-COLUMN($SM$28),data_Lang_LangValue+1)</f>
        <v>Count</v>
      </c>
      <c r="SN28" s="190" t="str">
        <f>INDEX(Label_MeanTime,1+COLUMN(SN$28)-COLUMN($SM$28),data_Lang_LangValue+1)</f>
        <v>Mean time (s)</v>
      </c>
      <c r="SO28" s="190" t="str">
        <f>INDEX(Label_Balance,1+COLUMN(SO$28)-COLUMN($SO$28),data_Lang_LangValue+1)</f>
        <v>Load balance</v>
      </c>
      <c r="SP28" s="190" t="str">
        <f>INDEX(Label_Balance,1+COLUMN(SP$28)-COLUMN($SO$28),data_Lang_LangValue+1)</f>
        <v>Instruction balance</v>
      </c>
      <c r="SQ28" s="196" t="s">
        <v>1094</v>
      </c>
      <c r="SR28" s="190" t="s">
        <v>1040</v>
      </c>
      <c r="SS28" s="190" t="s">
        <v>1041</v>
      </c>
      <c r="ST28" s="190" t="s">
        <v>1042</v>
      </c>
      <c r="SU28" s="190" t="s">
        <v>1043</v>
      </c>
      <c r="SV28" s="190" t="s">
        <v>1044</v>
      </c>
      <c r="SW28" s="190" t="s">
        <v>1045</v>
      </c>
      <c r="SX28" s="190" t="s">
        <v>1046</v>
      </c>
      <c r="SY28" s="190" t="s">
        <v>1047</v>
      </c>
      <c r="SZ28" s="190" t="s">
        <v>895</v>
      </c>
      <c r="TA28" s="190" t="s">
        <v>896</v>
      </c>
      <c r="TB28" s="190" t="s">
        <v>897</v>
      </c>
      <c r="TC28" s="190" t="s">
        <v>898</v>
      </c>
      <c r="TD28" s="190" t="s">
        <v>899</v>
      </c>
      <c r="TE28" s="190" t="s">
        <v>900</v>
      </c>
      <c r="TF28" s="190" t="s">
        <v>901</v>
      </c>
      <c r="TG28" s="190" t="s">
        <v>902</v>
      </c>
      <c r="TK28" s="309"/>
      <c r="TL28" s="358" t="s">
        <v>1952</v>
      </c>
      <c r="TM28" s="358" t="s">
        <v>1689</v>
      </c>
      <c r="TN28" s="358" t="s">
        <v>1427</v>
      </c>
      <c r="TQ28" s="310"/>
      <c r="TR28" s="311" t="s">
        <v>1740</v>
      </c>
      <c r="TS28" s="311" t="s">
        <v>1741</v>
      </c>
      <c r="TT28" s="311" t="s">
        <v>1742</v>
      </c>
      <c r="TU28" s="311" t="s">
        <v>1739</v>
      </c>
      <c r="TV28" s="311" t="s">
        <v>1738</v>
      </c>
      <c r="UC28" s="305"/>
      <c r="UD28" s="311" t="s">
        <v>1740</v>
      </c>
      <c r="UE28" s="311" t="s">
        <v>1741</v>
      </c>
      <c r="UF28" s="311" t="s">
        <v>1742</v>
      </c>
      <c r="UG28" s="311" t="s">
        <v>1739</v>
      </c>
      <c r="UH28" s="311" t="s">
        <v>1738</v>
      </c>
      <c r="VA28" s="312"/>
      <c r="VB28" s="313" t="s">
        <v>1413</v>
      </c>
      <c r="VC28" s="313" t="s">
        <v>1414</v>
      </c>
      <c r="VD28" s="313" t="s">
        <v>802</v>
      </c>
      <c r="VE28" s="313" t="s">
        <v>803</v>
      </c>
      <c r="VF28" s="313" t="s">
        <v>1438</v>
      </c>
      <c r="VH28" s="334"/>
      <c r="VI28" s="312"/>
      <c r="VJ28" s="313" t="s">
        <v>1415</v>
      </c>
      <c r="VK28" s="313" t="s">
        <v>1416</v>
      </c>
      <c r="VL28" s="334"/>
      <c r="VM28" s="305"/>
      <c r="VN28" s="541" t="s">
        <v>1921</v>
      </c>
      <c r="VO28" s="542" t="s">
        <v>1955</v>
      </c>
      <c r="VQ28" s="305"/>
      <c r="VR28" s="541" t="s">
        <v>1919</v>
      </c>
      <c r="VS28" s="541" t="s">
        <v>1954</v>
      </c>
      <c r="VT28" s="541" t="s">
        <v>1920</v>
      </c>
      <c r="VV28" s="516"/>
      <c r="VW28" s="516" t="s">
        <v>1285</v>
      </c>
      <c r="VX28" s="517" t="s">
        <v>801</v>
      </c>
      <c r="VY28" s="516" t="s">
        <v>1422</v>
      </c>
      <c r="WC28" s="267" t="s">
        <v>807</v>
      </c>
    </row>
    <row r="29" spans="2:617" ht="32.25" thickBot="1" x14ac:dyDescent="0.3">
      <c r="AB29" s="300" t="s">
        <v>1455</v>
      </c>
      <c r="AC29" s="236" t="s">
        <v>1961</v>
      </c>
      <c r="AD29" s="236" t="s">
        <v>1962</v>
      </c>
      <c r="AE29" s="236" t="s">
        <v>1963</v>
      </c>
      <c r="AF29" s="236" t="s">
        <v>151</v>
      </c>
      <c r="AG29" s="236" t="s">
        <v>1964</v>
      </c>
      <c r="AH29" s="236" t="s">
        <v>1965</v>
      </c>
      <c r="AI29" s="236" t="s">
        <v>1966</v>
      </c>
      <c r="AJ29" s="236" t="s">
        <v>1967</v>
      </c>
      <c r="AK29" s="236" t="s">
        <v>1968</v>
      </c>
      <c r="AL29" s="236" t="s">
        <v>1969</v>
      </c>
      <c r="AM29" s="236" t="s">
        <v>413</v>
      </c>
      <c r="AN29" s="236" t="s">
        <v>414</v>
      </c>
      <c r="AO29" s="236" t="s">
        <v>1970</v>
      </c>
      <c r="AP29" s="236" t="s">
        <v>1971</v>
      </c>
      <c r="AQ29" s="237" t="s">
        <v>1972</v>
      </c>
      <c r="AR29" s="237" t="s">
        <v>1973</v>
      </c>
      <c r="AS29" s="236" t="s">
        <v>1916</v>
      </c>
      <c r="AT29" s="236" t="s">
        <v>415</v>
      </c>
      <c r="AU29" s="236" t="s">
        <v>1961</v>
      </c>
      <c r="AV29" s="236" t="s">
        <v>1962</v>
      </c>
      <c r="AW29" s="236" t="s">
        <v>1963</v>
      </c>
      <c r="AX29" s="236" t="s">
        <v>151</v>
      </c>
      <c r="AY29" s="236" t="s">
        <v>1964</v>
      </c>
      <c r="AZ29" s="236" t="s">
        <v>1965</v>
      </c>
      <c r="BA29" s="236" t="s">
        <v>1966</v>
      </c>
      <c r="BB29" s="236" t="s">
        <v>1967</v>
      </c>
      <c r="BC29" s="236" t="s">
        <v>1968</v>
      </c>
      <c r="BD29" s="236" t="s">
        <v>1969</v>
      </c>
      <c r="BE29" s="236" t="s">
        <v>1976</v>
      </c>
      <c r="BF29" s="236" t="s">
        <v>1977</v>
      </c>
      <c r="BG29" s="236" t="s">
        <v>1978</v>
      </c>
      <c r="BH29" s="236" t="s">
        <v>1979</v>
      </c>
      <c r="BI29" s="236" t="s">
        <v>1980</v>
      </c>
      <c r="BJ29" s="236" t="s">
        <v>1981</v>
      </c>
      <c r="BK29" s="236" t="s">
        <v>1982</v>
      </c>
      <c r="BL29" s="236" t="s">
        <v>1983</v>
      </c>
      <c r="BM29" s="236" t="s">
        <v>1961</v>
      </c>
      <c r="BN29" s="236" t="s">
        <v>1962</v>
      </c>
      <c r="BO29" s="236" t="s">
        <v>1963</v>
      </c>
      <c r="BP29" s="236" t="s">
        <v>151</v>
      </c>
      <c r="BQ29" s="236" t="s">
        <v>1964</v>
      </c>
      <c r="BR29" s="236" t="s">
        <v>1965</v>
      </c>
      <c r="BS29" s="236" t="s">
        <v>1966</v>
      </c>
      <c r="BT29" s="236" t="s">
        <v>1967</v>
      </c>
      <c r="BU29" s="236" t="s">
        <v>1968</v>
      </c>
      <c r="BV29" s="236" t="s">
        <v>1969</v>
      </c>
      <c r="BW29" s="236" t="s">
        <v>1984</v>
      </c>
      <c r="BX29" s="236" t="s">
        <v>1985</v>
      </c>
      <c r="BY29" s="236" t="s">
        <v>1986</v>
      </c>
      <c r="BZ29" s="236" t="s">
        <v>1987</v>
      </c>
      <c r="CA29" s="236" t="s">
        <v>1988</v>
      </c>
      <c r="CB29" s="236" t="s">
        <v>1989</v>
      </c>
      <c r="CC29" s="236" t="s">
        <v>1990</v>
      </c>
      <c r="CD29" s="236" t="s">
        <v>1991</v>
      </c>
      <c r="CE29" s="236" t="s">
        <v>1961</v>
      </c>
      <c r="CF29" s="236" t="s">
        <v>1962</v>
      </c>
      <c r="CG29" s="236" t="s">
        <v>1963</v>
      </c>
      <c r="CH29" s="236" t="s">
        <v>151</v>
      </c>
      <c r="CI29" s="236" t="s">
        <v>1964</v>
      </c>
      <c r="CJ29" s="236" t="s">
        <v>1965</v>
      </c>
      <c r="CK29" s="236" t="s">
        <v>1966</v>
      </c>
      <c r="CL29" s="236" t="s">
        <v>1967</v>
      </c>
      <c r="CM29" s="236" t="s">
        <v>1968</v>
      </c>
      <c r="CN29" s="236" t="s">
        <v>1969</v>
      </c>
      <c r="CO29" s="237" t="s">
        <v>1972</v>
      </c>
      <c r="CP29" s="236" t="s">
        <v>1992</v>
      </c>
      <c r="CQ29" s="236" t="s">
        <v>421</v>
      </c>
      <c r="CR29" s="236" t="s">
        <v>1970</v>
      </c>
      <c r="CS29" s="236" t="s">
        <v>1993</v>
      </c>
      <c r="CT29" s="236" t="s">
        <v>314</v>
      </c>
      <c r="CU29" s="236" t="s">
        <v>317</v>
      </c>
      <c r="CV29" s="237" t="s">
        <v>1973</v>
      </c>
      <c r="CW29" s="236" t="s">
        <v>1961</v>
      </c>
      <c r="CX29" s="236" t="s">
        <v>1962</v>
      </c>
      <c r="CY29" s="236" t="s">
        <v>1963</v>
      </c>
      <c r="CZ29" s="236" t="s">
        <v>151</v>
      </c>
      <c r="DA29" s="236" t="s">
        <v>1964</v>
      </c>
      <c r="DB29" s="236" t="s">
        <v>1965</v>
      </c>
      <c r="DC29" s="236" t="s">
        <v>1966</v>
      </c>
      <c r="DD29" s="236" t="s">
        <v>1967</v>
      </c>
      <c r="DE29" s="236" t="s">
        <v>1968</v>
      </c>
      <c r="DF29" s="236" t="s">
        <v>1969</v>
      </c>
      <c r="DG29" s="236" t="s">
        <v>417</v>
      </c>
      <c r="DH29" s="236" t="s">
        <v>418</v>
      </c>
      <c r="DI29" s="236" t="s">
        <v>319</v>
      </c>
      <c r="DJ29" s="236" t="s">
        <v>1994</v>
      </c>
      <c r="DK29" s="236" t="s">
        <v>1995</v>
      </c>
      <c r="DL29" s="236" t="s">
        <v>419</v>
      </c>
      <c r="DM29" s="236" t="s">
        <v>420</v>
      </c>
      <c r="DN29" s="236" t="s">
        <v>416</v>
      </c>
      <c r="DO29" s="236" t="s">
        <v>1961</v>
      </c>
      <c r="DP29" s="237" t="s">
        <v>1962</v>
      </c>
      <c r="DQ29" s="237" t="s">
        <v>1963</v>
      </c>
      <c r="DR29" s="237" t="s">
        <v>151</v>
      </c>
      <c r="DS29" s="237" t="s">
        <v>1964</v>
      </c>
      <c r="DT29" s="237" t="s">
        <v>1965</v>
      </c>
      <c r="DU29" s="237" t="s">
        <v>1966</v>
      </c>
      <c r="DV29" s="237" t="s">
        <v>1967</v>
      </c>
      <c r="DW29" s="237" t="s">
        <v>1968</v>
      </c>
      <c r="DX29" s="237" t="s">
        <v>1969</v>
      </c>
      <c r="DY29" s="237" t="s">
        <v>1996</v>
      </c>
      <c r="DZ29" s="237" t="s">
        <v>1997</v>
      </c>
      <c r="EA29" s="237" t="s">
        <v>1998</v>
      </c>
      <c r="EB29" s="237" t="s">
        <v>1999</v>
      </c>
      <c r="EC29" s="237" t="s">
        <v>2000</v>
      </c>
      <c r="ED29" s="237" t="s">
        <v>2001</v>
      </c>
      <c r="EE29" s="237" t="s">
        <v>2002</v>
      </c>
      <c r="EF29" s="237" t="s">
        <v>2003</v>
      </c>
      <c r="EG29" s="236" t="s">
        <v>1961</v>
      </c>
      <c r="EH29" s="237" t="s">
        <v>1962</v>
      </c>
      <c r="EI29" s="237" t="s">
        <v>1963</v>
      </c>
      <c r="EJ29" s="237" t="s">
        <v>151</v>
      </c>
      <c r="EK29" s="237" t="s">
        <v>1964</v>
      </c>
      <c r="EL29" s="237" t="s">
        <v>1965</v>
      </c>
      <c r="EM29" s="237" t="s">
        <v>1966</v>
      </c>
      <c r="EN29" s="237" t="s">
        <v>1967</v>
      </c>
      <c r="EO29" s="237" t="s">
        <v>1968</v>
      </c>
      <c r="EP29" s="237" t="s">
        <v>1969</v>
      </c>
      <c r="EQ29" s="237" t="s">
        <v>2004</v>
      </c>
      <c r="ER29" s="237" t="s">
        <v>2005</v>
      </c>
      <c r="ES29" s="237" t="s">
        <v>2006</v>
      </c>
      <c r="ET29" s="237" t="s">
        <v>2007</v>
      </c>
      <c r="EU29" s="237" t="s">
        <v>423</v>
      </c>
      <c r="EV29" s="237" t="s">
        <v>424</v>
      </c>
      <c r="EW29" s="237" t="s">
        <v>425</v>
      </c>
      <c r="EX29" s="237" t="s">
        <v>426</v>
      </c>
      <c r="EY29" s="236" t="s">
        <v>1961</v>
      </c>
      <c r="EZ29" s="237" t="s">
        <v>1962</v>
      </c>
      <c r="FA29" s="237" t="s">
        <v>1963</v>
      </c>
      <c r="FB29" s="237" t="s">
        <v>151</v>
      </c>
      <c r="FC29" s="237" t="s">
        <v>1964</v>
      </c>
      <c r="FD29" s="237" t="s">
        <v>1965</v>
      </c>
      <c r="FE29" s="237" t="s">
        <v>1966</v>
      </c>
      <c r="FF29" s="237" t="s">
        <v>1967</v>
      </c>
      <c r="FG29" s="237" t="s">
        <v>1968</v>
      </c>
      <c r="FH29" s="237" t="s">
        <v>1969</v>
      </c>
      <c r="FI29" s="237" t="s">
        <v>2008</v>
      </c>
      <c r="FJ29" s="237" t="s">
        <v>2009</v>
      </c>
      <c r="FK29" s="237" t="s">
        <v>2010</v>
      </c>
      <c r="FL29" s="237" t="s">
        <v>2011</v>
      </c>
      <c r="FM29" s="237" t="s">
        <v>2012</v>
      </c>
      <c r="FN29" s="237" t="s">
        <v>2013</v>
      </c>
      <c r="FO29" s="236" t="s">
        <v>2014</v>
      </c>
      <c r="FP29" s="236" t="s">
        <v>2015</v>
      </c>
      <c r="FQ29" s="236" t="s">
        <v>1961</v>
      </c>
      <c r="FR29" s="237" t="s">
        <v>1962</v>
      </c>
      <c r="FS29" s="237" t="s">
        <v>1963</v>
      </c>
      <c r="FT29" s="237" t="s">
        <v>151</v>
      </c>
      <c r="FU29" s="237" t="s">
        <v>1964</v>
      </c>
      <c r="FV29" s="237" t="s">
        <v>1965</v>
      </c>
      <c r="FW29" s="237" t="s">
        <v>1966</v>
      </c>
      <c r="FX29" s="237" t="s">
        <v>1967</v>
      </c>
      <c r="FY29" s="237" t="s">
        <v>1968</v>
      </c>
      <c r="FZ29" s="237" t="s">
        <v>1969</v>
      </c>
      <c r="GA29" s="237" t="s">
        <v>421</v>
      </c>
      <c r="GB29" s="237" t="s">
        <v>2016</v>
      </c>
      <c r="GC29" s="237" t="s">
        <v>422</v>
      </c>
      <c r="GD29" s="237" t="s">
        <v>2017</v>
      </c>
      <c r="GE29" s="237" t="s">
        <v>2018</v>
      </c>
      <c r="GF29" s="237" t="s">
        <v>2019</v>
      </c>
      <c r="GG29" s="237" t="s">
        <v>2020</v>
      </c>
      <c r="GH29" s="237" t="s">
        <v>1973</v>
      </c>
      <c r="GI29" s="236" t="s">
        <v>1961</v>
      </c>
      <c r="GJ29" s="237" t="s">
        <v>1962</v>
      </c>
      <c r="GK29" s="237" t="s">
        <v>1963</v>
      </c>
      <c r="GL29" s="237" t="s">
        <v>151</v>
      </c>
      <c r="GM29" s="237" t="s">
        <v>1964</v>
      </c>
      <c r="GN29" s="237" t="s">
        <v>1965</v>
      </c>
      <c r="GO29" s="237" t="s">
        <v>1966</v>
      </c>
      <c r="GP29" s="237" t="s">
        <v>1967</v>
      </c>
      <c r="GQ29" s="237" t="s">
        <v>1968</v>
      </c>
      <c r="GR29" s="237" t="s">
        <v>1969</v>
      </c>
      <c r="GS29" s="237" t="s">
        <v>315</v>
      </c>
      <c r="GT29" s="237" t="s">
        <v>318</v>
      </c>
      <c r="GU29" s="237" t="s">
        <v>316</v>
      </c>
      <c r="GV29" s="237" t="s">
        <v>2021</v>
      </c>
      <c r="GW29" s="237" t="s">
        <v>2022</v>
      </c>
      <c r="GX29" s="237" t="s">
        <v>313</v>
      </c>
      <c r="GY29" s="237" t="s">
        <v>320</v>
      </c>
      <c r="GZ29" s="237" t="s">
        <v>2023</v>
      </c>
      <c r="HA29" s="236" t="s">
        <v>1961</v>
      </c>
      <c r="HB29" s="237" t="s">
        <v>1962</v>
      </c>
      <c r="HC29" s="237" t="s">
        <v>1963</v>
      </c>
      <c r="HD29" s="237" t="s">
        <v>151</v>
      </c>
      <c r="HE29" s="237" t="s">
        <v>1964</v>
      </c>
      <c r="HF29" s="237" t="s">
        <v>1965</v>
      </c>
      <c r="HG29" s="237" t="s">
        <v>1966</v>
      </c>
      <c r="HH29" s="237" t="s">
        <v>1967</v>
      </c>
      <c r="HI29" s="237" t="s">
        <v>1968</v>
      </c>
      <c r="HJ29" s="237" t="s">
        <v>1969</v>
      </c>
      <c r="HK29" s="237" t="s">
        <v>2024</v>
      </c>
      <c r="HL29" s="237" t="s">
        <v>2025</v>
      </c>
      <c r="HM29" s="237" t="s">
        <v>427</v>
      </c>
      <c r="HN29" s="237" t="s">
        <v>2026</v>
      </c>
      <c r="HO29" s="237" t="s">
        <v>2027</v>
      </c>
      <c r="HP29" s="237" t="s">
        <v>2028</v>
      </c>
      <c r="HQ29" s="236" t="s">
        <v>2029</v>
      </c>
      <c r="HR29" s="237" t="s">
        <v>2030</v>
      </c>
      <c r="HS29" s="236" t="s">
        <v>1961</v>
      </c>
      <c r="HT29" s="237" t="s">
        <v>1962</v>
      </c>
      <c r="HU29" s="237" t="s">
        <v>1963</v>
      </c>
      <c r="HV29" s="237" t="s">
        <v>151</v>
      </c>
      <c r="HW29" s="237" t="s">
        <v>1964</v>
      </c>
      <c r="HX29" s="237" t="s">
        <v>1965</v>
      </c>
      <c r="HY29" s="237" t="s">
        <v>1966</v>
      </c>
      <c r="HZ29" s="237" t="s">
        <v>1967</v>
      </c>
      <c r="IA29" s="237" t="s">
        <v>1968</v>
      </c>
      <c r="IB29" s="237" t="s">
        <v>1969</v>
      </c>
      <c r="IC29" s="237" t="s">
        <v>312</v>
      </c>
      <c r="ID29" s="237" t="s">
        <v>2031</v>
      </c>
      <c r="IE29" s="237" t="s">
        <v>2032</v>
      </c>
      <c r="IF29" s="237" t="s">
        <v>2033</v>
      </c>
      <c r="IG29" s="237" t="s">
        <v>2034</v>
      </c>
      <c r="IH29" s="237" t="s">
        <v>2023</v>
      </c>
      <c r="II29" s="237" t="s">
        <v>2035</v>
      </c>
      <c r="IJ29" s="237" t="s">
        <v>2035</v>
      </c>
      <c r="IK29" s="236" t="s">
        <v>1961</v>
      </c>
      <c r="IL29" s="237" t="s">
        <v>1962</v>
      </c>
      <c r="IM29" s="237" t="s">
        <v>1963</v>
      </c>
      <c r="IN29" s="237" t="s">
        <v>151</v>
      </c>
      <c r="IO29" s="237" t="s">
        <v>1964</v>
      </c>
      <c r="IP29" s="237" t="s">
        <v>1965</v>
      </c>
      <c r="IQ29" s="237" t="s">
        <v>1966</v>
      </c>
      <c r="IR29" s="237" t="s">
        <v>1967</v>
      </c>
      <c r="IS29" s="237" t="s">
        <v>1968</v>
      </c>
      <c r="IT29" s="237" t="s">
        <v>1969</v>
      </c>
      <c r="IU29" s="237" t="s">
        <v>428</v>
      </c>
      <c r="IV29" s="237" t="s">
        <v>322</v>
      </c>
      <c r="IW29" s="237" t="s">
        <v>321</v>
      </c>
      <c r="IX29" s="237" t="s">
        <v>329</v>
      </c>
      <c r="IY29" s="237" t="s">
        <v>2036</v>
      </c>
      <c r="IZ29" s="237" t="s">
        <v>2037</v>
      </c>
      <c r="JA29" s="237" t="s">
        <v>2038</v>
      </c>
      <c r="JB29" s="237" t="s">
        <v>2035</v>
      </c>
      <c r="JC29" s="236" t="s">
        <v>1961</v>
      </c>
      <c r="JD29" s="237" t="s">
        <v>1962</v>
      </c>
      <c r="JE29" s="237" t="s">
        <v>1963</v>
      </c>
      <c r="JF29" s="237" t="s">
        <v>151</v>
      </c>
      <c r="JG29" s="237" t="s">
        <v>1964</v>
      </c>
      <c r="JH29" s="237" t="s">
        <v>1965</v>
      </c>
      <c r="JI29" s="237" t="s">
        <v>1966</v>
      </c>
      <c r="JJ29" s="237" t="s">
        <v>1967</v>
      </c>
      <c r="JK29" s="237" t="s">
        <v>1968</v>
      </c>
      <c r="JL29" s="237" t="s">
        <v>1969</v>
      </c>
      <c r="JM29" s="237" t="s">
        <v>2039</v>
      </c>
      <c r="JN29" s="237" t="s">
        <v>2040</v>
      </c>
      <c r="JO29" s="237" t="s">
        <v>2041</v>
      </c>
      <c r="JP29" s="237" t="s">
        <v>2042</v>
      </c>
      <c r="JQ29" s="237" t="s">
        <v>2043</v>
      </c>
      <c r="JR29" s="237" t="s">
        <v>2044</v>
      </c>
      <c r="JS29" s="237" t="s">
        <v>2045</v>
      </c>
      <c r="JT29" s="237" t="s">
        <v>2035</v>
      </c>
      <c r="JU29" s="236" t="s">
        <v>1961</v>
      </c>
      <c r="JV29" s="237" t="s">
        <v>1962</v>
      </c>
      <c r="JW29" s="237" t="s">
        <v>1963</v>
      </c>
      <c r="JX29" s="237" t="s">
        <v>151</v>
      </c>
      <c r="JY29" s="237" t="s">
        <v>1964</v>
      </c>
      <c r="JZ29" s="237" t="s">
        <v>1965</v>
      </c>
      <c r="KA29" s="237" t="s">
        <v>1966</v>
      </c>
      <c r="KB29" s="237" t="s">
        <v>1967</v>
      </c>
      <c r="KC29" s="237" t="s">
        <v>1968</v>
      </c>
      <c r="KD29" s="237" t="s">
        <v>1969</v>
      </c>
      <c r="KE29" s="237" t="s">
        <v>2046</v>
      </c>
      <c r="KF29" s="237" t="s">
        <v>2047</v>
      </c>
      <c r="KG29" s="237" t="s">
        <v>2048</v>
      </c>
      <c r="KH29" s="237" t="s">
        <v>2049</v>
      </c>
      <c r="KI29" s="237" t="s">
        <v>2050</v>
      </c>
      <c r="KJ29" s="237" t="s">
        <v>2051</v>
      </c>
      <c r="KK29" s="237" t="s">
        <v>2052</v>
      </c>
      <c r="KL29" s="237" t="s">
        <v>2035</v>
      </c>
      <c r="KM29" s="236" t="s">
        <v>1961</v>
      </c>
      <c r="KN29" s="237" t="s">
        <v>1962</v>
      </c>
      <c r="KO29" s="237" t="s">
        <v>1963</v>
      </c>
      <c r="KP29" s="237" t="s">
        <v>151</v>
      </c>
      <c r="KQ29" s="237" t="s">
        <v>1964</v>
      </c>
      <c r="KR29" s="237" t="s">
        <v>1965</v>
      </c>
      <c r="KS29" s="237" t="s">
        <v>1966</v>
      </c>
      <c r="KT29" s="237" t="s">
        <v>1967</v>
      </c>
      <c r="KU29" s="237" t="s">
        <v>1968</v>
      </c>
      <c r="KV29" s="237" t="s">
        <v>1969</v>
      </c>
      <c r="KW29" s="237" t="s">
        <v>1942</v>
      </c>
      <c r="KX29" s="237" t="s">
        <v>1943</v>
      </c>
      <c r="KY29" s="237" t="s">
        <v>1944</v>
      </c>
      <c r="KZ29" s="237" t="s">
        <v>1916</v>
      </c>
      <c r="LA29" s="237" t="s">
        <v>2053</v>
      </c>
      <c r="LB29" s="237" t="s">
        <v>2054</v>
      </c>
      <c r="LC29" s="237" t="s">
        <v>2055</v>
      </c>
      <c r="LD29" s="237" t="s">
        <v>2056</v>
      </c>
      <c r="LE29" s="236" t="s">
        <v>1961</v>
      </c>
      <c r="LF29" s="237" t="s">
        <v>1962</v>
      </c>
      <c r="LG29" s="237" t="s">
        <v>1963</v>
      </c>
      <c r="LH29" s="237" t="s">
        <v>151</v>
      </c>
      <c r="LI29" s="237" t="s">
        <v>1964</v>
      </c>
      <c r="LJ29" s="237" t="s">
        <v>1965</v>
      </c>
      <c r="LK29" s="237" t="s">
        <v>1966</v>
      </c>
      <c r="LL29" s="237" t="s">
        <v>1967</v>
      </c>
      <c r="LM29" s="237" t="s">
        <v>1968</v>
      </c>
      <c r="LN29" s="237" t="s">
        <v>1969</v>
      </c>
      <c r="LO29" s="237" t="s">
        <v>2057</v>
      </c>
      <c r="LP29" s="237" t="s">
        <v>2058</v>
      </c>
      <c r="LQ29" s="237" t="s">
        <v>2059</v>
      </c>
      <c r="LR29" s="237" t="s">
        <v>2060</v>
      </c>
      <c r="LS29" s="237" t="s">
        <v>2061</v>
      </c>
      <c r="LT29" s="237" t="s">
        <v>2062</v>
      </c>
      <c r="LU29" s="238" t="s">
        <v>1945</v>
      </c>
      <c r="LV29" s="238" t="s">
        <v>1946</v>
      </c>
      <c r="LY29" s="339"/>
      <c r="LZ29" s="339"/>
      <c r="MD29" s="340" t="s">
        <v>800</v>
      </c>
      <c r="ME29" s="341" t="s">
        <v>74</v>
      </c>
      <c r="MF29" s="341" t="s">
        <v>75</v>
      </c>
      <c r="MG29" s="341" t="s">
        <v>76</v>
      </c>
      <c r="MH29" s="341" t="s">
        <v>77</v>
      </c>
      <c r="MI29" s="341" t="s">
        <v>78</v>
      </c>
      <c r="MJ29" s="341" t="s">
        <v>79</v>
      </c>
      <c r="MK29" s="341" t="s">
        <v>80</v>
      </c>
      <c r="ML29" s="341" t="s">
        <v>81</v>
      </c>
      <c r="MM29" s="341" t="s">
        <v>82</v>
      </c>
      <c r="MN29" s="341" t="s">
        <v>83</v>
      </c>
      <c r="MO29" s="341" t="s">
        <v>84</v>
      </c>
      <c r="MP29" s="341" t="s">
        <v>85</v>
      </c>
      <c r="MQ29" s="341" t="s">
        <v>86</v>
      </c>
      <c r="MR29" s="341" t="s">
        <v>87</v>
      </c>
      <c r="MS29" s="341" t="s">
        <v>88</v>
      </c>
      <c r="MT29" s="342" t="s">
        <v>89</v>
      </c>
      <c r="MU29" s="343"/>
      <c r="NA29" s="423" t="s">
        <v>808</v>
      </c>
      <c r="NB29" s="423" t="s">
        <v>809</v>
      </c>
      <c r="NC29" s="197" t="s">
        <v>810</v>
      </c>
      <c r="ND29" s="197" t="s">
        <v>924</v>
      </c>
      <c r="NE29" s="197" t="s">
        <v>1</v>
      </c>
      <c r="NF29" s="197" t="s">
        <v>2</v>
      </c>
      <c r="NG29" s="197" t="s">
        <v>3</v>
      </c>
      <c r="NH29" s="197" t="s">
        <v>4</v>
      </c>
      <c r="NI29" s="197" t="s">
        <v>5</v>
      </c>
      <c r="NJ29" s="197" t="s">
        <v>917</v>
      </c>
      <c r="NK29" s="197" t="s">
        <v>918</v>
      </c>
      <c r="NL29" s="197" t="s">
        <v>1179</v>
      </c>
      <c r="NM29" s="197" t="s">
        <v>919</v>
      </c>
      <c r="NN29" s="197" t="s">
        <v>1335</v>
      </c>
      <c r="NO29" s="198" t="s">
        <v>811</v>
      </c>
      <c r="NP29" s="198" t="s">
        <v>1336</v>
      </c>
      <c r="NQ29" s="198" t="s">
        <v>1337</v>
      </c>
      <c r="NR29" s="198" t="s">
        <v>1338</v>
      </c>
      <c r="NS29" s="198" t="s">
        <v>6</v>
      </c>
      <c r="NT29" s="198" t="s">
        <v>7</v>
      </c>
      <c r="NU29" s="198" t="s">
        <v>8</v>
      </c>
      <c r="NV29" s="198" t="s">
        <v>1339</v>
      </c>
      <c r="NW29" s="198" t="s">
        <v>1340</v>
      </c>
      <c r="NX29" s="198" t="s">
        <v>1341</v>
      </c>
      <c r="NY29" s="198" t="s">
        <v>1342</v>
      </c>
      <c r="NZ29" s="198" t="s">
        <v>1343</v>
      </c>
      <c r="OA29" s="198" t="s">
        <v>1344</v>
      </c>
      <c r="OB29" s="198" t="s">
        <v>1345</v>
      </c>
      <c r="OC29" s="198" t="s">
        <v>1346</v>
      </c>
      <c r="OD29" s="198" t="s">
        <v>59</v>
      </c>
      <c r="OE29" s="198" t="s">
        <v>60</v>
      </c>
      <c r="OF29" s="198" t="s">
        <v>61</v>
      </c>
      <c r="OG29" s="198" t="s">
        <v>62</v>
      </c>
      <c r="OH29" s="198" t="s">
        <v>348</v>
      </c>
      <c r="OI29" s="198" t="s">
        <v>1363</v>
      </c>
      <c r="OJ29" s="199" t="s">
        <v>1575</v>
      </c>
      <c r="OK29" s="199" t="s">
        <v>1456</v>
      </c>
      <c r="OL29" s="199" t="s">
        <v>9</v>
      </c>
      <c r="OM29" s="199" t="s">
        <v>10</v>
      </c>
      <c r="ON29" s="199" t="s">
        <v>11</v>
      </c>
      <c r="OO29" s="199" t="s">
        <v>12</v>
      </c>
      <c r="OP29" s="199" t="s">
        <v>13</v>
      </c>
      <c r="OQ29" s="199" t="s">
        <v>14</v>
      </c>
      <c r="OR29" s="199" t="s">
        <v>15</v>
      </c>
      <c r="OS29" s="199" t="s">
        <v>16</v>
      </c>
      <c r="OT29" s="199" t="s">
        <v>17</v>
      </c>
      <c r="OU29" s="199" t="s">
        <v>1327</v>
      </c>
      <c r="OV29" s="199" t="s">
        <v>1362</v>
      </c>
      <c r="OW29" s="199" t="s">
        <v>1519</v>
      </c>
      <c r="OX29" s="197" t="s">
        <v>812</v>
      </c>
      <c r="OY29" s="197" t="s">
        <v>1167</v>
      </c>
      <c r="OZ29" s="197" t="s">
        <v>18</v>
      </c>
      <c r="PA29" s="197" t="s">
        <v>19</v>
      </c>
      <c r="PB29" s="197" t="s">
        <v>20</v>
      </c>
      <c r="PC29" s="197" t="s">
        <v>21</v>
      </c>
      <c r="PD29" s="197" t="s">
        <v>22</v>
      </c>
      <c r="PE29" s="197" t="s">
        <v>23</v>
      </c>
      <c r="PF29" s="197" t="s">
        <v>24</v>
      </c>
      <c r="PG29" s="197" t="s">
        <v>25</v>
      </c>
      <c r="PH29" s="197" t="s">
        <v>26</v>
      </c>
      <c r="PI29" s="197" t="s">
        <v>27</v>
      </c>
      <c r="PJ29" s="197" t="s">
        <v>28</v>
      </c>
      <c r="PK29" s="197" t="s">
        <v>29</v>
      </c>
      <c r="PL29" s="200" t="s">
        <v>30</v>
      </c>
      <c r="PM29" s="200" t="s">
        <v>31</v>
      </c>
      <c r="PN29" s="200" t="s">
        <v>63</v>
      </c>
      <c r="PO29" s="200" t="s">
        <v>32</v>
      </c>
      <c r="PP29" s="201" t="s">
        <v>33</v>
      </c>
      <c r="PQ29" s="201" t="s">
        <v>64</v>
      </c>
      <c r="PR29" s="201" t="s">
        <v>34</v>
      </c>
      <c r="PS29" s="201" t="s">
        <v>35</v>
      </c>
      <c r="PT29" s="201" t="s">
        <v>36</v>
      </c>
      <c r="PU29" s="201" t="s">
        <v>37</v>
      </c>
      <c r="PV29" s="201" t="s">
        <v>1526</v>
      </c>
      <c r="PW29" s="201" t="s">
        <v>1562</v>
      </c>
      <c r="PX29" s="201" t="s">
        <v>925</v>
      </c>
      <c r="PY29" s="201" t="s">
        <v>926</v>
      </c>
      <c r="PZ29" s="201" t="s">
        <v>38</v>
      </c>
      <c r="QA29" s="201" t="s">
        <v>1527</v>
      </c>
      <c r="QB29" s="201" t="s">
        <v>39</v>
      </c>
      <c r="QC29" s="201" t="s">
        <v>40</v>
      </c>
      <c r="QD29" s="201" t="s">
        <v>41</v>
      </c>
      <c r="QE29" s="201" t="s">
        <v>1528</v>
      </c>
      <c r="QF29" s="201" t="s">
        <v>355</v>
      </c>
      <c r="QG29" s="201" t="s">
        <v>356</v>
      </c>
      <c r="QH29" s="201" t="s">
        <v>65</v>
      </c>
      <c r="QI29" s="201" t="s">
        <v>66</v>
      </c>
      <c r="QJ29" s="201" t="s">
        <v>67</v>
      </c>
      <c r="QK29" s="201" t="s">
        <v>68</v>
      </c>
      <c r="QL29" s="201" t="s">
        <v>1529</v>
      </c>
      <c r="QM29" s="201" t="s">
        <v>1530</v>
      </c>
      <c r="QN29" s="201" t="s">
        <v>1531</v>
      </c>
      <c r="QO29" s="197" t="s">
        <v>813</v>
      </c>
      <c r="QP29" s="197" t="s">
        <v>1404</v>
      </c>
      <c r="QQ29" s="197" t="s">
        <v>42</v>
      </c>
      <c r="QR29" s="197" t="s">
        <v>1718</v>
      </c>
      <c r="QS29" s="202" t="s">
        <v>1512</v>
      </c>
      <c r="QT29" s="202" t="s">
        <v>1513</v>
      </c>
      <c r="QU29" s="202" t="s">
        <v>330</v>
      </c>
      <c r="QV29" s="202" t="s">
        <v>1089</v>
      </c>
      <c r="QW29" s="202" t="s">
        <v>331</v>
      </c>
      <c r="QX29" s="202" t="s">
        <v>332</v>
      </c>
      <c r="QY29" s="202" t="s">
        <v>333</v>
      </c>
      <c r="QZ29" s="202" t="s">
        <v>523</v>
      </c>
      <c r="RA29" s="202" t="s">
        <v>524</v>
      </c>
      <c r="RB29" s="202" t="s">
        <v>525</v>
      </c>
      <c r="RC29" s="198" t="s">
        <v>814</v>
      </c>
      <c r="RD29" s="198" t="s">
        <v>48</v>
      </c>
      <c r="RE29" s="198" t="s">
        <v>49</v>
      </c>
      <c r="RF29" s="198" t="s">
        <v>526</v>
      </c>
      <c r="RG29" s="198" t="s">
        <v>527</v>
      </c>
      <c r="RH29" s="198" t="s">
        <v>528</v>
      </c>
      <c r="RI29" s="204" t="s">
        <v>529</v>
      </c>
      <c r="RJ29" s="142"/>
      <c r="RK29" s="198" t="s">
        <v>815</v>
      </c>
      <c r="RL29" s="198" t="s">
        <v>69</v>
      </c>
      <c r="RM29" s="581"/>
      <c r="RN29" s="581"/>
      <c r="RO29" s="581"/>
      <c r="RP29" s="198" t="s">
        <v>70</v>
      </c>
      <c r="RQ29" s="198" t="s">
        <v>71</v>
      </c>
      <c r="RR29" s="203" t="s">
        <v>816</v>
      </c>
      <c r="RS29" s="198" t="s">
        <v>530</v>
      </c>
      <c r="RT29" s="198" t="s">
        <v>531</v>
      </c>
      <c r="RU29" s="205" t="s">
        <v>817</v>
      </c>
      <c r="RV29" s="205" t="s">
        <v>532</v>
      </c>
      <c r="RW29" s="205" t="s">
        <v>533</v>
      </c>
      <c r="RX29" s="205" t="s">
        <v>534</v>
      </c>
      <c r="RY29" s="205" t="s">
        <v>535</v>
      </c>
      <c r="RZ29" s="205" t="s">
        <v>536</v>
      </c>
      <c r="SA29" s="205" t="s">
        <v>537</v>
      </c>
      <c r="SB29" s="205" t="s">
        <v>538</v>
      </c>
      <c r="SC29" s="205" t="s">
        <v>539</v>
      </c>
      <c r="SD29" s="205" t="s">
        <v>540</v>
      </c>
      <c r="SE29" s="205" t="s">
        <v>541</v>
      </c>
      <c r="SF29" s="205" t="s">
        <v>542</v>
      </c>
      <c r="SG29" s="205" t="s">
        <v>543</v>
      </c>
      <c r="SH29" s="205" t="s">
        <v>544</v>
      </c>
      <c r="SI29" s="205" t="s">
        <v>545</v>
      </c>
      <c r="SJ29" s="205" t="s">
        <v>546</v>
      </c>
      <c r="SK29" s="205" t="s">
        <v>547</v>
      </c>
      <c r="SL29" s="205" t="s">
        <v>548</v>
      </c>
      <c r="SM29" s="205" t="s">
        <v>818</v>
      </c>
      <c r="SN29" s="202" t="s">
        <v>819</v>
      </c>
      <c r="SO29" s="206" t="s">
        <v>820</v>
      </c>
      <c r="SP29" s="205" t="s">
        <v>821</v>
      </c>
      <c r="SQ29" s="198" t="s">
        <v>464</v>
      </c>
      <c r="SR29" s="198" t="s">
        <v>465</v>
      </c>
      <c r="SS29" s="198" t="s">
        <v>466</v>
      </c>
      <c r="ST29" s="198" t="s">
        <v>467</v>
      </c>
      <c r="SU29" s="198" t="s">
        <v>468</v>
      </c>
      <c r="SV29" s="198" t="s">
        <v>469</v>
      </c>
      <c r="SW29" s="198" t="s">
        <v>470</v>
      </c>
      <c r="SX29" s="198" t="s">
        <v>471</v>
      </c>
      <c r="SY29" s="198" t="s">
        <v>472</v>
      </c>
      <c r="SZ29" s="198" t="s">
        <v>473</v>
      </c>
      <c r="TA29" s="198" t="s">
        <v>474</v>
      </c>
      <c r="TB29" s="198" t="s">
        <v>475</v>
      </c>
      <c r="TC29" s="198" t="s">
        <v>476</v>
      </c>
      <c r="TD29" s="198" t="s">
        <v>477</v>
      </c>
      <c r="TE29" s="198" t="s">
        <v>478</v>
      </c>
      <c r="TF29" s="198" t="s">
        <v>479</v>
      </c>
      <c r="TG29" s="198" t="s">
        <v>480</v>
      </c>
      <c r="TK29" s="317"/>
      <c r="TL29" s="320" t="s">
        <v>1727</v>
      </c>
      <c r="TM29" s="318" t="s">
        <v>1894</v>
      </c>
      <c r="TN29" s="319" t="s">
        <v>1730</v>
      </c>
      <c r="TQ29" s="591"/>
      <c r="TR29" s="325" t="s">
        <v>641</v>
      </c>
      <c r="TS29" s="326" t="s">
        <v>651</v>
      </c>
      <c r="TT29" s="322" t="s">
        <v>649</v>
      </c>
      <c r="TU29" s="323" t="s">
        <v>650</v>
      </c>
      <c r="TV29" s="324" t="s">
        <v>642</v>
      </c>
      <c r="UC29" s="321"/>
      <c r="UD29" s="325" t="s">
        <v>641</v>
      </c>
      <c r="UE29" s="326" t="s">
        <v>651</v>
      </c>
      <c r="UF29" s="322" t="s">
        <v>649</v>
      </c>
      <c r="UG29" s="323" t="s">
        <v>650</v>
      </c>
      <c r="UH29" s="324" t="s">
        <v>642</v>
      </c>
      <c r="VA29" s="327"/>
      <c r="VB29" s="331" t="s">
        <v>641</v>
      </c>
      <c r="VC29" s="332" t="s">
        <v>651</v>
      </c>
      <c r="VD29" s="328" t="s">
        <v>649</v>
      </c>
      <c r="VE29" s="329" t="s">
        <v>650</v>
      </c>
      <c r="VF29" s="330" t="s">
        <v>642</v>
      </c>
      <c r="VH29" s="349"/>
      <c r="VI29" s="333"/>
      <c r="VJ29" s="540"/>
      <c r="VK29" s="540"/>
      <c r="VL29" s="349"/>
      <c r="VM29" s="321"/>
      <c r="VN29" s="335" t="s">
        <v>1729</v>
      </c>
      <c r="VO29" s="336" t="s">
        <v>647</v>
      </c>
      <c r="VQ29" s="321"/>
      <c r="VR29" s="335" t="s">
        <v>1729</v>
      </c>
      <c r="VS29" s="336" t="s">
        <v>647</v>
      </c>
      <c r="VT29" s="337" t="s">
        <v>1918</v>
      </c>
      <c r="VV29" s="338"/>
      <c r="VW29" s="544" t="s">
        <v>1715</v>
      </c>
      <c r="VX29" s="543" t="s">
        <v>1716</v>
      </c>
      <c r="VY29" s="548" t="s">
        <v>1730</v>
      </c>
      <c r="WC29" s="344" t="s">
        <v>836</v>
      </c>
      <c r="WD29" s="344" t="s">
        <v>837</v>
      </c>
      <c r="WE29" s="344" t="s">
        <v>838</v>
      </c>
      <c r="WF29" s="344" t="s">
        <v>839</v>
      </c>
      <c r="WG29" s="344" t="s">
        <v>840</v>
      </c>
      <c r="WH29" s="344" t="s">
        <v>841</v>
      </c>
      <c r="WI29" s="344" t="s">
        <v>842</v>
      </c>
      <c r="WJ29" s="344" t="s">
        <v>843</v>
      </c>
      <c r="WK29" s="344" t="s">
        <v>844</v>
      </c>
      <c r="WL29" s="344" t="s">
        <v>845</v>
      </c>
      <c r="WM29" s="344" t="s">
        <v>846</v>
      </c>
      <c r="WN29" s="344" t="s">
        <v>847</v>
      </c>
      <c r="WO29" s="344" t="s">
        <v>848</v>
      </c>
      <c r="WP29" s="344" t="s">
        <v>849</v>
      </c>
      <c r="WQ29" s="344" t="s">
        <v>850</v>
      </c>
      <c r="WR29" s="344" t="s">
        <v>851</v>
      </c>
      <c r="WS29" s="344" t="s">
        <v>852</v>
      </c>
    </row>
    <row r="30" spans="2:617" ht="31.5" x14ac:dyDescent="0.25">
      <c r="AB30" s="254">
        <v>0</v>
      </c>
      <c r="AC30" s="430" t="s">
        <v>1974</v>
      </c>
      <c r="AD30" s="430" t="s">
        <v>1964</v>
      </c>
      <c r="AE30" s="430">
        <v>0</v>
      </c>
      <c r="AF30" s="430">
        <v>0</v>
      </c>
      <c r="AG30" s="430">
        <v>0</v>
      </c>
      <c r="AH30" s="430" t="s">
        <v>1975</v>
      </c>
      <c r="AI30" s="430">
        <v>0</v>
      </c>
      <c r="AJ30" s="430">
        <v>1</v>
      </c>
      <c r="AK30" s="594">
        <v>2875339520</v>
      </c>
      <c r="AL30" s="594">
        <v>63257183931</v>
      </c>
      <c r="AM30" s="430">
        <v>17081158000</v>
      </c>
      <c r="AN30" s="430">
        <v>129000000</v>
      </c>
      <c r="AO30" s="430">
        <v>467874717</v>
      </c>
      <c r="AP30" s="430">
        <v>208144980</v>
      </c>
      <c r="AQ30" s="595">
        <v>3678978</v>
      </c>
      <c r="AR30" s="595">
        <v>943946</v>
      </c>
      <c r="AS30" s="594">
        <v>13496588319</v>
      </c>
      <c r="AT30" s="594">
        <v>10867919049</v>
      </c>
      <c r="AU30" s="430" t="s">
        <v>1974</v>
      </c>
      <c r="AV30" s="430" t="s">
        <v>1964</v>
      </c>
      <c r="AW30" s="430">
        <v>0</v>
      </c>
      <c r="AX30" s="430">
        <v>0</v>
      </c>
      <c r="AY30" s="430">
        <v>0</v>
      </c>
      <c r="AZ30" s="430" t="s">
        <v>1975</v>
      </c>
      <c r="BA30" s="430">
        <v>0</v>
      </c>
      <c r="BB30" s="430">
        <v>1</v>
      </c>
      <c r="BC30" s="430">
        <v>2875573984</v>
      </c>
      <c r="BD30" s="430">
        <v>63262262888</v>
      </c>
      <c r="BE30" s="430">
        <v>54576596327</v>
      </c>
      <c r="BF30" s="595">
        <v>6162774440</v>
      </c>
      <c r="BG30" s="430">
        <v>21432781303</v>
      </c>
      <c r="BH30" s="595">
        <v>377839</v>
      </c>
      <c r="BI30" s="430">
        <v>30332533801</v>
      </c>
      <c r="BJ30" s="430">
        <v>141932007</v>
      </c>
      <c r="BK30" s="430">
        <v>0</v>
      </c>
      <c r="BL30" s="430">
        <v>0</v>
      </c>
      <c r="BM30" s="430" t="s">
        <v>1974</v>
      </c>
      <c r="BN30" s="430" t="s">
        <v>1964</v>
      </c>
      <c r="BO30" s="430">
        <v>0</v>
      </c>
      <c r="BP30" s="430">
        <v>0</v>
      </c>
      <c r="BQ30" s="430">
        <v>0</v>
      </c>
      <c r="BR30" s="430" t="s">
        <v>1975</v>
      </c>
      <c r="BS30" s="430">
        <v>0</v>
      </c>
      <c r="BT30" s="430">
        <v>1</v>
      </c>
      <c r="BU30" s="430">
        <v>2875342208</v>
      </c>
      <c r="BV30" s="430">
        <v>63256990577</v>
      </c>
      <c r="BW30" s="594">
        <v>9923860411</v>
      </c>
      <c r="BX30" s="594">
        <v>11330351315</v>
      </c>
      <c r="BY30" s="430">
        <v>21177853008</v>
      </c>
      <c r="BZ30" s="430">
        <v>937245569</v>
      </c>
      <c r="CA30" s="430">
        <v>6950273483</v>
      </c>
      <c r="CB30" s="430">
        <v>119558931600</v>
      </c>
      <c r="CC30" s="430">
        <v>4919588372</v>
      </c>
      <c r="CD30" s="430">
        <v>74570478632</v>
      </c>
      <c r="CE30" s="430" t="s">
        <v>1974</v>
      </c>
      <c r="CF30" s="430" t="s">
        <v>1964</v>
      </c>
      <c r="CG30" s="430">
        <v>0</v>
      </c>
      <c r="CH30" s="430">
        <v>0</v>
      </c>
      <c r="CI30" s="430">
        <v>0</v>
      </c>
      <c r="CJ30" s="430" t="s">
        <v>1975</v>
      </c>
      <c r="CK30" s="430">
        <v>0</v>
      </c>
      <c r="CL30" s="430">
        <v>1</v>
      </c>
      <c r="CM30" s="430">
        <v>2874989536</v>
      </c>
      <c r="CN30" s="430">
        <v>63249539333</v>
      </c>
      <c r="CO30" s="430">
        <v>3645492</v>
      </c>
      <c r="CP30" s="430">
        <v>467748158</v>
      </c>
      <c r="CQ30" s="430">
        <v>452583258</v>
      </c>
      <c r="CR30" s="430">
        <v>467188063</v>
      </c>
      <c r="CS30" s="430">
        <v>62189760</v>
      </c>
      <c r="CT30" s="430">
        <v>1322202000</v>
      </c>
      <c r="CU30" s="430">
        <v>661101000</v>
      </c>
      <c r="CV30" s="430">
        <v>943585</v>
      </c>
      <c r="CW30" s="430" t="s">
        <v>1974</v>
      </c>
      <c r="CX30" s="430" t="s">
        <v>1964</v>
      </c>
      <c r="CY30" s="430">
        <v>0</v>
      </c>
      <c r="CZ30" s="430">
        <v>0</v>
      </c>
      <c r="DA30" s="430">
        <v>0</v>
      </c>
      <c r="DB30" s="430" t="s">
        <v>1975</v>
      </c>
      <c r="DC30" s="430">
        <v>0</v>
      </c>
      <c r="DD30" s="430">
        <v>1</v>
      </c>
      <c r="DE30" s="430">
        <v>2875138304</v>
      </c>
      <c r="DF30" s="430">
        <v>63252725788</v>
      </c>
      <c r="DG30" s="430">
        <v>6025175000</v>
      </c>
      <c r="DH30" s="430">
        <v>3085138000</v>
      </c>
      <c r="DI30" s="430">
        <v>220367000</v>
      </c>
      <c r="DJ30" s="430">
        <v>3031480046</v>
      </c>
      <c r="DK30" s="430">
        <v>897635748</v>
      </c>
      <c r="DL30" s="430">
        <v>2902411014</v>
      </c>
      <c r="DM30" s="430">
        <v>897612014</v>
      </c>
      <c r="DN30" s="430">
        <v>5362042</v>
      </c>
      <c r="DO30" s="595" t="s">
        <v>1974</v>
      </c>
      <c r="DP30" s="595" t="s">
        <v>1964</v>
      </c>
      <c r="DQ30" s="595">
        <v>0</v>
      </c>
      <c r="DR30" s="595">
        <v>0</v>
      </c>
      <c r="DS30" s="595">
        <v>0</v>
      </c>
      <c r="DT30" s="595" t="s">
        <v>1975</v>
      </c>
      <c r="DU30" s="595">
        <v>0</v>
      </c>
      <c r="DV30" s="595">
        <v>1</v>
      </c>
      <c r="DW30" s="595">
        <v>2875269152</v>
      </c>
      <c r="DX30" s="595">
        <v>63255659512</v>
      </c>
      <c r="DY30" s="595">
        <v>455919067</v>
      </c>
      <c r="DZ30" s="595">
        <v>185806633</v>
      </c>
      <c r="EA30" s="595">
        <v>25893636</v>
      </c>
      <c r="EB30" s="430">
        <v>560335584</v>
      </c>
      <c r="EC30" s="595">
        <v>421650332</v>
      </c>
      <c r="ED30" s="595">
        <v>0</v>
      </c>
      <c r="EE30" s="595">
        <v>0</v>
      </c>
      <c r="EF30" s="595">
        <v>25405393484</v>
      </c>
      <c r="EG30" s="595" t="s">
        <v>1974</v>
      </c>
      <c r="EH30" s="595" t="s">
        <v>1964</v>
      </c>
      <c r="EI30" s="595">
        <v>0</v>
      </c>
      <c r="EJ30" s="595">
        <v>0</v>
      </c>
      <c r="EK30" s="595">
        <v>0</v>
      </c>
      <c r="EL30" s="595" t="s">
        <v>1975</v>
      </c>
      <c r="EM30" s="595">
        <v>0</v>
      </c>
      <c r="EN30" s="595">
        <v>1</v>
      </c>
      <c r="EO30" s="595">
        <v>2875108800</v>
      </c>
      <c r="EP30" s="595">
        <v>63252121090</v>
      </c>
      <c r="EQ30" s="595">
        <v>1194327852</v>
      </c>
      <c r="ER30" s="595">
        <v>368509772</v>
      </c>
      <c r="ES30" s="430">
        <v>959942272</v>
      </c>
      <c r="ET30" s="595">
        <v>5496346</v>
      </c>
      <c r="EU30" s="595">
        <v>17081158000</v>
      </c>
      <c r="EV30" s="595">
        <v>0</v>
      </c>
      <c r="EW30" s="595">
        <v>129000000</v>
      </c>
      <c r="EX30" s="595">
        <v>0</v>
      </c>
      <c r="EY30" s="595" t="s">
        <v>1974</v>
      </c>
      <c r="EZ30" s="595" t="s">
        <v>1964</v>
      </c>
      <c r="FA30" s="595">
        <v>0</v>
      </c>
      <c r="FB30" s="595">
        <v>0</v>
      </c>
      <c r="FC30" s="595">
        <v>0</v>
      </c>
      <c r="FD30" s="595" t="s">
        <v>1975</v>
      </c>
      <c r="FE30" s="595">
        <v>0</v>
      </c>
      <c r="FF30" s="595">
        <v>1</v>
      </c>
      <c r="FG30" s="595">
        <v>2875169568</v>
      </c>
      <c r="FH30" s="595">
        <v>63253444419</v>
      </c>
      <c r="FI30" s="595">
        <v>46715981</v>
      </c>
      <c r="FJ30" s="595">
        <v>6307091951</v>
      </c>
      <c r="FK30" s="595">
        <v>1886198798</v>
      </c>
      <c r="FL30" s="595">
        <v>667530445</v>
      </c>
      <c r="FM30" s="595">
        <v>7079820458</v>
      </c>
      <c r="FN30" s="595">
        <v>5882395100</v>
      </c>
      <c r="FO30" s="430">
        <v>296013099</v>
      </c>
      <c r="FP30" s="430">
        <v>799049190</v>
      </c>
      <c r="FQ30" s="595" t="s">
        <v>1974</v>
      </c>
      <c r="FR30" s="595" t="s">
        <v>1964</v>
      </c>
      <c r="FS30" s="595">
        <v>0</v>
      </c>
      <c r="FT30" s="595">
        <v>0</v>
      </c>
      <c r="FU30" s="595">
        <v>0</v>
      </c>
      <c r="FV30" s="595" t="s">
        <v>1975</v>
      </c>
      <c r="FW30" s="595">
        <v>0</v>
      </c>
      <c r="FX30" s="595">
        <v>1</v>
      </c>
      <c r="FY30" s="595">
        <v>2875224128</v>
      </c>
      <c r="FZ30" s="595">
        <v>63254671191</v>
      </c>
      <c r="GA30" s="595">
        <v>452584495</v>
      </c>
      <c r="GB30" s="595">
        <v>447221795</v>
      </c>
      <c r="GC30" s="595">
        <v>405580455</v>
      </c>
      <c r="GD30" s="595">
        <v>405580455</v>
      </c>
      <c r="GE30" s="595">
        <v>1812</v>
      </c>
      <c r="GF30" s="595">
        <v>3</v>
      </c>
      <c r="GG30" s="595">
        <v>453</v>
      </c>
      <c r="GH30" s="595">
        <v>921534</v>
      </c>
      <c r="GI30" s="595" t="s">
        <v>1974</v>
      </c>
      <c r="GJ30" s="595" t="s">
        <v>1964</v>
      </c>
      <c r="GK30" s="595">
        <v>0</v>
      </c>
      <c r="GL30" s="595">
        <v>0</v>
      </c>
      <c r="GM30" s="595">
        <v>0</v>
      </c>
      <c r="GN30" s="595" t="s">
        <v>1975</v>
      </c>
      <c r="GO30" s="595">
        <v>0</v>
      </c>
      <c r="GP30" s="595">
        <v>1</v>
      </c>
      <c r="GQ30" s="595">
        <v>2875034496</v>
      </c>
      <c r="GR30" s="595">
        <v>63250509671</v>
      </c>
      <c r="GS30" s="595">
        <v>1101835000</v>
      </c>
      <c r="GT30" s="595">
        <v>86003000</v>
      </c>
      <c r="GU30" s="595">
        <v>0</v>
      </c>
      <c r="GV30" s="595">
        <v>0</v>
      </c>
      <c r="GW30" s="595">
        <v>0</v>
      </c>
      <c r="GX30" s="595">
        <v>8</v>
      </c>
      <c r="GY30" s="595">
        <v>521367032</v>
      </c>
      <c r="GZ30" s="595">
        <v>400468501</v>
      </c>
      <c r="HA30" s="595" t="s">
        <v>1974</v>
      </c>
      <c r="HB30" s="595" t="s">
        <v>1964</v>
      </c>
      <c r="HC30" s="595">
        <v>0</v>
      </c>
      <c r="HD30" s="595">
        <v>0</v>
      </c>
      <c r="HE30" s="595">
        <v>0</v>
      </c>
      <c r="HF30" s="595" t="s">
        <v>1975</v>
      </c>
      <c r="HG30" s="595">
        <v>0</v>
      </c>
      <c r="HH30" s="595">
        <v>1</v>
      </c>
      <c r="HI30" s="595">
        <v>2874876032</v>
      </c>
      <c r="HJ30" s="595">
        <v>63247038101</v>
      </c>
      <c r="HK30" s="595">
        <v>0</v>
      </c>
      <c r="HL30" s="595">
        <v>0</v>
      </c>
      <c r="HM30" s="595">
        <v>0</v>
      </c>
      <c r="HN30" s="595">
        <v>1085738001</v>
      </c>
      <c r="HO30" s="595">
        <v>129004009</v>
      </c>
      <c r="HP30" s="595">
        <v>37627017</v>
      </c>
      <c r="HQ30" s="595">
        <v>258007009</v>
      </c>
      <c r="HR30" s="595">
        <v>0</v>
      </c>
      <c r="HS30" s="595" t="s">
        <v>1974</v>
      </c>
      <c r="HT30" s="595" t="s">
        <v>1964</v>
      </c>
      <c r="HU30" s="595">
        <v>0</v>
      </c>
      <c r="HV30" s="595">
        <v>0</v>
      </c>
      <c r="HW30" s="595">
        <v>0</v>
      </c>
      <c r="HX30" s="595" t="s">
        <v>1975</v>
      </c>
      <c r="HY30" s="595">
        <v>0</v>
      </c>
      <c r="HZ30" s="595">
        <v>1</v>
      </c>
      <c r="IA30" s="595">
        <v>2876782560</v>
      </c>
      <c r="IB30" s="595">
        <v>63288951216</v>
      </c>
      <c r="IC30" s="595">
        <v>16307668708</v>
      </c>
      <c r="ID30" s="595">
        <v>1325407514</v>
      </c>
      <c r="IE30" s="595">
        <v>0</v>
      </c>
      <c r="IF30" s="595">
        <v>16307650154</v>
      </c>
      <c r="IG30" s="595">
        <v>14421483</v>
      </c>
      <c r="IH30" s="595">
        <v>400475719</v>
      </c>
      <c r="II30" s="595">
        <v>0</v>
      </c>
      <c r="IJ30" s="595">
        <v>0</v>
      </c>
      <c r="IK30" s="595" t="s">
        <v>1974</v>
      </c>
      <c r="IL30" s="595" t="s">
        <v>1964</v>
      </c>
      <c r="IM30" s="595">
        <v>0</v>
      </c>
      <c r="IN30" s="595">
        <v>0</v>
      </c>
      <c r="IO30" s="595">
        <v>0</v>
      </c>
      <c r="IP30" s="595" t="s">
        <v>1975</v>
      </c>
      <c r="IQ30" s="595">
        <v>0</v>
      </c>
      <c r="IR30" s="595">
        <v>1</v>
      </c>
      <c r="IS30" s="595">
        <v>2875698240</v>
      </c>
      <c r="IT30" s="595">
        <v>63265120495</v>
      </c>
      <c r="IU30" s="595">
        <v>0</v>
      </c>
      <c r="IV30" s="595">
        <v>0</v>
      </c>
      <c r="IW30" s="595">
        <v>827734000</v>
      </c>
      <c r="IX30" s="595">
        <v>0</v>
      </c>
      <c r="IY30" s="595">
        <v>553630000</v>
      </c>
      <c r="IZ30" s="595">
        <v>257994009</v>
      </c>
      <c r="JA30" s="595">
        <v>0</v>
      </c>
      <c r="JB30" s="595">
        <v>0</v>
      </c>
      <c r="JC30" s="595" t="s">
        <v>1974</v>
      </c>
      <c r="JD30" s="595" t="s">
        <v>1964</v>
      </c>
      <c r="JE30" s="595">
        <v>0</v>
      </c>
      <c r="JF30" s="595">
        <v>0</v>
      </c>
      <c r="JG30" s="595">
        <v>0</v>
      </c>
      <c r="JH30" s="595" t="s">
        <v>1975</v>
      </c>
      <c r="JI30" s="595">
        <v>0</v>
      </c>
      <c r="JJ30" s="595">
        <v>1</v>
      </c>
      <c r="JK30" s="595">
        <v>2875648064</v>
      </c>
      <c r="JL30" s="595">
        <v>63264010961</v>
      </c>
      <c r="JM30" s="595">
        <v>447960157</v>
      </c>
      <c r="JN30" s="595">
        <v>0</v>
      </c>
      <c r="JO30" s="595">
        <v>0</v>
      </c>
      <c r="JP30" s="595">
        <v>259469870</v>
      </c>
      <c r="JQ30" s="595">
        <v>0</v>
      </c>
      <c r="JR30" s="595">
        <v>0</v>
      </c>
      <c r="JS30" s="595">
        <v>162573911</v>
      </c>
      <c r="JT30" s="595">
        <v>0</v>
      </c>
      <c r="JU30" s="595" t="s">
        <v>1974</v>
      </c>
      <c r="JV30" s="595" t="s">
        <v>1964</v>
      </c>
      <c r="JW30" s="595">
        <v>0</v>
      </c>
      <c r="JX30" s="595">
        <v>0</v>
      </c>
      <c r="JY30" s="595">
        <v>0</v>
      </c>
      <c r="JZ30" s="595" t="s">
        <v>1975</v>
      </c>
      <c r="KA30" s="595">
        <v>0</v>
      </c>
      <c r="KB30" s="595">
        <v>1</v>
      </c>
      <c r="KC30" s="595">
        <v>2875799072</v>
      </c>
      <c r="KD30" s="595">
        <v>63267246837</v>
      </c>
      <c r="KE30" s="595">
        <v>193500000</v>
      </c>
      <c r="KF30" s="595">
        <v>3903200535</v>
      </c>
      <c r="KG30" s="595">
        <v>1192112238</v>
      </c>
      <c r="KH30" s="595">
        <v>56035732132</v>
      </c>
      <c r="KI30" s="595">
        <v>14319585460</v>
      </c>
      <c r="KJ30" s="595">
        <v>3673602727</v>
      </c>
      <c r="KK30" s="595">
        <v>972261376</v>
      </c>
      <c r="KL30" s="595">
        <v>0</v>
      </c>
      <c r="KM30" s="595" t="s">
        <v>1974</v>
      </c>
      <c r="KN30" s="595" t="s">
        <v>1964</v>
      </c>
      <c r="KO30" s="595">
        <v>0</v>
      </c>
      <c r="KP30" s="595">
        <v>0</v>
      </c>
      <c r="KQ30" s="595">
        <v>0</v>
      </c>
      <c r="KR30" s="595" t="s">
        <v>1975</v>
      </c>
      <c r="KS30" s="595">
        <v>0</v>
      </c>
      <c r="KT30" s="595">
        <v>1</v>
      </c>
      <c r="KU30" s="595">
        <v>2874957312</v>
      </c>
      <c r="KV30" s="595">
        <v>63248796915</v>
      </c>
      <c r="KW30" s="595">
        <v>5592988954</v>
      </c>
      <c r="KX30" s="595">
        <v>42547988</v>
      </c>
      <c r="KY30" s="595">
        <v>9687122</v>
      </c>
      <c r="KZ30" s="595">
        <v>13496562030</v>
      </c>
      <c r="LA30" s="595">
        <v>2505841098</v>
      </c>
      <c r="LB30" s="595">
        <v>719449</v>
      </c>
      <c r="LC30" s="595">
        <v>12503</v>
      </c>
      <c r="LD30" s="595">
        <v>14647</v>
      </c>
      <c r="LE30" s="595" t="s">
        <v>1974</v>
      </c>
      <c r="LF30" s="595" t="s">
        <v>1964</v>
      </c>
      <c r="LG30" s="595">
        <v>0</v>
      </c>
      <c r="LH30" s="595">
        <v>0</v>
      </c>
      <c r="LI30" s="595">
        <v>0</v>
      </c>
      <c r="LJ30" s="595" t="s">
        <v>1975</v>
      </c>
      <c r="LK30" s="595">
        <v>0</v>
      </c>
      <c r="LL30" s="595">
        <v>1</v>
      </c>
      <c r="LM30" s="595">
        <v>2875316544</v>
      </c>
      <c r="LN30" s="595">
        <v>63256718415</v>
      </c>
      <c r="LO30" s="595">
        <v>5541122487</v>
      </c>
      <c r="LP30" s="595">
        <v>959</v>
      </c>
      <c r="LQ30" s="595">
        <v>0</v>
      </c>
      <c r="LR30" s="595">
        <v>2506130843</v>
      </c>
      <c r="LS30" s="595">
        <v>178</v>
      </c>
      <c r="LT30" s="595">
        <v>0</v>
      </c>
      <c r="LU30" s="595">
        <v>5540946751</v>
      </c>
      <c r="LV30" s="595">
        <v>31026</v>
      </c>
      <c r="LY30" s="254"/>
      <c r="LZ30" s="254"/>
      <c r="MB30" s="254"/>
      <c r="MC30" s="252" t="s">
        <v>853</v>
      </c>
      <c r="MD30" s="354"/>
      <c r="ME30" s="355"/>
      <c r="MF30" s="355"/>
      <c r="MG30" s="356"/>
      <c r="MH30" s="356"/>
      <c r="MI30" s="355"/>
      <c r="MJ30" s="355"/>
      <c r="MK30" s="355"/>
      <c r="ML30" s="355"/>
      <c r="MM30" s="356"/>
      <c r="MN30" s="356"/>
      <c r="MO30" s="355"/>
      <c r="MP30" s="355"/>
      <c r="MQ30" s="355"/>
      <c r="MR30" s="356"/>
      <c r="MS30" s="356"/>
      <c r="MT30" s="357"/>
      <c r="MU30" s="254"/>
      <c r="NA30" s="424">
        <f>IF(AF30="","",$AF30)</f>
        <v>0</v>
      </c>
      <c r="NB30" s="424">
        <f>IF($AG30="","",$AG30)</f>
        <v>0</v>
      </c>
      <c r="NC30" s="207">
        <f>IF(OR($AK30="",$C$4=""),"",IF($C$4=0,0,$AK30/$C$4))</f>
        <v>28.7533952</v>
      </c>
      <c r="ND30" s="208">
        <f>IF(OR($NI30="",$NC30=""),"",IF($NC30=0,0,$NI30/10^9/$NC30))</f>
        <v>2.3807147477317741</v>
      </c>
      <c r="NE30" s="209">
        <f t="shared" ref="NE30:NE41" si="15">IF(OR($ND30="",$C$13="",$C$16=""),"",IF($C$13=0,0,$ND30/($C$13*$C$16/10^9)))</f>
        <v>3.3817123480131238E-2</v>
      </c>
      <c r="NF30" s="208">
        <f t="shared" ref="NF30:NF41" si="16">IF(OR($AO30="",$AQ30="",$AR30="",$AP30="",$C$7="",$NC30=""),"",IF($NC30=0,0,(($AO30-$AQ30-$AR30+$AP30)*$C$7/10^9)/$NC30))</f>
        <v>5.9776444726777864</v>
      </c>
      <c r="NG30" s="210"/>
      <c r="NH30" s="211">
        <f>IF($AS30="","",$AS30)</f>
        <v>13496588319</v>
      </c>
      <c r="NI30" s="208">
        <f t="shared" ref="NI30:NI41" si="17">IF(OR($AM30="",$C$11="",$AN30=""),"",$AM30*$C$11+$AN30)</f>
        <v>68453632000</v>
      </c>
      <c r="NJ30" s="212">
        <f>IF(OR($AT30="",$AS30=""),"",IF($AS30=0,0,$AT30/$AS30))</f>
        <v>0.8052345372126779</v>
      </c>
      <c r="NK30" s="213">
        <f>IF(OR($AM30="",$C$11="",$AN30=""),"",IF($AM30*$C$11+$AN30=0,0,$AM30*$C$11/($AM30*$C$11+$AN30)))</f>
        <v>0.9981155127020872</v>
      </c>
      <c r="NL30" s="214">
        <f t="shared" ref="NL30:NL41" si="18">IF(OR($CB30="",$CD30="",$CA30="",$CC30=""),"",IF(($CA30+$CC30)=0,0,
GuardLimitUpper(
  ($CB30+$CD30) / ( ($CA30+$CC30)*16),
  data_GuardLimitFlag,
  1)
 ))</f>
        <v>1</v>
      </c>
      <c r="NM30" s="208">
        <f>IF(OR($AS30="",$AL30=""),"",IF($AL30=0,0,$AS30/$AL30))</f>
        <v>0.21336056207816456</v>
      </c>
      <c r="NN30" s="208">
        <f t="shared" ref="NN30:NN41" si="19">IF(OR($AS30="",$NC30=""),"",IF($NC30=0,0,$AS30/10^9/$NC30))</f>
        <v>0.46939111799221545</v>
      </c>
      <c r="NO30" s="215">
        <f t="shared" ref="NO30:NO41" si="20">IF($O$5="Lv2",IF(OR($BH30="",$BD30="",$NC30=""),"",IF($BD30=0,0,$BH30/$BD30*$NC30)),
                             IF(OR($BH30="",$EE30="",$BD30="",$NC30=""),"",IF($BD30=0,0,
GuardLimitLower(
  ($BH30-$EE30)/$BD30*$NC30,
  data_GuardLimitFlag,
  0)
)))</f>
        <v>1.7173198670124688E-4</v>
      </c>
      <c r="NP30" s="216">
        <f>IF($O$5="Lv2","",IF(OR($EE30="",$BD30="",$NC30=""),"",IF($BD30=0,0,($EE30)/$BD30*$NC30)))</f>
        <v>0</v>
      </c>
      <c r="NQ30" s="215">
        <f>IF($O$5="Lv2","",IF(OR($EC30="",$BD30="",$NC30=""),"",IF($BD30=0,0,$EC30/$BD30*$NC30)))</f>
        <v>0.19164471959644275</v>
      </c>
      <c r="NR30" s="215">
        <f>IF($O$5="Lv2","",IF(OR($EB30="",$EC30="",$BD30="",$NC30=""),"",IF($BD30=0,0,($EB30-$EC30)/$BD30*$NC30)))</f>
        <v>6.3033974396827938E-2</v>
      </c>
      <c r="NS30" s="215">
        <f t="shared" ref="NS30:NS41" si="21">IF($O$5="Lv2","",IF(OR($EA30="",$BD30="",$NC30=""),"",IF($BD30=0,0,$EA30/$BD30*$NC30)))</f>
        <v>1.1768942732748412E-2</v>
      </c>
      <c r="NT30" s="215">
        <f t="shared" ref="NT30:NT41" si="22">IF($O$5="Lv2","",IF(OR($DY30="",$EC30="",$EA30="",$ED30="",$BD30="",$NC30=""),"",IF($BD30=0,0,($DY30-($EC30+$EA30+$ED30))/$BD30*$NC30)))</f>
        <v>3.8065747318027678E-3</v>
      </c>
      <c r="NU30" s="215">
        <f t="shared" ref="NU30:NU41" si="23">IF($O$5="Lv2",  IF(OR($BG30="",$BH30="",$BD30="",$NC30=""),"",IF($BD30=0,0,($BG30-$BH30)/$BD30*$NC30)),
                               IF(OR($DZ30="",$EA30="",$BD30="",$NC30=""),"",IF($BD30=0,0,($DZ30-$EA30)/$BD30*$NC30)))</f>
        <v>7.268221828387364E-2</v>
      </c>
      <c r="NV30" s="215">
        <f>IF($O$5="Lv2","",IF(OR($BG30="",$EB30="",$DZ30="",$BH30="",$NT30="",$BD30="",$NC30=""),"",IF(OR($BD30=0,$NC30=0),0,
GuardLimitLower(
  ($BG30-($EB30+$DZ30+$BH30+$NT30*$BD30/$NC30))/$BD30*$NC30,
  data_GuardLimitFlag,
  0)
)))</f>
        <v>9.3983269831283511</v>
      </c>
      <c r="NW30" s="215">
        <f t="shared" ref="NW30:NW41" si="24">IF($O$5="Lv2","",IF(OR($BI30="",$EF30="",$BD30="",$NC30=""),"",IF($BD30=0,0,
GuardLimitLower(
  ($BI30-$EF30)/$BD30*$NC30,
  data_GuardLimitFlag,
  0)
)))</f>
        <v>2.2394395374596625</v>
      </c>
      <c r="NX30" s="215">
        <f t="shared" ref="NX30:NX41" si="25">IF($O$5="Lv2",  IF(OR($BI30="",$BD30="",$NC30=""),"",IF($BD30=0,0,($BI30)/$BD30*$NC30)),
                               IF(OR($EF30="",$BD30="",$NC30=""),"",IF($BD30=0,0,($EF30)/$BD30*$NC30)))</f>
        <v>11.547031132133613</v>
      </c>
      <c r="NY30" s="215">
        <f t="shared" ref="NY30:NY41" si="26">IF($O$5="Lv2","",IF(OR($ET30="",$BD30="",$NC30=""),"",IF($BD30=0,0,($ET30/$BD30*$NC30))))</f>
        <v>2.4981497891362497E-3</v>
      </c>
      <c r="NZ30" s="215">
        <f t="shared" ref="NZ30:NZ41" si="27">IF($O$5="Lv2",  IF(OR($BE30="",$BG30="",$BI30="",$BJ30="",$BD30="",$NC30=""),"",                 IF($BD30=0,0,($BE30-($BG30+$BI30+$BJ30))/$BD30*$NC30)),
                               IF(OR($BE30="",$BG30="",$BI30="",$BJ30="",$ET30="",$BD30="",$NC30=""),"",IF($BD30=0,0,
GuardLimitLower(
  ($BE30-($BG30+$BI30+$BJ30+$ET30))/$BD30*$NC30,
  data_GuardLimitFlag,
  0)
)))</f>
        <v>1.2107504668520674</v>
      </c>
      <c r="OA30" s="215">
        <f t="shared" ref="OA30:OA41" si="28">IF(OR($BK30="",$BD30="",$NC30=""),"",IF($BD30=0,0,$BK30/$BD30*$NC30))</f>
        <v>0</v>
      </c>
      <c r="OB30" s="215">
        <f t="shared" ref="OB30:OB41" si="29">IF(OR($BJ30="",$BK30="",$BL30="",$BD30="",$NC30=""),"",IF($BD30=0,0,($BJ30-($BK30+$BL30))/$BD30*$NC30))</f>
        <v>6.4509660301359253E-2</v>
      </c>
      <c r="OC30" s="215">
        <f t="shared" ref="OC30:OC41" si="30">IF(OR($BL30="",$BD30="",$NC30=""),"",IF($BD30=0,0,$BL30/$BD30*$NC30))</f>
        <v>0</v>
      </c>
      <c r="OD30" s="215">
        <f t="shared" ref="OD30:OD41" si="31">IF(OR($BF30="",$BD30="",$NC30=""),"",IF($BD30=0,0,$BF30/$BD30*$NC30))</f>
        <v>2.8010488545990864</v>
      </c>
      <c r="OE30" s="215">
        <f t="shared" ref="OE30:OE41" si="32">IF($O$5="Lv2","",IF(OR($EQ30="",$BD30="",$NC30=""),"",IF($BD30=0,0,$EQ30/$BD30*$NC30)))</f>
        <v>0.54283516205736504</v>
      </c>
      <c r="OF30" s="215">
        <f t="shared" ref="OF30:OF41" si="33">IF($O$5="Lv2","",IF(OR($ER30="",$BD30="",$NC30=""),"",IF($BD30=0,0,$ER30/$BD30*$NC30)))</f>
        <v>0.16749174983096907</v>
      </c>
      <c r="OG30" s="215">
        <f t="shared" ref="OG30:OG41" si="34">IF($O$5="Lv2","",IF(OR($ES30="",$BD30="",$NC30=""),"",IF($BD30=0,0,$ES30/$BD30*$NC30)))</f>
        <v>0.43630433462154172</v>
      </c>
      <c r="OH30" s="215">
        <f t="shared" ref="OH30:OH41" si="35">IF($O$5="Lv2",  IF(OR($BD30="",$BE30="",$BF30="",$BD30="",$NC30=""),"",                                                     IF($BD30=0,0,($BD30-($BE30+$BF30))/$BD30*$NC30)),
                               IF(OR($BD30="",$BE30="",$BF30="",$EQ30="",$ER30="",$ES30="",$BD30="",$NC30=""),"",IF($BD30=0,0,
GuardLimitLower(
  ($BD30-($BE30+$BF30+$EQ30+$ER30+$ES30))/$BD30*$NC30,
  data_GuardLimitFlag,
  0)
)))</f>
        <v>5.1007498451847032E-5</v>
      </c>
      <c r="OI30" s="215">
        <f>IF($NQ$25="","",IF($NC30=0,"",$NC30))</f>
        <v>28.7533952</v>
      </c>
      <c r="OJ30" s="218">
        <f>IF(OR($CA30="",$BV30=""),"",IF($BV30=0,0,$CA30/$BV30))</f>
        <v>0.1098736032113278</v>
      </c>
      <c r="OK30" s="218">
        <f>IF(OR($CC30="",$BV30=""),"",IF($BV30=0,0,$CC30/$BV30))</f>
        <v>7.7771457780806019E-2</v>
      </c>
      <c r="OL30" s="218">
        <f>IF(OR($FO30="",$FH30=""),"",IF($FH30=0,0,$FO30/$FH30))</f>
        <v>4.6797941474801949E-3</v>
      </c>
      <c r="OM30" s="218">
        <f>IF(OR($FP30="",$FH30=""),"",IF($FH30=0,0,$FP30/$FH30))</f>
        <v>1.2632500843858908E-2</v>
      </c>
      <c r="ON30" s="217">
        <f t="shared" ref="ON30:ON41" si="36">IF(OR($BW30="",$BX30="",$BV30=""),"",IF($BV30=0,0,AVERAGE($BW30,$BX30)/$BV30))</f>
        <v>0.16799891626308217</v>
      </c>
      <c r="OO30" s="210"/>
      <c r="OP30" s="210"/>
      <c r="OQ30" s="218">
        <f>IF(OR($FM30="",$FH30=""),"",IF($FH30=0,0,$FM30/$FH30))</f>
        <v>0.11192782500668645</v>
      </c>
      <c r="OR30" s="218">
        <f>IF(OR($FN30="",$FH30=""),"",IF($FH30=0,0,$FN30/$FH30))</f>
        <v>9.2997229700791634E-2</v>
      </c>
      <c r="OS30" s="218">
        <f t="shared" ref="OS30:OS41" si="37">IF(OR($CB30="",$CA30=""),"",IF($CA30=0,0,
GuardLimitUpper(
  $CB30/($CA30*16),
  data_GuardLimitFlag,
  1)
))</f>
        <v>1</v>
      </c>
      <c r="OT30" s="218">
        <f t="shared" ref="OT30:OT41" si="38">IF(OR($CD30="",$CC30=""),"",IF($CC30=0,0,
GuardLimitUpper(
  $CD30/($CC30*16),
  data_GuardLimitFlag,
  1)
))</f>
        <v>0.94736684496334522</v>
      </c>
      <c r="OU30" s="209">
        <f t="shared" ref="OU30:OU41" si="39">IF(OR($KH30="",$KJ30=""),"",IF($KJ30=0,0,$KH30/($KJ30*16)))</f>
        <v>0.95335111565263164</v>
      </c>
      <c r="OV30" s="209">
        <f t="shared" ref="OV30:OV41" si="40">IF(OR($KI30="",$KK30=""),"",IF($KK30=0,0,$KI30/($KK30*16)))</f>
        <v>0.92050770846418972</v>
      </c>
      <c r="OW30" s="209">
        <f>IF(OR($BZ30="",$BV30=""),"",IF($BV30=0,0,$BZ30/$BV30))</f>
        <v>1.4816474202311782E-2</v>
      </c>
      <c r="OX30" s="219">
        <f t="shared" ref="OX30:OX41" si="41">IF(OR($GG30="",$AS30=""),"",IF($AS30=0,0,$GG30/$AS30))</f>
        <v>3.3564037762216048E-8</v>
      </c>
      <c r="OY30" s="208">
        <f>IF(OR($DJ30="",$DK30=""),"",$DJ30+$DK30)</f>
        <v>3929115794</v>
      </c>
      <c r="OZ30" s="208">
        <f t="shared" ref="OZ30:OZ41" si="42">IF($CP30="","",$CP30)</f>
        <v>467748158</v>
      </c>
      <c r="PA30" s="209">
        <f>IF(OR($OZ30="",$OY30=""),"",IF($OY30=0,0,$OZ30/$OY30))</f>
        <v>0.11904667170010108</v>
      </c>
      <c r="PB30" s="209">
        <f>IF(OR($CQ30="",$OZ30=""),"",IF($OZ30=0,0,
GuardLimitUpper(
  ($OZ30-$CQ30)/$OZ30,
  data_GuardLimitFlag,
  1)
))</f>
        <v>3.242107903715144E-2</v>
      </c>
      <c r="PC30" s="209">
        <f t="shared" ref="PC30:PC41" si="43">IF(OR($GB30="",$OZ30=""),"",IF($OZ30=0,0,
GuardLimitUpper(
  $GB30/($OZ30),
  data_GuardLimitFlag,
  1)
))</f>
        <v>0.95611663531126079</v>
      </c>
      <c r="PD30" s="209">
        <f t="shared" ref="PD30:PD41" si="44">IF(OR($CQ30="",$GB30="",$OZ30=""),"",IF($OZ30=0,0,
GuardLimitUpper(
  ($CQ30-$GB30)/$OZ30,
  data_GuardLimitFlag,
  1)
))</f>
        <v>1.146228565158775E-2</v>
      </c>
      <c r="PE30" s="208">
        <f>IF($OY$25="","",IF(OR($AO30="",$AQ30="",$AR30=""),"",$AO30-$AQ30-$AR30))</f>
        <v>463251793</v>
      </c>
      <c r="PF30" s="209">
        <f>IF(OR($PE30="",$OY30=""),"",IF($OY30=0,0,$PE30/$OY30))</f>
        <v>0.11790230099795324</v>
      </c>
      <c r="PG30" s="209">
        <f t="shared" ref="PG30:PG41" si="45">IF($O$7="Lv2",IF(OR($CS30="",$CO30="",$PE30=""),"",IF($PE30=0,0,($CS30-$CO30)/$PE30)),
                             IF(OR($CS30="",$CO30="",$GH30="",$GC30=""),"",IF($CS30-$CO30+$GC30-$GH30=0,0,
GuardLimitUpper(
  GuardLimitLower(
  ($CS30-$CO30)/($CS30-$CO30+$GC30-$GH30),
    data_GuardLimitFlag,
    0),
  data_GuardLimitFlag,
  1)
)))</f>
        <v>0.12639003657636735</v>
      </c>
      <c r="PH30" s="209">
        <f t="shared" ref="PH30:PH41" si="46">IF(OR($GD30="",$CS30="",$CO30="",$GC30="",$GH30=""),"",IF($CS30-$CO30+$GC30-$GH30=0,0,
GuardLimitUpper(
  $GD30/($CS30-$CO30+$GC30-$GH30),
  data_GuardLimitFlag,
  1)
))</f>
        <v>0.87559944454527494</v>
      </c>
      <c r="PI30" s="209">
        <f t="shared" ref="PI30:PI41" si="47">IF(OR($GC30="",$GH30="",$GD30="",$CS30="",$CO30=""),"",IF($CS30-$CO30+$GC30-$GH30=0,0,
GuardLimitUpper(
  GuardLimitLower(
  ($GC30-$GH30-$GD30)/($CS30-$CO30+$GC30-$GH30),
    data_GuardLimitFlag,
    0),
  data_GuardLimitFlag,
  1)
))</f>
        <v>0</v>
      </c>
      <c r="PJ30" s="220">
        <f t="shared" ref="PJ30:PJ41" si="48">IF(OR($GE30="",$OY30=""),"",IF($OY30=0,0,$GE30/$OY30))</f>
        <v>4.6117246093053168E-7</v>
      </c>
      <c r="PK30" s="220">
        <f t="shared" ref="PK30:PK41" si="49">IF(OR($GF30="",$OY30=""),"",IF($OY30=0,0,$GF30/$OY30))</f>
        <v>7.6353056445452266E-10</v>
      </c>
      <c r="PL30" s="221">
        <f>IF($O$8="Lv2",  IF($DL30="","",IF($CT30="",$DL30,
GuardLimitLower(
  $DL30-$CT30,
  data_GuardLimitFlag,
  0)
)),
                               IF(OR($DL30="",$HQ30="",$GS30="",$HR30="",$HK30="",$CT30="",$GU30=""),"",
GuardLimitLower(
  ($DL30-$HQ30)-($GS30+$HR30+$HK30+$CT30+$GU30),
  data_GuardLimitFlag,
  0)
))</f>
        <v>220367005</v>
      </c>
      <c r="PM30" s="221">
        <f t="shared" ref="PM30:PM41" si="50">IF($O$8="Lv2", "",IF($HK30="","",$HK30))</f>
        <v>0</v>
      </c>
      <c r="PN30" s="221">
        <f>IF($CT30="","",$CT30)</f>
        <v>1322202000</v>
      </c>
      <c r="PO30" s="221">
        <f t="shared" ref="PO30:PO41" si="51">IF($O$8="Lv2", "",IF($HR30="","",$HR30))</f>
        <v>0</v>
      </c>
      <c r="PP30" s="221">
        <f t="shared" ref="PP30:PP41" si="52">IF($O$8="Lv2","",IF($GS30="","",IF($IU30="",$GS30,
GuardLimitLower(
  $GS30-$IU30,
  data_GuardLimitFlag,
  0)
)))</f>
        <v>1101835000</v>
      </c>
      <c r="PQ30" s="529">
        <f>IF($O$8="Lv2","",IF($IU30="","",$IU30))</f>
        <v>0</v>
      </c>
      <c r="PR30" s="221">
        <f t="shared" ref="PR30:PR41" si="53">IF($O$8="Lv2", "",IF($GU30="","",$GU30))</f>
        <v>0</v>
      </c>
      <c r="PS30" s="221">
        <f t="shared" ref="PS30:PS41" si="54">IF($O$8="Lv2",IF(OR($DJ30="",$DL30=""),"",$DJ30-$DL30),
                             IF(OR($DJ30="",$DL30="",$HQ30=""),"",$DJ30-($DL30-$HQ30)))</f>
        <v>387076041</v>
      </c>
      <c r="PT30" s="221">
        <f>IF($O$8="Lv2",  IF($DM30="","",IF($CU30="",$DM30,
GuardLimitLower(
  $DM30-$CU30,
  data_GuardLimitFlag,
  0)
)),
                               IF(OR($DM30="",$HO30="",$GT30="",$HL30="",$CU30=""),"",
GuardLimitLower(
  ($DM30-$HO30)-($GT30+$HL30+$CU30),
  data_GuardLimitFlag,
  0)
))</f>
        <v>21504005</v>
      </c>
      <c r="PU30" s="221">
        <f t="shared" ref="PU30:PU41" si="55">IF($O$8="Lv2", "",IF($HL30="","",$HL30))</f>
        <v>0</v>
      </c>
      <c r="PV30" s="221">
        <f>IF($CU30="","",$CU30)</f>
        <v>661101000</v>
      </c>
      <c r="PW30" s="221">
        <f t="shared" ref="PW30:PW41" si="56">IF($O$8="Lv2","",IF($GT30="","",IF($IV30="",$GT30,
GuardLimitLower(
  $GT30-$IV30,
  data_GuardLimitFlag,
  0)
)))</f>
        <v>86003000</v>
      </c>
      <c r="PX30" s="221">
        <f>IF($O$8="Lv2","",IF($IV30="","",$IV30))</f>
        <v>0</v>
      </c>
      <c r="PY30" s="221">
        <f t="shared" ref="PY30:PY41" si="57">IF($O$8="Lv2",IF(OR($DK30="",$DM30=""),"",$DK30-$DM30),
                             IF(OR($DK30="",$DM30="",$HO30=""),"",$DK30-($DM30-$HO30)))</f>
        <v>129027743</v>
      </c>
      <c r="PZ30" s="221">
        <f t="shared" ref="PZ30:PZ41" si="58">IF($O$8="Lv2","",IF($GW30="","",$GW30))</f>
        <v>0</v>
      </c>
      <c r="QA30" s="221">
        <f t="shared" ref="QA30:QA41" si="59">IF($O$8="Lv2","",IF($GV30="","",$GV30))</f>
        <v>0</v>
      </c>
      <c r="QB30" s="221">
        <f t="shared" ref="QB30:QB41" si="60">IF($O$8="Lv2","",IF(OR($DN30="",$GV30="",$GW30=""),"",
GuardLimitLower(
  $DN30-($GV30+$GW30),
  data_GuardLimitFlag,
  0)
))</f>
        <v>5362042</v>
      </c>
      <c r="QC30" s="221">
        <f t="shared" ref="QC30:QC41" si="61">IF($O$8="Lv2","",IF($GX30="","",$GX30))</f>
        <v>8</v>
      </c>
      <c r="QD30" s="221">
        <f>IF(OR($DG30="",$DH30="",$DI30=""),"",$DG30-($DH30+$DI30))</f>
        <v>2719670000</v>
      </c>
      <c r="QE30" s="221">
        <f>IF($DH30="","",$DH30)</f>
        <v>3085138000</v>
      </c>
      <c r="QF30" s="221">
        <f>IF($DI30="","",$DI30)</f>
        <v>220367000</v>
      </c>
      <c r="QG30" s="222">
        <f t="shared" ref="QG30:QG41" si="62">IF($O$8="Lv2","",IF($HM30="","",$HM30))</f>
        <v>0</v>
      </c>
      <c r="QH30" s="222">
        <f t="shared" ref="QH30:QH41" si="63">IF($O$8="Lv2","",IF($HN30="","",$HN30))</f>
        <v>1085738001</v>
      </c>
      <c r="QI30" s="222">
        <f t="shared" ref="QI30:QI41" si="64">IF($O$8="Lv2","",IF($GY30="","",$GY30))</f>
        <v>521367032</v>
      </c>
      <c r="QJ30" s="222">
        <f t="shared" ref="QJ30:QJ41" si="65">IF($O$8="Lv2","",IF($GZ30="","",$GZ30))</f>
        <v>400468501</v>
      </c>
      <c r="QK30" s="222">
        <f t="shared" ref="QK30:QK41" si="66">IF($O$8="Lv2","",IF($HP30="","",$HP30))</f>
        <v>37627017</v>
      </c>
      <c r="QL30" s="222">
        <f>IF($O$8="Lv2","",IF($JA30="","",$JA30))</f>
        <v>0</v>
      </c>
      <c r="QM30" s="222">
        <f>IF(OR($O$8="Lv2",$O$8="Lv3",$O$8="Lv4"),IF(OR($AS30="",COUNT($PL30:$QL30)=0),"",
GuardLimitLower(
  $AS30-SUM($PL30:$QL30),
  data_GuardLimitFlag,
  0)
),"")</f>
        <v>1491734924</v>
      </c>
      <c r="QN30" s="222">
        <f>IF(OR($O$8="Lv2",$O$8="Lv3",$O$8="Lv4"),IF($AS30="","",$AS30),"")</f>
        <v>13496588319</v>
      </c>
      <c r="QO30" s="222">
        <f>IF(OR($EU30="",$C$11="",$EW30="",$AM30="",$AN30=""),"",$EU30*$C$11+$EW30)</f>
        <v>68453632000</v>
      </c>
      <c r="QP30" s="222">
        <f>IF(OR($EV30="",$C$11="",$EX30="",$AM30="",$AN30=""),"",$EV30*$C$11+$EX30)</f>
        <v>0</v>
      </c>
      <c r="QQ30" s="222">
        <f>IF(OR($AM30="",$EV30="",$EU30="",$C$11="",$AN30="",$EX30="",$EW30=""),"",($AM30-$EV30-$EU30)*$C$11+($AN30-$EX30-$EW30))</f>
        <v>0</v>
      </c>
      <c r="QR30" s="222">
        <f t="shared" ref="QR30:QR41" si="67">IF(OR($AM30="",$C$11="",$AN30="",$CA30="",$CC30="",$CB30="",$CD30="",$C$17="",$NC30=""),"",IF(OR($CA30+$CC30=0,$C$17=0,$NC30=0),0,
($AM30*$C$11+$AN30)*
GuardLimitUpper(
  ($CB30+$CD30)/(($CA30+$CC30)*$C$17),
  data_GuardLimitFlag,
  1)
/10^9/$NC30)
)</f>
        <v>2.3807147477317741</v>
      </c>
      <c r="QS30" s="209">
        <f t="shared" ref="QS30:QS41" si="68">IF(OR($KG30="",$KF30="",$KE30=""),"",IF($KG30+$KF30+$KE30=0,0,$KE30/($KG30+$KF30+$KE30)))</f>
        <v>3.6586660996554811E-2</v>
      </c>
      <c r="QT30" s="209">
        <f t="shared" ref="QT30:QT41" si="69">IF(OR($KG30="",$KF30="",$KE30=""),"",IF($KG30+$KF30+$KE30=0,0,$KF30/($KG30+$KF30+$KE30)))</f>
        <v>0.73801072235460663</v>
      </c>
      <c r="QU30" s="209">
        <f t="shared" ref="QU30:QU41" si="70">IF(OR($KG30="",$KF30="",$KE30=""),"",IF($KG30+$KF30+$KE30=0,0,$KG30/($KG30+$KF30+$KE30)))</f>
        <v>0.22540261664883859</v>
      </c>
      <c r="QV30" s="208">
        <f t="shared" ref="QV30:QV41" si="71">IF($IC30="","",$IC30)</f>
        <v>16307668708</v>
      </c>
      <c r="QW30" s="208">
        <f t="shared" ref="QW30:QW41" si="72">IF($IY30="","",$IY30)</f>
        <v>553630000</v>
      </c>
      <c r="QX30" s="208">
        <f t="shared" ref="QX30:QX41" si="73">IF($IZ30="","",$IZ30)</f>
        <v>257994009</v>
      </c>
      <c r="QY30" s="208">
        <f t="shared" ref="QY30:QY41" si="74">IF($IW30="","",$IW30)</f>
        <v>827734000</v>
      </c>
      <c r="QZ30" s="208">
        <f t="shared" ref="QZ30:QZ41" si="75">IF($IX30="","",$IX30)</f>
        <v>0</v>
      </c>
      <c r="RA30" s="209">
        <f>IF(OR($IF30="",$IC30=""),"",IF($IC30=0,0,
GuardLimitUpper(
  $IF30/$IC30,
  data_GuardLimitFlag,
  1)
))</f>
        <v>0.99999886225307044</v>
      </c>
      <c r="RB30" s="209">
        <f t="shared" ref="RB30:RB41" si="76">IF(OR($IG30="",$GZ30=""),"",IF($GZ30=0,0,$IG30/$GZ30))</f>
        <v>3.6011528906739157E-2</v>
      </c>
      <c r="RC30" s="209">
        <f t="shared" ref="RC30:RC41" si="77">IF(OR($JM30="",$JN30="",$JO30="",$JP30="",$JQ30="",$JR30="",$JS30=""),"",IF($JM30+$JN30+$JO30+$JP30+$JQ30+$JR30+$JS30=0,0,$JM30/($JM30+$JN30+$JO30+$JP30+$JQ30+$JR30+$JS30)))</f>
        <v>0.51489440154695021</v>
      </c>
      <c r="RD30" s="209">
        <f t="shared" ref="RD30:RD41" si="78">IF(OR($JM30="",$JN30="",$JO30="",$JP30="",$JQ30="",$JR30="",$JS30=""),"",IF($JM30+$JN30+$JO30+$JP30+$JQ30+$JR30+$JS30=0,0,$JN30/($JM30+$JN30+$JO30+$JP30+$JQ30+$JR30+$JS30)))</f>
        <v>0</v>
      </c>
      <c r="RE30" s="209">
        <f t="shared" ref="RE30:RE41" si="79">IF(OR($JM30="",$JN30="",$JO30="",$JP30="",$JQ30="",$JR30="",$JS30=""),"",IF($JM30+$JN30+$JO30+$JP30+$JQ30+$JR30+$JS30=0,0,$JO30/($JM30+$JN30+$JO30+$JP30+$JQ30+$JR30+$JS30)))</f>
        <v>0</v>
      </c>
      <c r="RF30" s="209">
        <f t="shared" ref="RF30:RF41" si="80">IF(OR($JM30="",$JN30="",$JO30="",$JP30="",$JQ30="",$JR30="",$JS30=""),"",IF($JM30+$JN30+$JO30+$JP30+$JQ30+$JR30+$JS30=0,0,$JP30/($JM30+$JN30+$JO30+$JP30+$JQ30+$JR30+$JS30)))</f>
        <v>0.29823987992109524</v>
      </c>
      <c r="RG30" s="209">
        <f t="shared" ref="RG30:RG41" si="81">IF(OR($JM30="",$JN30="",$JO30="",$JP30="",$JQ30="",$JR30="",$JS30=""),"",IF($JM30+$JN30+$JO30+$JP30+$JQ30+$JR30+$JS30=0,0,$JQ30/($JM30+$JN30+$JO30+$JP30+$JQ30+$JR30+$JS30)))</f>
        <v>0</v>
      </c>
      <c r="RH30" s="209">
        <f t="shared" ref="RH30:RH41" si="82">IF(OR($JM30="",$JN30="",$JO30="",$JP30="",$JQ30="",$JR30="",$JS30=""),"",IF($JM30+$JN30+$JO30+$JP30+$JQ30+$JR30+$JS30=0,0,$JR30/($JM30+$JN30+$JO30+$JP30+$JQ30+$JR30+$JS30)))</f>
        <v>0</v>
      </c>
      <c r="RI30" s="209">
        <f t="shared" ref="RI30:RI41" si="83">IF(OR($JM30="",$JN30="",$JO30="",$JP30="",$JQ30="",$JR30="",$JS30=""),"",IF($JM30+$JN30+$JO30+$JP30+$JQ30+$JR30+$JS30=0,0,$JS30/($JM30+$JN30+$JO30+$JP30+$JQ30+$JR30+$JS30)))</f>
        <v>0.18686571853195449</v>
      </c>
      <c r="RJ30" s="223" t="s">
        <v>854</v>
      </c>
      <c r="RK30" s="222">
        <f>IF(OR(COUNT($LO30:$LO41)=0,$C$8="",$NC$42=""),"",IF($NC$42=0,0,AVERAGE($LO30:$LO41)*$C$8/10^9/$NC$42))</f>
        <v>49.330703060918573</v>
      </c>
      <c r="RL30" s="222">
        <f>IF(COUNT($RK45:$RK56)=0,"",AVERAGE($RK45:$RK56))</f>
        <v>1.3353237398106715E-3</v>
      </c>
      <c r="RM30" s="224"/>
      <c r="RN30" s="224"/>
      <c r="RO30" s="224"/>
      <c r="RP30" s="222">
        <f>IF(OR(COUNT($LP30:$LP41)=0,$C$8="",$NC$42=""),"",IF($NC$42=0,0,AVERAGE($LP30:$LP41)*$C$8/10^9/$NC$42))</f>
        <v>8.5392761313019491E-6</v>
      </c>
      <c r="RQ30" s="222">
        <f>IF(OR(COUNT($LQ30:$LQ41)=0,$C$8="",$NC$42=""),"",IF($NC$42=0,0,AVERAGE($LQ30:$LQ41)*$C$8/10^9/$NC$42))</f>
        <v>0</v>
      </c>
      <c r="RR30" s="222">
        <f t="shared" ref="RR30:RR41" si="84">IF($FJ30="","",IF($NC30=0,0,$FJ30*8/10^9/$NC30))</f>
        <v>1.7548096583738397</v>
      </c>
      <c r="RS30" s="224"/>
      <c r="RT30" s="224"/>
      <c r="RU30" s="208">
        <f>IF(OR($AK30="",$C$4=""),"",$AK30/$C$4)</f>
        <v>28.7533952</v>
      </c>
      <c r="RV30" s="208">
        <f>IF(OR($AL30="",$AL30=""),"",IF($AL30=0,0,$AL30/$AL30))</f>
        <v>1</v>
      </c>
      <c r="RW30" s="208">
        <f>IF(OR($BD30="",$AL30=""),"",IF($AL30=0,0,$BD30/$AL30))</f>
        <v>1.0000802905960142</v>
      </c>
      <c r="RX30" s="208">
        <f>IF(OR($BV30="",$AL30=""),"",IF($AL30=0,0,$BV30/$AL30))</f>
        <v>0.99999694336693501</v>
      </c>
      <c r="RY30" s="208">
        <f>IF(OR($CN30="",$AL30=""),"",IF($AL30=0,0,$CN30/$AL30))</f>
        <v>0.99987915051659049</v>
      </c>
      <c r="RZ30" s="208">
        <f t="shared" ref="RZ30:RZ41" si="85">IF(OR($DF30="",$AL30=""),"",IF($AL30=0,0,$DF30/$AL30))</f>
        <v>0.99992952353040465</v>
      </c>
      <c r="SA30" s="208">
        <f t="shared" ref="SA30:SA41" si="86">IF(OR($DX30="",$AL30=""),"",IF($AL30=0,0,$DX30/$AL30))</f>
        <v>0.99997590125096836</v>
      </c>
      <c r="SB30" s="208">
        <f t="shared" ref="SB30:SB41" si="87">IF(OR($EP30="",$AL30=""),"",IF($AL30=0,0,$EP30/$AL30))</f>
        <v>0.99991996417346807</v>
      </c>
      <c r="SC30" s="208">
        <f t="shared" ref="SC30:SC41" si="88">IF(OR($FH30="",$AL30=""),"",IF($AL30=0,0,$FH30/$AL30))</f>
        <v>0.99994088399502457</v>
      </c>
      <c r="SD30" s="208">
        <f t="shared" ref="SD30:SD41" si="89">IF(OR($FZ30="",$AL30=""),"",IF($AL30=0,0,$FZ30/$AL30))</f>
        <v>0.99996027739706628</v>
      </c>
      <c r="SE30" s="208">
        <f t="shared" ref="SE30:SE41" si="90">IF(OR($GR30="",$AL30=""),"",IF($AL30=0,0,$GR30/$AL30))</f>
        <v>0.99989449008657605</v>
      </c>
      <c r="SF30" s="208">
        <f t="shared" ref="SF30:SF41" si="91">IF(OR($HJ30="",$AL30=""),"",IF($AL30=0,0,$HJ30/$AL30))</f>
        <v>0.99983960983765785</v>
      </c>
      <c r="SG30" s="208">
        <f t="shared" ref="SG30:SG41" si="92">IF(OR($IB30="",$AL30=""),"",IF($AL30=0,0,$IB30/$AL30))</f>
        <v>1.0005021925262221</v>
      </c>
      <c r="SH30" s="208">
        <f t="shared" ref="SH30:SH41" si="93">IF(OR($JL30="",$AL30=""),"",IF($AL30=0,0,$JL30/$AL30))</f>
        <v>1.0001079249750897</v>
      </c>
      <c r="SI30" s="208">
        <f t="shared" ref="SI30:SI41" si="94">IF(OR($IT30="",$AL30=""),"",IF($AL30=0,0,$IT30/$AL30))</f>
        <v>1.0001254650224181</v>
      </c>
      <c r="SJ30" s="208">
        <f t="shared" ref="SJ30:SJ41" si="95">IF(OR($KD30="",$AL30=""),"",IF($AL30=0,0,$KD30/$AL30))</f>
        <v>1.0001590792598509</v>
      </c>
      <c r="SK30" s="208">
        <f t="shared" ref="SK30:SK41" si="96">IF(OR($KV30="",$AL30=""),"",IF($AL30=0,0,$KV30/$AL30))</f>
        <v>0.99986741401562951</v>
      </c>
      <c r="SL30" s="208">
        <f t="shared" ref="SL30:SL41" si="97">IF(OR($LN30="",$AL30=""),"",IF($AL30=0,0,$LN30/$AL30))</f>
        <v>0.99999264089908735</v>
      </c>
      <c r="SM30" s="222">
        <f>IF($AJ30="","",$AJ30)</f>
        <v>1</v>
      </c>
      <c r="SN30" s="225">
        <f t="shared" ref="SN30:SN41" si="98">IF(OR($NC30="",$SM30=""),"",IF($SM30=0,0,$NC30/$SM30))</f>
        <v>28.7533952</v>
      </c>
      <c r="SO30" s="209">
        <f>IF(OR($OI30="",$OC30="",COUNT($OI$30:$OI$41)=0),"",IF(MAX($OI$30:$OI$41)=0,0,($OI30-$OC30)/MAX($OI$30:$OI$41)))</f>
        <v>0.99892879118383004</v>
      </c>
      <c r="SP30" s="209">
        <f>IF(OR($NH30="",COUNT($NH$30:$NH$41)=0),"",IF(MAX($NH$30:$NH$41)=0,0,$NH30/MAX($NH$30:$NH$41)))</f>
        <v>1</v>
      </c>
      <c r="SQ30" s="222">
        <f>IF($AL30="","",$AL30)</f>
        <v>63257183931</v>
      </c>
      <c r="SR30" s="222">
        <f>IF($BD30="","",$BD30)</f>
        <v>63262262888</v>
      </c>
      <c r="SS30" s="222">
        <f>IF($BV30="","",$BV30)</f>
        <v>63256990577</v>
      </c>
      <c r="ST30" s="222">
        <f>IF($CN30="","",$CN30)</f>
        <v>63249539333</v>
      </c>
      <c r="SU30" s="222">
        <f>IF($DF30="","",$DF30)</f>
        <v>63252725788</v>
      </c>
      <c r="SV30" s="222">
        <f>IF($DX30="","",$DX30)</f>
        <v>63255659512</v>
      </c>
      <c r="SW30" s="222">
        <f>IF($EP30="","",$EP30)</f>
        <v>63252121090</v>
      </c>
      <c r="SX30" s="222">
        <f>IF($FH30="","",$FH30)</f>
        <v>63253444419</v>
      </c>
      <c r="SY30" s="222">
        <f>IF($FZ30="","",$FZ30)</f>
        <v>63254671191</v>
      </c>
      <c r="SZ30" s="222">
        <f>IF($GR30="","",$GR30)</f>
        <v>63250509671</v>
      </c>
      <c r="TA30" s="222">
        <f>IF($HJ30="","",$HJ30)</f>
        <v>63247038101</v>
      </c>
      <c r="TB30" s="222">
        <f>IF($IB30="","",$IB30)</f>
        <v>63288951216</v>
      </c>
      <c r="TC30" s="222">
        <f t="shared" ref="TC30:TC41" si="99">IF($JL30="","",$JL30)</f>
        <v>63264010961</v>
      </c>
      <c r="TD30" s="222">
        <f>IF($IT30="","",$IT30)</f>
        <v>63265120495</v>
      </c>
      <c r="TE30" s="222">
        <f>IF($KD30="","",$KD30)</f>
        <v>63267246837</v>
      </c>
      <c r="TF30" s="222">
        <f>IF($KV30="","",$KV30)</f>
        <v>63248796915</v>
      </c>
      <c r="TG30" s="222">
        <f>IF($LN30="","",$LN30)</f>
        <v>63256718415</v>
      </c>
      <c r="TK30" s="244"/>
      <c r="TL30" s="345" t="s">
        <v>822</v>
      </c>
      <c r="TM30" s="345" t="s">
        <v>823</v>
      </c>
      <c r="TN30" s="345" t="s">
        <v>824</v>
      </c>
      <c r="TQ30" s="592" t="s">
        <v>1953</v>
      </c>
      <c r="TR30" s="292" t="s">
        <v>1694</v>
      </c>
      <c r="TS30" s="292" t="s">
        <v>1695</v>
      </c>
      <c r="TT30" s="292" t="s">
        <v>1696</v>
      </c>
      <c r="TU30" s="292" t="s">
        <v>1697</v>
      </c>
      <c r="TV30" s="292" t="s">
        <v>1698</v>
      </c>
      <c r="UC30" s="592" t="s">
        <v>1953</v>
      </c>
      <c r="UD30" s="292" t="s">
        <v>1504</v>
      </c>
      <c r="UE30" s="292" t="s">
        <v>1505</v>
      </c>
      <c r="UF30" s="292" t="s">
        <v>1506</v>
      </c>
      <c r="UG30" s="292" t="s">
        <v>1507</v>
      </c>
      <c r="UH30" s="292" t="s">
        <v>1508</v>
      </c>
      <c r="VA30" s="346"/>
      <c r="VB30" s="347" t="s">
        <v>826</v>
      </c>
      <c r="VC30" s="347" t="s">
        <v>1690</v>
      </c>
      <c r="VD30" s="347" t="s">
        <v>1691</v>
      </c>
      <c r="VE30" s="347" t="s">
        <v>1692</v>
      </c>
      <c r="VF30" s="347" t="s">
        <v>1693</v>
      </c>
      <c r="VH30" s="368"/>
      <c r="VI30" s="348"/>
      <c r="VJ30" s="347" t="s">
        <v>827</v>
      </c>
      <c r="VK30" s="347" t="s">
        <v>828</v>
      </c>
      <c r="VL30" s="368"/>
      <c r="VM30" s="350"/>
      <c r="VN30" s="344" t="s">
        <v>829</v>
      </c>
      <c r="VO30" s="344" t="s">
        <v>1714</v>
      </c>
      <c r="VQ30" s="350"/>
      <c r="VR30" s="344" t="s">
        <v>830</v>
      </c>
      <c r="VS30" s="344" t="s">
        <v>831</v>
      </c>
      <c r="VT30" s="344" t="s">
        <v>832</v>
      </c>
      <c r="VV30" s="350"/>
      <c r="VW30" s="351" t="s">
        <v>833</v>
      </c>
      <c r="VX30" s="352" t="s">
        <v>834</v>
      </c>
      <c r="VY30" s="353" t="s">
        <v>835</v>
      </c>
      <c r="WC30" s="239"/>
      <c r="WD30" s="239"/>
      <c r="WE30" s="239"/>
      <c r="WF30" s="239"/>
      <c r="WG30" s="239"/>
      <c r="WH30" s="239"/>
      <c r="WI30" s="239"/>
      <c r="WJ30" s="239"/>
      <c r="WK30" s="239"/>
      <c r="WL30" s="239"/>
      <c r="WM30" s="239"/>
      <c r="WN30" s="239"/>
      <c r="WO30" s="239"/>
      <c r="WP30" s="239"/>
      <c r="WQ30" s="239"/>
      <c r="WR30" s="239"/>
      <c r="WS30" s="239"/>
    </row>
    <row r="31" spans="2:617" x14ac:dyDescent="0.25">
      <c r="AB31" s="254">
        <v>1</v>
      </c>
      <c r="AC31" s="430" t="s">
        <v>1974</v>
      </c>
      <c r="AD31" s="430" t="s">
        <v>1964</v>
      </c>
      <c r="AE31" s="430">
        <v>0</v>
      </c>
      <c r="AF31" s="430">
        <v>0</v>
      </c>
      <c r="AG31" s="430">
        <v>1</v>
      </c>
      <c r="AH31" s="430" t="s">
        <v>1975</v>
      </c>
      <c r="AI31" s="430">
        <v>0</v>
      </c>
      <c r="AJ31" s="430">
        <v>1</v>
      </c>
      <c r="AK31" s="594">
        <v>2870895712</v>
      </c>
      <c r="AL31" s="594">
        <v>63159419900</v>
      </c>
      <c r="AM31" s="430">
        <v>17081158000</v>
      </c>
      <c r="AN31" s="430">
        <v>129000000</v>
      </c>
      <c r="AO31" s="430">
        <v>465788390</v>
      </c>
      <c r="AP31" s="430">
        <v>208956058</v>
      </c>
      <c r="AQ31" s="595">
        <v>3280717</v>
      </c>
      <c r="AR31" s="595">
        <v>682308</v>
      </c>
      <c r="AS31" s="594">
        <v>13496586180</v>
      </c>
      <c r="AT31" s="594">
        <v>10867919049</v>
      </c>
      <c r="AU31" s="430" t="s">
        <v>1974</v>
      </c>
      <c r="AV31" s="430" t="s">
        <v>1964</v>
      </c>
      <c r="AW31" s="430">
        <v>0</v>
      </c>
      <c r="AX31" s="430">
        <v>0</v>
      </c>
      <c r="AY31" s="430">
        <v>1</v>
      </c>
      <c r="AZ31" s="430" t="s">
        <v>1975</v>
      </c>
      <c r="BA31" s="430">
        <v>0</v>
      </c>
      <c r="BB31" s="430">
        <v>1</v>
      </c>
      <c r="BC31" s="430">
        <v>2871720832</v>
      </c>
      <c r="BD31" s="430">
        <v>63177504125</v>
      </c>
      <c r="BE31" s="430">
        <v>54500205994</v>
      </c>
      <c r="BF31" s="595">
        <v>6148923049</v>
      </c>
      <c r="BG31" s="430">
        <v>21345756914</v>
      </c>
      <c r="BH31" s="595">
        <v>382027</v>
      </c>
      <c r="BI31" s="430">
        <v>30343750360</v>
      </c>
      <c r="BJ31" s="430">
        <v>140856606</v>
      </c>
      <c r="BK31" s="430">
        <v>0</v>
      </c>
      <c r="BL31" s="430">
        <v>0</v>
      </c>
      <c r="BM31" s="430" t="s">
        <v>1974</v>
      </c>
      <c r="BN31" s="430" t="s">
        <v>1964</v>
      </c>
      <c r="BO31" s="430">
        <v>0</v>
      </c>
      <c r="BP31" s="430">
        <v>0</v>
      </c>
      <c r="BQ31" s="430">
        <v>1</v>
      </c>
      <c r="BR31" s="430" t="s">
        <v>1975</v>
      </c>
      <c r="BS31" s="430">
        <v>0</v>
      </c>
      <c r="BT31" s="430">
        <v>1</v>
      </c>
      <c r="BU31" s="430">
        <v>2871764320</v>
      </c>
      <c r="BV31" s="430">
        <v>63178313088</v>
      </c>
      <c r="BW31" s="594">
        <v>9925409859</v>
      </c>
      <c r="BX31" s="594">
        <v>11322374037</v>
      </c>
      <c r="BY31" s="430">
        <v>21158913406</v>
      </c>
      <c r="BZ31" s="430">
        <v>936932330</v>
      </c>
      <c r="CA31" s="430">
        <v>6949392530</v>
      </c>
      <c r="CB31" s="430">
        <v>119569395102</v>
      </c>
      <c r="CC31" s="430">
        <v>4920279230</v>
      </c>
      <c r="CD31" s="430">
        <v>74575892138</v>
      </c>
      <c r="CE31" s="430" t="s">
        <v>1974</v>
      </c>
      <c r="CF31" s="430" t="s">
        <v>1964</v>
      </c>
      <c r="CG31" s="430">
        <v>0</v>
      </c>
      <c r="CH31" s="430">
        <v>0</v>
      </c>
      <c r="CI31" s="430">
        <v>1</v>
      </c>
      <c r="CJ31" s="430" t="s">
        <v>1975</v>
      </c>
      <c r="CK31" s="430">
        <v>0</v>
      </c>
      <c r="CL31" s="430">
        <v>1</v>
      </c>
      <c r="CM31" s="430">
        <v>2871269728</v>
      </c>
      <c r="CN31" s="430">
        <v>63167709355</v>
      </c>
      <c r="CO31" s="430">
        <v>3273025</v>
      </c>
      <c r="CP31" s="430">
        <v>467746915</v>
      </c>
      <c r="CQ31" s="430">
        <v>452979375</v>
      </c>
      <c r="CR31" s="430">
        <v>465852552</v>
      </c>
      <c r="CS31" s="430">
        <v>60623013</v>
      </c>
      <c r="CT31" s="430">
        <v>1322202000</v>
      </c>
      <c r="CU31" s="430">
        <v>661101000</v>
      </c>
      <c r="CV31" s="430">
        <v>641148</v>
      </c>
      <c r="CW31" s="430" t="s">
        <v>1974</v>
      </c>
      <c r="CX31" s="430" t="s">
        <v>1964</v>
      </c>
      <c r="CY31" s="430">
        <v>0</v>
      </c>
      <c r="CZ31" s="430">
        <v>0</v>
      </c>
      <c r="DA31" s="430">
        <v>1</v>
      </c>
      <c r="DB31" s="430" t="s">
        <v>1975</v>
      </c>
      <c r="DC31" s="430">
        <v>0</v>
      </c>
      <c r="DD31" s="430">
        <v>1</v>
      </c>
      <c r="DE31" s="430">
        <v>2871790592</v>
      </c>
      <c r="DF31" s="430">
        <v>63179107225</v>
      </c>
      <c r="DG31" s="430">
        <v>6025175000</v>
      </c>
      <c r="DH31" s="430">
        <v>3085138000</v>
      </c>
      <c r="DI31" s="430">
        <v>220367000</v>
      </c>
      <c r="DJ31" s="430">
        <v>3031479145</v>
      </c>
      <c r="DK31" s="430">
        <v>897635373</v>
      </c>
      <c r="DL31" s="430">
        <v>2902411009</v>
      </c>
      <c r="DM31" s="430">
        <v>897612009</v>
      </c>
      <c r="DN31" s="430">
        <v>5362041</v>
      </c>
      <c r="DO31" s="595" t="s">
        <v>1974</v>
      </c>
      <c r="DP31" s="595" t="s">
        <v>1964</v>
      </c>
      <c r="DQ31" s="595">
        <v>0</v>
      </c>
      <c r="DR31" s="595">
        <v>0</v>
      </c>
      <c r="DS31" s="595">
        <v>1</v>
      </c>
      <c r="DT31" s="595" t="s">
        <v>1975</v>
      </c>
      <c r="DU31" s="595">
        <v>0</v>
      </c>
      <c r="DV31" s="595">
        <v>1</v>
      </c>
      <c r="DW31" s="595">
        <v>2871499104</v>
      </c>
      <c r="DX31" s="595">
        <v>63172741388</v>
      </c>
      <c r="DY31" s="595">
        <v>450262054</v>
      </c>
      <c r="DZ31" s="595">
        <v>156542596</v>
      </c>
      <c r="EA31" s="595">
        <v>24472088</v>
      </c>
      <c r="EB31" s="430">
        <v>511272881</v>
      </c>
      <c r="EC31" s="595">
        <v>417277277</v>
      </c>
      <c r="ED31" s="595">
        <v>0</v>
      </c>
      <c r="EE31" s="595">
        <v>0</v>
      </c>
      <c r="EF31" s="595">
        <v>25418053332</v>
      </c>
      <c r="EG31" s="595" t="s">
        <v>1974</v>
      </c>
      <c r="EH31" s="595" t="s">
        <v>1964</v>
      </c>
      <c r="EI31" s="595">
        <v>0</v>
      </c>
      <c r="EJ31" s="595">
        <v>0</v>
      </c>
      <c r="EK31" s="595">
        <v>1</v>
      </c>
      <c r="EL31" s="595" t="s">
        <v>1975</v>
      </c>
      <c r="EM31" s="595">
        <v>0</v>
      </c>
      <c r="EN31" s="595">
        <v>1</v>
      </c>
      <c r="EO31" s="595">
        <v>2870985344</v>
      </c>
      <c r="EP31" s="595">
        <v>63161438433</v>
      </c>
      <c r="EQ31" s="595">
        <v>1197681416</v>
      </c>
      <c r="ER31" s="595">
        <v>370105024</v>
      </c>
      <c r="ES31" s="430">
        <v>960581281</v>
      </c>
      <c r="ET31" s="595">
        <v>5462617</v>
      </c>
      <c r="EU31" s="595">
        <v>17081158000</v>
      </c>
      <c r="EV31" s="595">
        <v>0</v>
      </c>
      <c r="EW31" s="595">
        <v>129000000</v>
      </c>
      <c r="EX31" s="595">
        <v>0</v>
      </c>
      <c r="EY31" s="595" t="s">
        <v>1974</v>
      </c>
      <c r="EZ31" s="595" t="s">
        <v>1964</v>
      </c>
      <c r="FA31" s="595">
        <v>0</v>
      </c>
      <c r="FB31" s="595">
        <v>0</v>
      </c>
      <c r="FC31" s="595">
        <v>1</v>
      </c>
      <c r="FD31" s="595" t="s">
        <v>1975</v>
      </c>
      <c r="FE31" s="595">
        <v>0</v>
      </c>
      <c r="FF31" s="595">
        <v>1</v>
      </c>
      <c r="FG31" s="595">
        <v>2871472096</v>
      </c>
      <c r="FH31" s="595">
        <v>63172138821</v>
      </c>
      <c r="FI31" s="595">
        <v>46629195</v>
      </c>
      <c r="FJ31" s="595">
        <v>6299089214</v>
      </c>
      <c r="FK31" s="595">
        <v>1883995821</v>
      </c>
      <c r="FL31" s="595">
        <v>666833366</v>
      </c>
      <c r="FM31" s="595">
        <v>7079195642</v>
      </c>
      <c r="FN31" s="595">
        <v>5881952670</v>
      </c>
      <c r="FO31" s="430">
        <v>295420431</v>
      </c>
      <c r="FP31" s="430">
        <v>799294814</v>
      </c>
      <c r="FQ31" s="595" t="s">
        <v>1974</v>
      </c>
      <c r="FR31" s="595" t="s">
        <v>1964</v>
      </c>
      <c r="FS31" s="595">
        <v>0</v>
      </c>
      <c r="FT31" s="595">
        <v>0</v>
      </c>
      <c r="FU31" s="595">
        <v>1</v>
      </c>
      <c r="FV31" s="595" t="s">
        <v>1975</v>
      </c>
      <c r="FW31" s="595">
        <v>0</v>
      </c>
      <c r="FX31" s="595">
        <v>1</v>
      </c>
      <c r="FY31" s="595">
        <v>2871468992</v>
      </c>
      <c r="FZ31" s="595">
        <v>63172076156</v>
      </c>
      <c r="GA31" s="595">
        <v>452978938</v>
      </c>
      <c r="GB31" s="595">
        <v>447616230</v>
      </c>
      <c r="GC31" s="595">
        <v>404912276</v>
      </c>
      <c r="GD31" s="595">
        <v>404912276</v>
      </c>
      <c r="GE31" s="595">
        <v>1664</v>
      </c>
      <c r="GF31" s="595">
        <v>3</v>
      </c>
      <c r="GG31" s="595">
        <v>450</v>
      </c>
      <c r="GH31" s="595">
        <v>641392</v>
      </c>
      <c r="GI31" s="595" t="s">
        <v>1974</v>
      </c>
      <c r="GJ31" s="595" t="s">
        <v>1964</v>
      </c>
      <c r="GK31" s="595">
        <v>0</v>
      </c>
      <c r="GL31" s="595">
        <v>0</v>
      </c>
      <c r="GM31" s="595">
        <v>1</v>
      </c>
      <c r="GN31" s="595" t="s">
        <v>1975</v>
      </c>
      <c r="GO31" s="595">
        <v>0</v>
      </c>
      <c r="GP31" s="595">
        <v>1</v>
      </c>
      <c r="GQ31" s="595">
        <v>2871231584</v>
      </c>
      <c r="GR31" s="595">
        <v>63166840760</v>
      </c>
      <c r="GS31" s="595">
        <v>1101835000</v>
      </c>
      <c r="GT31" s="595">
        <v>86003000</v>
      </c>
      <c r="GU31" s="595">
        <v>0</v>
      </c>
      <c r="GV31" s="595">
        <v>0</v>
      </c>
      <c r="GW31" s="595">
        <v>0</v>
      </c>
      <c r="GX31" s="595">
        <v>8</v>
      </c>
      <c r="GY31" s="595">
        <v>521367032</v>
      </c>
      <c r="GZ31" s="595">
        <v>400468707</v>
      </c>
      <c r="HA31" s="595" t="s">
        <v>1974</v>
      </c>
      <c r="HB31" s="595" t="s">
        <v>1964</v>
      </c>
      <c r="HC31" s="595">
        <v>0</v>
      </c>
      <c r="HD31" s="595">
        <v>0</v>
      </c>
      <c r="HE31" s="595">
        <v>1</v>
      </c>
      <c r="HF31" s="595" t="s">
        <v>1975</v>
      </c>
      <c r="HG31" s="595">
        <v>0</v>
      </c>
      <c r="HH31" s="595">
        <v>1</v>
      </c>
      <c r="HI31" s="595">
        <v>2871873440</v>
      </c>
      <c r="HJ31" s="595">
        <v>63180966542</v>
      </c>
      <c r="HK31" s="595">
        <v>0</v>
      </c>
      <c r="HL31" s="595">
        <v>0</v>
      </c>
      <c r="HM31" s="595">
        <v>0</v>
      </c>
      <c r="HN31" s="595">
        <v>1085738009</v>
      </c>
      <c r="HO31" s="595">
        <v>129004019</v>
      </c>
      <c r="HP31" s="595">
        <v>37627017</v>
      </c>
      <c r="HQ31" s="595">
        <v>258007019</v>
      </c>
      <c r="HR31" s="595">
        <v>0</v>
      </c>
      <c r="HS31" s="595" t="s">
        <v>1974</v>
      </c>
      <c r="HT31" s="595" t="s">
        <v>1964</v>
      </c>
      <c r="HU31" s="595">
        <v>0</v>
      </c>
      <c r="HV31" s="595">
        <v>0</v>
      </c>
      <c r="HW31" s="595">
        <v>1</v>
      </c>
      <c r="HX31" s="595" t="s">
        <v>1975</v>
      </c>
      <c r="HY31" s="595">
        <v>0</v>
      </c>
      <c r="HZ31" s="595">
        <v>1</v>
      </c>
      <c r="IA31" s="595">
        <v>2872845312</v>
      </c>
      <c r="IB31" s="595">
        <v>63202348694</v>
      </c>
      <c r="IC31" s="595">
        <v>16307663010</v>
      </c>
      <c r="ID31" s="595">
        <v>1325303973</v>
      </c>
      <c r="IE31" s="595">
        <v>0</v>
      </c>
      <c r="IF31" s="595">
        <v>16307644970</v>
      </c>
      <c r="IG31" s="595">
        <v>14302102</v>
      </c>
      <c r="IH31" s="595">
        <v>400474997</v>
      </c>
      <c r="II31" s="595">
        <v>0</v>
      </c>
      <c r="IJ31" s="595">
        <v>0</v>
      </c>
      <c r="IK31" s="595" t="s">
        <v>1974</v>
      </c>
      <c r="IL31" s="595" t="s">
        <v>1964</v>
      </c>
      <c r="IM31" s="595">
        <v>0</v>
      </c>
      <c r="IN31" s="595">
        <v>0</v>
      </c>
      <c r="IO31" s="595">
        <v>1</v>
      </c>
      <c r="IP31" s="595" t="s">
        <v>1975</v>
      </c>
      <c r="IQ31" s="595">
        <v>0</v>
      </c>
      <c r="IR31" s="595">
        <v>1</v>
      </c>
      <c r="IS31" s="595">
        <v>2872466368</v>
      </c>
      <c r="IT31" s="595">
        <v>63194054828</v>
      </c>
      <c r="IU31" s="595">
        <v>0</v>
      </c>
      <c r="IV31" s="595">
        <v>0</v>
      </c>
      <c r="IW31" s="595">
        <v>827734000</v>
      </c>
      <c r="IX31" s="595">
        <v>0</v>
      </c>
      <c r="IY31" s="595">
        <v>553630000</v>
      </c>
      <c r="IZ31" s="595">
        <v>257994001</v>
      </c>
      <c r="JA31" s="595">
        <v>0</v>
      </c>
      <c r="JB31" s="595">
        <v>0</v>
      </c>
      <c r="JC31" s="595" t="s">
        <v>1974</v>
      </c>
      <c r="JD31" s="595" t="s">
        <v>1964</v>
      </c>
      <c r="JE31" s="595">
        <v>0</v>
      </c>
      <c r="JF31" s="595">
        <v>0</v>
      </c>
      <c r="JG31" s="595">
        <v>1</v>
      </c>
      <c r="JH31" s="595" t="s">
        <v>1975</v>
      </c>
      <c r="JI31" s="595">
        <v>0</v>
      </c>
      <c r="JJ31" s="595">
        <v>1</v>
      </c>
      <c r="JK31" s="595">
        <v>2872888800</v>
      </c>
      <c r="JL31" s="595">
        <v>63203318935</v>
      </c>
      <c r="JM31" s="595">
        <v>448097491</v>
      </c>
      <c r="JN31" s="595">
        <v>0</v>
      </c>
      <c r="JO31" s="595">
        <v>0</v>
      </c>
      <c r="JP31" s="595">
        <v>235994795</v>
      </c>
      <c r="JQ31" s="595">
        <v>0</v>
      </c>
      <c r="JR31" s="595">
        <v>0</v>
      </c>
      <c r="JS31" s="595">
        <v>162426902</v>
      </c>
      <c r="JT31" s="595">
        <v>0</v>
      </c>
      <c r="JU31" s="595" t="s">
        <v>1974</v>
      </c>
      <c r="JV31" s="595" t="s">
        <v>1964</v>
      </c>
      <c r="JW31" s="595">
        <v>0</v>
      </c>
      <c r="JX31" s="595">
        <v>0</v>
      </c>
      <c r="JY31" s="595">
        <v>1</v>
      </c>
      <c r="JZ31" s="595" t="s">
        <v>1975</v>
      </c>
      <c r="KA31" s="595">
        <v>0</v>
      </c>
      <c r="KB31" s="595">
        <v>1</v>
      </c>
      <c r="KC31" s="595">
        <v>2872312032</v>
      </c>
      <c r="KD31" s="595">
        <v>63190553385</v>
      </c>
      <c r="KE31" s="595">
        <v>193500000</v>
      </c>
      <c r="KF31" s="595">
        <v>3903205809</v>
      </c>
      <c r="KG31" s="595">
        <v>1192119057</v>
      </c>
      <c r="KH31" s="595">
        <v>56024571212</v>
      </c>
      <c r="KI31" s="595">
        <v>14307676470</v>
      </c>
      <c r="KJ31" s="595">
        <v>3673609655</v>
      </c>
      <c r="KK31" s="595">
        <v>970803760</v>
      </c>
      <c r="KL31" s="595">
        <v>0</v>
      </c>
      <c r="KM31" s="595" t="s">
        <v>1974</v>
      </c>
      <c r="KN31" s="595" t="s">
        <v>1964</v>
      </c>
      <c r="KO31" s="595">
        <v>0</v>
      </c>
      <c r="KP31" s="595">
        <v>0</v>
      </c>
      <c r="KQ31" s="595">
        <v>1</v>
      </c>
      <c r="KR31" s="595" t="s">
        <v>1975</v>
      </c>
      <c r="KS31" s="595">
        <v>0</v>
      </c>
      <c r="KT31" s="595">
        <v>1</v>
      </c>
      <c r="KU31" s="595">
        <v>2871626016</v>
      </c>
      <c r="KV31" s="595">
        <v>63175496176</v>
      </c>
      <c r="KW31" s="595">
        <v>5588281310</v>
      </c>
      <c r="KX31" s="595">
        <v>42514998</v>
      </c>
      <c r="KY31" s="595">
        <v>9678384</v>
      </c>
      <c r="KZ31" s="595">
        <v>13496562332</v>
      </c>
      <c r="LA31" s="595">
        <v>2503720754</v>
      </c>
      <c r="LB31" s="595">
        <v>716779</v>
      </c>
      <c r="LC31" s="595">
        <v>11916</v>
      </c>
      <c r="LD31" s="595">
        <v>13919</v>
      </c>
      <c r="LE31" s="595" t="s">
        <v>1974</v>
      </c>
      <c r="LF31" s="595" t="s">
        <v>1964</v>
      </c>
      <c r="LG31" s="595">
        <v>0</v>
      </c>
      <c r="LH31" s="595">
        <v>0</v>
      </c>
      <c r="LI31" s="595">
        <v>1</v>
      </c>
      <c r="LJ31" s="595" t="s">
        <v>1975</v>
      </c>
      <c r="LK31" s="595">
        <v>0</v>
      </c>
      <c r="LL31" s="595">
        <v>1</v>
      </c>
      <c r="LM31" s="595">
        <v>2871598016</v>
      </c>
      <c r="LN31" s="595">
        <v>63174902930</v>
      </c>
      <c r="LO31" s="595">
        <v>5536066785</v>
      </c>
      <c r="LP31" s="595">
        <v>959</v>
      </c>
      <c r="LQ31" s="595">
        <v>0</v>
      </c>
      <c r="LR31" s="595">
        <v>2503834595</v>
      </c>
      <c r="LS31" s="595">
        <v>178</v>
      </c>
      <c r="LT31" s="595">
        <v>0</v>
      </c>
      <c r="LU31" s="595">
        <v>5535892740</v>
      </c>
      <c r="LV31" s="595">
        <v>31027</v>
      </c>
      <c r="MC31" s="252" t="s">
        <v>856</v>
      </c>
      <c r="MD31" s="371"/>
      <c r="ME31" s="372"/>
      <c r="MF31" s="372"/>
      <c r="MG31" s="372"/>
      <c r="MH31" s="372"/>
      <c r="MI31" s="372"/>
      <c r="MJ31" s="372"/>
      <c r="MK31" s="372"/>
      <c r="ML31" s="372"/>
      <c r="MM31" s="372"/>
      <c r="MN31" s="372"/>
      <c r="MO31" s="372"/>
      <c r="MP31" s="372"/>
      <c r="MQ31" s="372"/>
      <c r="MR31" s="372"/>
      <c r="MS31" s="372"/>
      <c r="MT31" s="373"/>
      <c r="NA31" s="424">
        <f t="shared" ref="NA31:NA41" si="100">IF(AF31="","",$AF31)</f>
        <v>0</v>
      </c>
      <c r="NB31" s="424">
        <f t="shared" ref="NB31:NB41" si="101">IF($AG31="","",$AG31)</f>
        <v>1</v>
      </c>
      <c r="NC31" s="207">
        <f t="shared" ref="NC31:NC41" si="102">IF(OR($AK31="",$C$4=""),"",$AK31/$C$4)</f>
        <v>28.708957120000001</v>
      </c>
      <c r="ND31" s="208">
        <f t="shared" ref="ND31:ND40" si="103">IF(OR($NI31="",$NC31=""),"",IF($NC31=0,0,$NI31/10^9/$NC31))</f>
        <v>2.3843998134056914</v>
      </c>
      <c r="NE31" s="209">
        <f t="shared" si="15"/>
        <v>3.3869468399255205E-2</v>
      </c>
      <c r="NF31" s="208">
        <f t="shared" si="16"/>
        <v>5.9814100376489048</v>
      </c>
      <c r="NG31" s="210"/>
      <c r="NH31" s="211">
        <f t="shared" ref="NH31:NH41" si="104">IF($AS31="","",$AS31)</f>
        <v>13496586180</v>
      </c>
      <c r="NI31" s="208">
        <f t="shared" si="17"/>
        <v>68453632000</v>
      </c>
      <c r="NJ31" s="212">
        <f t="shared" ref="NJ31:NJ41" si="105">IF(OR($AT31="",$AS31=""),"",IF($AS31=0,0,$AT31/$AS31))</f>
        <v>0.80523466482988815</v>
      </c>
      <c r="NK31" s="213">
        <f t="shared" ref="NK31:NK41" si="106">IF(OR($AM31="",$C$11="",$AN31=""),"",IF($AM31*$C$11+$AN31=0,0,$AM31*$C$11/($AM31*$C$11+$AN31)))</f>
        <v>0.9981155127020872</v>
      </c>
      <c r="NL31" s="214">
        <f t="shared" si="18"/>
        <v>1</v>
      </c>
      <c r="NM31" s="208">
        <f t="shared" ref="NM31:NM41" si="107">IF(OR($AS31="",$AL31=""),"",IF($AL31=0,0,$AS31/$AL31))</f>
        <v>0.21369078755582427</v>
      </c>
      <c r="NN31" s="208">
        <f t="shared" si="19"/>
        <v>0.47011760558162691</v>
      </c>
      <c r="NO31" s="215">
        <f t="shared" si="20"/>
        <v>1.7359971580995469E-4</v>
      </c>
      <c r="NP31" s="216">
        <f t="shared" ref="NP31:NP41" si="108">IF($O$5="Lv2","",IF(OR($EE31="",$BD31="",$NC31=""),"",IF($BD31=0,0,($EE31)/$BD31*$NC31)))</f>
        <v>0</v>
      </c>
      <c r="NQ31" s="215">
        <f t="shared" ref="NQ31:NQ41" si="109">IF($O$5="Lv2","",IF(OR($EC31="",$BD31="",$NC31=""),"",IF($BD31=0,0,$EC31/$BD31*$NC31)))</f>
        <v>0.18961805500959814</v>
      </c>
      <c r="NR31" s="215">
        <f t="shared" ref="NR31:NR41" si="110">IF($O$5="Lv2","",IF(OR($EB31="",$EC31="",$BD31="",$NC31=""),"",IF($BD31=0,0,($EB31-$EC31)/$BD31*$NC31)))</f>
        <v>4.2713237917176114E-2</v>
      </c>
      <c r="NS31" s="215">
        <f t="shared" si="21"/>
        <v>1.1120542584885892E-2</v>
      </c>
      <c r="NT31" s="215">
        <f t="shared" si="22"/>
        <v>3.8683139965984795E-3</v>
      </c>
      <c r="NU31" s="215">
        <f t="shared" si="23"/>
        <v>6.0015136772208114E-2</v>
      </c>
      <c r="NV31" s="215">
        <f t="shared" ref="NV31:NV41" si="111">IF($O$5="Lv2","",IF(OR($BG31="",$EB31="",$DZ31="",$BH31="",$NT31="",$BD31="",$NC31=""),"",IF(OR($BD31=0,$NC31=0),0,
GuardLimitLower(
  ($BG31-($EB31+$DZ31+$BH31+$NT31*$BD31/$NC31))/$BD31*$NC31,
  data_GuardLimitFlag,
  0)
)))</f>
        <v>9.3923744573767713</v>
      </c>
      <c r="NW31" s="215">
        <f t="shared" si="24"/>
        <v>2.2383224333011498</v>
      </c>
      <c r="NX31" s="215">
        <f t="shared" si="25"/>
        <v>11.550405690900046</v>
      </c>
      <c r="NY31" s="215">
        <f t="shared" si="26"/>
        <v>2.4823082106202629E-3</v>
      </c>
      <c r="NZ31" s="215">
        <f t="shared" si="27"/>
        <v>1.210740401827803</v>
      </c>
      <c r="OA31" s="215">
        <f t="shared" si="28"/>
        <v>0</v>
      </c>
      <c r="OB31" s="215">
        <f t="shared" si="29"/>
        <v>6.400769257553722E-2</v>
      </c>
      <c r="OC31" s="215">
        <f t="shared" si="30"/>
        <v>0</v>
      </c>
      <c r="OD31" s="215">
        <f t="shared" si="31"/>
        <v>2.7941776205443074</v>
      </c>
      <c r="OE31" s="215">
        <f t="shared" si="32"/>
        <v>0.54424727427240516</v>
      </c>
      <c r="OF31" s="215">
        <f t="shared" si="33"/>
        <v>0.16818216248128132</v>
      </c>
      <c r="OG31" s="215">
        <f t="shared" si="34"/>
        <v>0.43650484754732582</v>
      </c>
      <c r="OH31" s="215">
        <f t="shared" si="35"/>
        <v>3.3449664763932301E-6</v>
      </c>
      <c r="OI31" s="215">
        <f t="shared" ref="OI31:OI41" si="112">IF($NQ$25="","",IF($NC31=0,"",$NC31))</f>
        <v>28.708957120000001</v>
      </c>
      <c r="OJ31" s="218">
        <f t="shared" ref="OJ31:OJ41" si="113">IF(OR($CA31="",$BV31=""),"",IF($BV31=0,0,$CA31/$BV31))</f>
        <v>0.10999648756560355</v>
      </c>
      <c r="OK31" s="218">
        <f t="shared" ref="OK31:OK41" si="114">IF(OR($CC31="",$BV31=""),"",IF($BV31=0,0,$CC31/$BV31))</f>
        <v>7.787924351741754E-2</v>
      </c>
      <c r="OL31" s="218">
        <f t="shared" ref="OL31:OL41" si="115">IF(OR($FO31="",$FH31=""),"",IF($FH31=0,0,$FO31/$FH31))</f>
        <v>4.6764354747760237E-3</v>
      </c>
      <c r="OM31" s="218">
        <f t="shared" ref="OM31:OM41" si="116">IF(OR($FP31="",$FH31=""),"",IF($FH31=0,0,$FP31/$FH31))</f>
        <v>1.2652647653181791E-2</v>
      </c>
      <c r="ON31" s="217">
        <f t="shared" si="36"/>
        <v>0.1681572588556165</v>
      </c>
      <c r="OO31" s="210"/>
      <c r="OP31" s="210"/>
      <c r="OQ31" s="218">
        <f t="shared" ref="OQ31:OQ41" si="117">IF(OR($FM31="",$FH31=""),"",IF($FH31=0,0,$FM31/$FH31))</f>
        <v>0.11206199084154957</v>
      </c>
      <c r="OR31" s="218">
        <f t="shared" ref="OR31:OR41" si="118">IF(OR($FN31="",$FH31=""),"",IF($FH31=0,0,$FN31/$FH31))</f>
        <v>9.3109918071108452E-2</v>
      </c>
      <c r="OS31" s="218">
        <f t="shared" si="37"/>
        <v>1</v>
      </c>
      <c r="OT31" s="218">
        <f t="shared" si="38"/>
        <v>0.94730259010625295</v>
      </c>
      <c r="OU31" s="209">
        <f t="shared" si="39"/>
        <v>0.95315943434115347</v>
      </c>
      <c r="OV31" s="209">
        <f t="shared" si="40"/>
        <v>0.92112311078708631</v>
      </c>
      <c r="OW31" s="209">
        <f t="shared" ref="OW31:OW41" si="119">IF(OR($BZ31="",$BV31=""),"",IF($BV31=0,0,$BZ31/$BV31))</f>
        <v>1.4829967503167786E-2</v>
      </c>
      <c r="OX31" s="219">
        <f t="shared" si="41"/>
        <v>3.3341764650592553E-8</v>
      </c>
      <c r="OY31" s="208">
        <f t="shared" ref="OY31:OY41" si="120">IF(OR($DJ31="",$DK31=""),"",$DJ31+$DK31)</f>
        <v>3929114518</v>
      </c>
      <c r="OZ31" s="208">
        <f t="shared" si="42"/>
        <v>467746915</v>
      </c>
      <c r="PA31" s="209">
        <f t="shared" ref="PA31:PA40" si="121">IF(OR($OZ31="",$OY31=""),"",IF($OY31=0,0,$OZ31/$OY31))</f>
        <v>0.11904639400484891</v>
      </c>
      <c r="PB31" s="209">
        <f>IF(OR($CQ31="",$OZ31=""),"",IF($OZ31=0,0,
GuardLimitUpper(
  ($OZ31-$CQ31)/$OZ31,
  data_GuardLimitFlag,
  1)
))</f>
        <v>3.157164596157732E-2</v>
      </c>
      <c r="PC31" s="209">
        <f t="shared" si="43"/>
        <v>0.95696244196501012</v>
      </c>
      <c r="PD31" s="209">
        <f t="shared" si="44"/>
        <v>1.1465912073412606E-2</v>
      </c>
      <c r="PE31" s="208">
        <f t="shared" ref="PE31:PE41" si="122">IF($OY$25="","",IF(OR($AO31="",$AQ31="",$AR31=""),"",$AO31-$AQ31-$AR31))</f>
        <v>461825365</v>
      </c>
      <c r="PF31" s="209">
        <f t="shared" ref="PF31:PF41" si="123">IF(OR($PE31="",$OY31=""),"",IF($OY31=0,0,$PE31/$OY31))</f>
        <v>0.11753929871076362</v>
      </c>
      <c r="PG31" s="209">
        <f t="shared" si="45"/>
        <v>0.12423612422793569</v>
      </c>
      <c r="PH31" s="209">
        <f t="shared" si="46"/>
        <v>0.87715331034685107</v>
      </c>
      <c r="PI31" s="209">
        <f t="shared" si="47"/>
        <v>0</v>
      </c>
      <c r="PJ31" s="220">
        <f t="shared" si="48"/>
        <v>4.2350509061950432E-7</v>
      </c>
      <c r="PK31" s="220">
        <f t="shared" si="49"/>
        <v>7.6353081241497173E-10</v>
      </c>
      <c r="PL31" s="221">
        <f t="shared" ref="PL31:PL41" si="124">IF($O$8="Lv2",  IF($DL31="","",IF($CT31="",$DL31,
GuardLimitLower(
  $DL31-$CT31,
  data_GuardLimitFlag,
  0)
)),
                               IF(OR($DL31="",$HQ31="",$GS31="",$HR31="",$HK31="",$CT31="",$GU31=""),"",
GuardLimitLower(
  ($DL31-$HQ31)-($GS31+$HR31+$HK31+$CT31+$GU31),
  data_GuardLimitFlag,
  0)
))</f>
        <v>220366990</v>
      </c>
      <c r="PM31" s="221">
        <f t="shared" si="50"/>
        <v>0</v>
      </c>
      <c r="PN31" s="221">
        <f t="shared" ref="PN31:PN41" si="125">IF($CT31="","",$CT31)</f>
        <v>1322202000</v>
      </c>
      <c r="PO31" s="221">
        <f t="shared" si="51"/>
        <v>0</v>
      </c>
      <c r="PP31" s="221">
        <f t="shared" si="52"/>
        <v>1101835000</v>
      </c>
      <c r="PQ31" s="529">
        <f t="shared" ref="PQ31:PQ41" si="126">IF($O$8="Lv2","",IF($IU31="","",$IU31))</f>
        <v>0</v>
      </c>
      <c r="PR31" s="221">
        <f t="shared" si="53"/>
        <v>0</v>
      </c>
      <c r="PS31" s="221">
        <f t="shared" si="54"/>
        <v>387075155</v>
      </c>
      <c r="PT31" s="221">
        <f t="shared" ref="PT31:PT41" si="127">IF($O$8="Lv2",  IF($DM31="","",IF($CU31="",$DM31,
GuardLimitLower(
  $DM31-$CU31,
  data_GuardLimitFlag,
  0)
)),
                               IF(OR($DM31="",$HO31="",$GT31="",$HL31="",$CU31=""),"",
GuardLimitLower(
  ($DM31-$HO31)-($GT31+$HL31+$CU31),
  data_GuardLimitFlag,
  0)
))</f>
        <v>21503990</v>
      </c>
      <c r="PU31" s="221">
        <f t="shared" si="55"/>
        <v>0</v>
      </c>
      <c r="PV31" s="221">
        <f t="shared" ref="PV31:PV41" si="128">IF($CU31="","",$CU31)</f>
        <v>661101000</v>
      </c>
      <c r="PW31" s="221">
        <f t="shared" si="56"/>
        <v>86003000</v>
      </c>
      <c r="PX31" s="221">
        <f>IF($O$8="Lv2","",IF($IV31="","",$IV31))</f>
        <v>0</v>
      </c>
      <c r="PY31" s="221">
        <f t="shared" si="57"/>
        <v>129027383</v>
      </c>
      <c r="PZ31" s="221">
        <f t="shared" si="58"/>
        <v>0</v>
      </c>
      <c r="QA31" s="221">
        <f t="shared" si="59"/>
        <v>0</v>
      </c>
      <c r="QB31" s="221">
        <f t="shared" si="60"/>
        <v>5362041</v>
      </c>
      <c r="QC31" s="221">
        <f t="shared" si="61"/>
        <v>8</v>
      </c>
      <c r="QD31" s="221">
        <f t="shared" ref="QD31:QD41" si="129">IF(OR($DG31="",$DH31="",$DI31=""),"",$DG31-($DH31+$DI31))</f>
        <v>2719670000</v>
      </c>
      <c r="QE31" s="221">
        <f t="shared" ref="QE31:QE41" si="130">IF($DH31="","",$DH31)</f>
        <v>3085138000</v>
      </c>
      <c r="QF31" s="221">
        <f t="shared" ref="QF31:QF41" si="131">IF($DI31="","",$DI31)</f>
        <v>220367000</v>
      </c>
      <c r="QG31" s="222">
        <f t="shared" si="62"/>
        <v>0</v>
      </c>
      <c r="QH31" s="222">
        <f t="shared" si="63"/>
        <v>1085738009</v>
      </c>
      <c r="QI31" s="222">
        <f t="shared" si="64"/>
        <v>521367032</v>
      </c>
      <c r="QJ31" s="222">
        <f t="shared" si="65"/>
        <v>400468707</v>
      </c>
      <c r="QK31" s="222">
        <f t="shared" si="66"/>
        <v>37627017</v>
      </c>
      <c r="QL31" s="222">
        <f t="shared" ref="QL31:QL41" si="132">IF($O$8="Lv2","",IF($JA31="","",$JA31))</f>
        <v>0</v>
      </c>
      <c r="QM31" s="222">
        <f>IF(OR($O$8="Lv2",$O$8="Lv3",$O$8="Lv4"),IF(OR($AS31="",COUNT($PL31:$QL31)=0),"",
GuardLimitLower(
  $AS31-SUM($PL31:$QL31),
  data_GuardLimitFlag,
  0)
),"")</f>
        <v>1491733848</v>
      </c>
      <c r="QN31" s="222">
        <f t="shared" ref="QN31:QN41" si="133">IF(OR($O$8="Lv2",$O$8="Lv3",$O$8="Lv4"),IF($AS31="","",$AS31),"")</f>
        <v>13496586180</v>
      </c>
      <c r="QO31" s="222">
        <f t="shared" ref="QO31:QO41" si="134">IF(OR($EU31="",$C$11="",$EW31="",$AM31="",$AN31=""),"",$EU31*$C$11+$EW31)</f>
        <v>68453632000</v>
      </c>
      <c r="QP31" s="222">
        <f t="shared" ref="QP31:QP41" si="135">IF(OR($EV31="",$C$11="",$EX31="",$AM31="",$AN31=""),"",$EV31*$C$11+$EX31)</f>
        <v>0</v>
      </c>
      <c r="QQ31" s="222">
        <f t="shared" ref="QQ31:QQ41" si="136">IF(OR($AM31="",$EV31="",$EU31="",$C$11="",$AN31="",$EX31="",$EW31=""),"",($AM31-$EV31-$EU31)*$C$11+($AN31-$EX31-$EW31))</f>
        <v>0</v>
      </c>
      <c r="QR31" s="222">
        <f t="shared" si="67"/>
        <v>2.3843998134056914</v>
      </c>
      <c r="QS31" s="209">
        <f t="shared" si="68"/>
        <v>3.6586577340449226E-2</v>
      </c>
      <c r="QT31" s="209">
        <f t="shared" si="69"/>
        <v>0.73801003207580973</v>
      </c>
      <c r="QU31" s="209">
        <f t="shared" si="70"/>
        <v>0.22540339058374106</v>
      </c>
      <c r="QV31" s="208">
        <f t="shared" si="71"/>
        <v>16307663010</v>
      </c>
      <c r="QW31" s="208">
        <f t="shared" si="72"/>
        <v>553630000</v>
      </c>
      <c r="QX31" s="208">
        <f t="shared" si="73"/>
        <v>257994001</v>
      </c>
      <c r="QY31" s="208">
        <f t="shared" si="74"/>
        <v>827734000</v>
      </c>
      <c r="QZ31" s="208">
        <f t="shared" si="75"/>
        <v>0</v>
      </c>
      <c r="RA31" s="209">
        <f t="shared" ref="RA31:RA41" si="137">IF(OR($IF31="",$IC31=""),"",IF($IC31=0,0,
GuardLimitUpper(
  $IF31/$IC31,
  data_GuardLimitFlag,
  1)
))</f>
        <v>0.99999889377159745</v>
      </c>
      <c r="RB31" s="209">
        <f t="shared" si="76"/>
        <v>3.571340719014033E-2</v>
      </c>
      <c r="RC31" s="209">
        <f t="shared" si="77"/>
        <v>0.52934120968797227</v>
      </c>
      <c r="RD31" s="209">
        <f t="shared" si="78"/>
        <v>0</v>
      </c>
      <c r="RE31" s="209">
        <f t="shared" si="79"/>
        <v>0</v>
      </c>
      <c r="RF31" s="209">
        <f t="shared" si="80"/>
        <v>0.27878257025403658</v>
      </c>
      <c r="RG31" s="209">
        <f t="shared" si="81"/>
        <v>0</v>
      </c>
      <c r="RH31" s="209">
        <f t="shared" si="82"/>
        <v>0</v>
      </c>
      <c r="RI31" s="209">
        <f t="shared" si="83"/>
        <v>0.19187622005799118</v>
      </c>
      <c r="RJ31" s="223" t="s">
        <v>72</v>
      </c>
      <c r="RK31" s="222">
        <f>IF(OR(COUNT(LR30:LR41)=0,$C$8="",$NC$42=""),"",IF($NC$42=0,0,AVERAGE(LR30:LR41)*$C$8/10^9/$NC$42))</f>
        <v>22.311189371896567</v>
      </c>
      <c r="RL31" s="222">
        <f>IF(COUNT($RL45:$RL56)=0,"",AVERAGE($RL45:$RL56))</f>
        <v>6.6457332028408813E-3</v>
      </c>
      <c r="RM31" s="224"/>
      <c r="RN31" s="224"/>
      <c r="RO31" s="224"/>
      <c r="RP31" s="222">
        <f>IF(OR(COUNT($LS30:$LS41)=0,$C$8="",$NC$42=""),"",IF($NC$42=0,0,AVERAGE($LS30:$LS41)*$C$8/10^9/$NC$42))</f>
        <v>1.5849751317745013E-6</v>
      </c>
      <c r="RQ31" s="222">
        <f>IF(OR(COUNT($LT30:$LT41)=0,$C$8="",$NC$42=""),"",IF($NC$42=0,0,AVERAGE($LT30:$LT41)*$C$8/10^9/$NC$42))</f>
        <v>0</v>
      </c>
      <c r="RR31" s="222">
        <f t="shared" si="84"/>
        <v>1.7552958646796015</v>
      </c>
      <c r="RS31" s="224"/>
      <c r="RT31" s="224"/>
      <c r="RU31" s="208">
        <f t="shared" ref="RU31:RU41" si="138">IF(OR($AK31="",$C$4=""),"",$AK31/$C$4)</f>
        <v>28.708957120000001</v>
      </c>
      <c r="RV31" s="208">
        <f t="shared" ref="RV31:RV41" si="139">IF(OR($AL31="",$AL31=""),"",IF($AL31=0,0,$AL31/$AL31))</f>
        <v>1</v>
      </c>
      <c r="RW31" s="208">
        <f t="shared" ref="RW31:RW41" si="140">IF(OR($BD31="",$AL31=""),"",IF($AL31=0,0,$BD31/$AL31))</f>
        <v>1.0002863266481647</v>
      </c>
      <c r="RX31" s="208">
        <f t="shared" ref="RX31:RX41" si="141">IF(OR($BV31="",$AL31=""),"",IF($AL31=0,0,$BV31/$AL31))</f>
        <v>1.0002991349196986</v>
      </c>
      <c r="RY31" s="208">
        <f t="shared" ref="RY31:RY41" si="142">IF(OR($CN31="",$AL31=""),"",IF($AL31=0,0,$CN31/$AL31))</f>
        <v>1.0001312465347707</v>
      </c>
      <c r="RZ31" s="208">
        <f t="shared" si="85"/>
        <v>1.0003117084519011</v>
      </c>
      <c r="SA31" s="208">
        <f t="shared" si="86"/>
        <v>1.000210918466653</v>
      </c>
      <c r="SB31" s="208">
        <f t="shared" si="87"/>
        <v>1.0000319593340661</v>
      </c>
      <c r="SC31" s="208">
        <f t="shared" si="88"/>
        <v>1.0002013780528722</v>
      </c>
      <c r="SD31" s="208">
        <f t="shared" si="89"/>
        <v>1.0002003858809982</v>
      </c>
      <c r="SE31" s="208">
        <f t="shared" si="90"/>
        <v>1.0001174941127031</v>
      </c>
      <c r="SF31" s="208">
        <f t="shared" si="91"/>
        <v>1.000341146926842</v>
      </c>
      <c r="SG31" s="208">
        <f t="shared" si="92"/>
        <v>1.000679689491575</v>
      </c>
      <c r="SH31" s="208">
        <f t="shared" si="93"/>
        <v>1.000695051269779</v>
      </c>
      <c r="SI31" s="208">
        <f t="shared" si="94"/>
        <v>1.0005483731176574</v>
      </c>
      <c r="SJ31" s="208">
        <f t="shared" si="95"/>
        <v>1.0004929349422349</v>
      </c>
      <c r="SK31" s="208">
        <f t="shared" si="96"/>
        <v>1.000254534890052</v>
      </c>
      <c r="SL31" s="208">
        <f t="shared" si="97"/>
        <v>1.0002451420552074</v>
      </c>
      <c r="SM31" s="222">
        <f t="shared" ref="SM31:SM41" si="143">IF($AJ31="","",$AJ31)</f>
        <v>1</v>
      </c>
      <c r="SN31" s="225">
        <f t="shared" si="98"/>
        <v>28.708957120000001</v>
      </c>
      <c r="SO31" s="209">
        <f t="shared" ref="SO31:SO40" si="144">IF(OR($OI31="",$OC31="",COUNT($OI$30:$OI$41)=0),"",IF(MAX($OI$30:$OI$41)=0,0,($OI31-$OC31)/MAX($OI$30:$OI$41)))</f>
        <v>0.99738495689128259</v>
      </c>
      <c r="SP31" s="209">
        <f t="shared" ref="SP31:SP40" si="145">IF(OR($NH31="",COUNT($NH$30:$NH$41)=0),"",IF(MAX($NH$30:$NH$41)=0,0,$NH31/MAX($NH$30:$NH$41)))</f>
        <v>0.99999984151550381</v>
      </c>
      <c r="SQ31" s="222">
        <f t="shared" ref="SQ31:SQ41" si="146">IF($AL31="","",$AL31)</f>
        <v>63159419900</v>
      </c>
      <c r="SR31" s="222">
        <f t="shared" ref="SR31:SR41" si="147">IF($BD31="","",$BD31)</f>
        <v>63177504125</v>
      </c>
      <c r="SS31" s="222">
        <f t="shared" ref="SS31:SS41" si="148">IF($BV31="","",$BV31)</f>
        <v>63178313088</v>
      </c>
      <c r="ST31" s="222">
        <f t="shared" ref="ST31:ST41" si="149">IF($CN31="","",$CN31)</f>
        <v>63167709355</v>
      </c>
      <c r="SU31" s="222">
        <f t="shared" ref="SU31:SU41" si="150">IF($DF31="","",$DF31)</f>
        <v>63179107225</v>
      </c>
      <c r="SV31" s="222">
        <f t="shared" ref="SV31:SV41" si="151">IF($DX31="","",$DX31)</f>
        <v>63172741388</v>
      </c>
      <c r="SW31" s="222">
        <f t="shared" ref="SW31:SW41" si="152">IF($EP31="","",$EP31)</f>
        <v>63161438433</v>
      </c>
      <c r="SX31" s="222">
        <f t="shared" ref="SX31:SX41" si="153">IF($FH31="","",$FH31)</f>
        <v>63172138821</v>
      </c>
      <c r="SY31" s="222">
        <f t="shared" ref="SY31:SY41" si="154">IF($FZ31="","",$FZ31)</f>
        <v>63172076156</v>
      </c>
      <c r="SZ31" s="222">
        <f t="shared" ref="SZ31:SZ41" si="155">IF($GR31="","",$GR31)</f>
        <v>63166840760</v>
      </c>
      <c r="TA31" s="222">
        <f t="shared" ref="TA31:TA41" si="156">IF($HJ31="","",$HJ31)</f>
        <v>63180966542</v>
      </c>
      <c r="TB31" s="222">
        <f t="shared" ref="TB31:TB41" si="157">IF($IB31="","",$IB31)</f>
        <v>63202348694</v>
      </c>
      <c r="TC31" s="222">
        <f t="shared" si="99"/>
        <v>63203318935</v>
      </c>
      <c r="TD31" s="222">
        <f t="shared" ref="TD31:TD41" si="158">IF($IT31="","",$IT31)</f>
        <v>63194054828</v>
      </c>
      <c r="TE31" s="222">
        <f t="shared" ref="TE31:TE41" si="159">IF($KD31="","",$KD31)</f>
        <v>63190553385</v>
      </c>
      <c r="TF31" s="222">
        <f t="shared" ref="TF31:TF41" si="160">IF($KV31="","",$KV31)</f>
        <v>63175496176</v>
      </c>
      <c r="TG31" s="222">
        <f t="shared" ref="TG31:TG41" si="161">IF($LN31="","",$LN31)</f>
        <v>63174902930</v>
      </c>
      <c r="TK31" s="239" t="s">
        <v>855</v>
      </c>
      <c r="TL31" s="359">
        <f>IF(NJ42="",0,NJ42)</f>
        <v>0.80523472263252283</v>
      </c>
      <c r="TM31" s="359">
        <f>IF(NE42="",0,NE42)</f>
        <v>3.3821170568625346E-2</v>
      </c>
      <c r="TN31" s="359">
        <f>IF(NG42="",0,NG42)</f>
        <v>0.27995655745761033</v>
      </c>
      <c r="TQ31" s="361"/>
      <c r="TR31" s="362">
        <f>IF(OR($NC$42="",VB31=""),0,$NC$42*VB31)</f>
        <v>2.6977082971089437</v>
      </c>
      <c r="TS31" s="362">
        <f>IF(OR($NC$42="",VC31=""),0,$NC$42*VC31)</f>
        <v>0.24891640524617673</v>
      </c>
      <c r="TT31" s="362">
        <f>IF(OR($NC$42="",VD31=""),0,$NC$42*VD31)</f>
        <v>4.8313498374958783</v>
      </c>
      <c r="TU31" s="362">
        <f>IF(OR($NC$42="",VE31=""),0,$NC$42*VE31)</f>
        <v>4.8122009547692608</v>
      </c>
      <c r="TV31" s="362">
        <f>IF(OR($NC$42="",VF31=""),0,$NC$42*VF31)</f>
        <v>8.0487448380000011</v>
      </c>
      <c r="TW31" s="254"/>
      <c r="UC31" s="361"/>
      <c r="UD31" s="363">
        <f>IF(OR($NC$42="",VB31=""),0,$NC$42*VB31)</f>
        <v>2.6977082971089437</v>
      </c>
      <c r="UE31" s="363">
        <f>IF(OR($NC$42="",VC31=""),0,$NC$42*VC31)</f>
        <v>0.24891640524617673</v>
      </c>
      <c r="UF31" s="363">
        <f>IF(OR($NC$42="",VD31=""),0,$NC$42*VD31)</f>
        <v>4.8313498374958783</v>
      </c>
      <c r="UG31" s="363">
        <f>IF(OR($NC$42="",VE31=""),0,$NC$42*VE31)</f>
        <v>4.8122009547692608</v>
      </c>
      <c r="UH31" s="363">
        <f>IF(OR($NC$42="",VF31=""),0,$NC$42*VF31)</f>
        <v>8.0487448380000011</v>
      </c>
      <c r="VA31" s="364" t="s">
        <v>457</v>
      </c>
      <c r="VB31" s="365">
        <f>IF(OR(OJ42="",OK42=""),0,(OJ42+OK42)/2)</f>
        <v>9.383340422444289E-2</v>
      </c>
      <c r="VC31" s="365">
        <f>IF(OR(OL42="",OM42=""),0,(OL42+OM42)/2)</f>
        <v>8.6579685789565947E-3</v>
      </c>
      <c r="VD31" s="365">
        <f>IF(ON42="",0,ON42)</f>
        <v>0.16804708008544911</v>
      </c>
      <c r="VE31" s="365">
        <f>IF(OO42="",0,OO42)</f>
        <v>0.16738103147846711</v>
      </c>
      <c r="VF31" s="365">
        <f>IF(OP42="",0,OP42)</f>
        <v>0.27995655745761033</v>
      </c>
      <c r="VI31" s="366" t="s">
        <v>457</v>
      </c>
      <c r="VJ31" s="367">
        <f>IF(PA42="",0,PA42)</f>
        <v>0.11905103591807084</v>
      </c>
      <c r="VK31" s="367">
        <f>IF(PF42="",0,PF42)</f>
        <v>0.11753499090184615</v>
      </c>
      <c r="VM31" s="369" t="s">
        <v>1418</v>
      </c>
      <c r="VN31" s="370">
        <f>IF(OR(PB42="",VJ31=""),0,PB42*VJ31)</f>
        <v>3.8513357702411825E-3</v>
      </c>
      <c r="VO31" s="370">
        <f>IF(OR(PB42="",VJ31=""),0,(1-PB42)*VJ31)</f>
        <v>0.11519970014782965</v>
      </c>
      <c r="VQ31" s="369" t="s">
        <v>1418</v>
      </c>
      <c r="VR31" s="370">
        <f>IF(OR(PB42="",VJ31=""),0,PB42*VJ31)</f>
        <v>3.8513357702411825E-3</v>
      </c>
      <c r="VS31" s="370">
        <f>IF(OR(PC42="",VJ31=""),0,PC42*VJ31)</f>
        <v>0.11383445237557867</v>
      </c>
      <c r="VT31" s="370">
        <f>IF(OR(PD42="",VJ31=""),0,PD42*VJ31)</f>
        <v>1.3652477722509927E-3</v>
      </c>
      <c r="VV31" s="267" t="s">
        <v>563</v>
      </c>
      <c r="VW31" s="549">
        <f>IF(RR42="",0,RR42)</f>
        <v>21.061871724369617</v>
      </c>
      <c r="VX31" s="549">
        <f>IF(RS42="",0,RS42)</f>
        <v>2.0992464077683683</v>
      </c>
      <c r="VY31" s="549">
        <f>IF(RT42="",0,RT42)</f>
        <v>5.9431564470508471</v>
      </c>
      <c r="WC31" s="239"/>
      <c r="WD31" s="239"/>
      <c r="WE31" s="239"/>
      <c r="WF31" s="239"/>
      <c r="WG31" s="239"/>
      <c r="WH31" s="239"/>
      <c r="WI31" s="239"/>
      <c r="WJ31" s="239"/>
      <c r="WK31" s="239"/>
      <c r="WL31" s="239"/>
      <c r="WM31" s="239"/>
      <c r="WN31" s="239"/>
      <c r="WO31" s="239"/>
      <c r="WP31" s="239"/>
      <c r="WQ31" s="239"/>
      <c r="WR31" s="239"/>
      <c r="WS31" s="239"/>
    </row>
    <row r="32" spans="2:617" x14ac:dyDescent="0.25">
      <c r="AB32" s="254">
        <v>2</v>
      </c>
      <c r="AC32" s="430" t="s">
        <v>1974</v>
      </c>
      <c r="AD32" s="430" t="s">
        <v>1964</v>
      </c>
      <c r="AE32" s="430">
        <v>0</v>
      </c>
      <c r="AF32" s="430">
        <v>0</v>
      </c>
      <c r="AG32" s="430">
        <v>2</v>
      </c>
      <c r="AH32" s="430" t="s">
        <v>1975</v>
      </c>
      <c r="AI32" s="430">
        <v>0</v>
      </c>
      <c r="AJ32" s="430">
        <v>1</v>
      </c>
      <c r="AK32" s="594">
        <v>2877738784</v>
      </c>
      <c r="AL32" s="594">
        <v>63310010190</v>
      </c>
      <c r="AM32" s="430">
        <v>17081158000</v>
      </c>
      <c r="AN32" s="430">
        <v>129000000</v>
      </c>
      <c r="AO32" s="430">
        <v>466783442</v>
      </c>
      <c r="AP32" s="430">
        <v>207798376</v>
      </c>
      <c r="AQ32" s="595">
        <v>3677595</v>
      </c>
      <c r="AR32" s="595">
        <v>1053809</v>
      </c>
      <c r="AS32" s="594">
        <v>13496583368</v>
      </c>
      <c r="AT32" s="594">
        <v>10867919049</v>
      </c>
      <c r="AU32" s="430" t="s">
        <v>1974</v>
      </c>
      <c r="AV32" s="430" t="s">
        <v>1964</v>
      </c>
      <c r="AW32" s="430">
        <v>0</v>
      </c>
      <c r="AX32" s="430">
        <v>0</v>
      </c>
      <c r="AY32" s="430">
        <v>2</v>
      </c>
      <c r="AZ32" s="430" t="s">
        <v>1975</v>
      </c>
      <c r="BA32" s="430">
        <v>0</v>
      </c>
      <c r="BB32" s="430">
        <v>1</v>
      </c>
      <c r="BC32" s="430">
        <v>2877132064</v>
      </c>
      <c r="BD32" s="430">
        <v>63296559500</v>
      </c>
      <c r="BE32" s="430">
        <v>54610903748</v>
      </c>
      <c r="BF32" s="595">
        <v>6163104089</v>
      </c>
      <c r="BG32" s="430">
        <v>21472043831</v>
      </c>
      <c r="BH32" s="595">
        <v>379486</v>
      </c>
      <c r="BI32" s="430">
        <v>30326512362</v>
      </c>
      <c r="BJ32" s="430">
        <v>143308259</v>
      </c>
      <c r="BK32" s="430">
        <v>0</v>
      </c>
      <c r="BL32" s="430">
        <v>0</v>
      </c>
      <c r="BM32" s="430" t="s">
        <v>1974</v>
      </c>
      <c r="BN32" s="430" t="s">
        <v>1964</v>
      </c>
      <c r="BO32" s="430">
        <v>0</v>
      </c>
      <c r="BP32" s="430">
        <v>0</v>
      </c>
      <c r="BQ32" s="430">
        <v>2</v>
      </c>
      <c r="BR32" s="430" t="s">
        <v>1975</v>
      </c>
      <c r="BS32" s="430">
        <v>0</v>
      </c>
      <c r="BT32" s="430">
        <v>1</v>
      </c>
      <c r="BU32" s="430">
        <v>2877414240</v>
      </c>
      <c r="BV32" s="430">
        <v>63302623979</v>
      </c>
      <c r="BW32" s="594">
        <v>9924702239</v>
      </c>
      <c r="BX32" s="594">
        <v>11334160338</v>
      </c>
      <c r="BY32" s="430">
        <v>21183139032</v>
      </c>
      <c r="BZ32" s="430">
        <v>937605411</v>
      </c>
      <c r="CA32" s="430">
        <v>6951047219</v>
      </c>
      <c r="CB32" s="430">
        <v>119569561948</v>
      </c>
      <c r="CC32" s="430">
        <v>4919061998</v>
      </c>
      <c r="CD32" s="430">
        <v>74562014064</v>
      </c>
      <c r="CE32" s="430" t="s">
        <v>1974</v>
      </c>
      <c r="CF32" s="430" t="s">
        <v>1964</v>
      </c>
      <c r="CG32" s="430">
        <v>0</v>
      </c>
      <c r="CH32" s="430">
        <v>0</v>
      </c>
      <c r="CI32" s="430">
        <v>2</v>
      </c>
      <c r="CJ32" s="430" t="s">
        <v>1975</v>
      </c>
      <c r="CK32" s="430">
        <v>0</v>
      </c>
      <c r="CL32" s="430">
        <v>1</v>
      </c>
      <c r="CM32" s="430">
        <v>2877272064</v>
      </c>
      <c r="CN32" s="430">
        <v>63299758770</v>
      </c>
      <c r="CO32" s="430">
        <v>3621937</v>
      </c>
      <c r="CP32" s="430">
        <v>467770768</v>
      </c>
      <c r="CQ32" s="430">
        <v>452274460</v>
      </c>
      <c r="CR32" s="430">
        <v>466579728</v>
      </c>
      <c r="CS32" s="430">
        <v>51451383</v>
      </c>
      <c r="CT32" s="430">
        <v>1322202000</v>
      </c>
      <c r="CU32" s="430">
        <v>661101000</v>
      </c>
      <c r="CV32" s="430">
        <v>1054299</v>
      </c>
      <c r="CW32" s="430" t="s">
        <v>1974</v>
      </c>
      <c r="CX32" s="430" t="s">
        <v>1964</v>
      </c>
      <c r="CY32" s="430">
        <v>0</v>
      </c>
      <c r="CZ32" s="430">
        <v>0</v>
      </c>
      <c r="DA32" s="430">
        <v>2</v>
      </c>
      <c r="DB32" s="430" t="s">
        <v>1975</v>
      </c>
      <c r="DC32" s="430">
        <v>0</v>
      </c>
      <c r="DD32" s="430">
        <v>1</v>
      </c>
      <c r="DE32" s="430">
        <v>2877598432</v>
      </c>
      <c r="DF32" s="430">
        <v>63306841485</v>
      </c>
      <c r="DG32" s="430">
        <v>6025175000</v>
      </c>
      <c r="DH32" s="430">
        <v>3085138000</v>
      </c>
      <c r="DI32" s="430">
        <v>220367000</v>
      </c>
      <c r="DJ32" s="430">
        <v>3031480067</v>
      </c>
      <c r="DK32" s="430">
        <v>897635644</v>
      </c>
      <c r="DL32" s="430">
        <v>2902411019</v>
      </c>
      <c r="DM32" s="430">
        <v>897612019</v>
      </c>
      <c r="DN32" s="430">
        <v>5362041</v>
      </c>
      <c r="DO32" s="595" t="s">
        <v>1974</v>
      </c>
      <c r="DP32" s="595" t="s">
        <v>1964</v>
      </c>
      <c r="DQ32" s="595">
        <v>0</v>
      </c>
      <c r="DR32" s="595">
        <v>0</v>
      </c>
      <c r="DS32" s="595">
        <v>2</v>
      </c>
      <c r="DT32" s="595" t="s">
        <v>1975</v>
      </c>
      <c r="DU32" s="595">
        <v>0</v>
      </c>
      <c r="DV32" s="595">
        <v>1</v>
      </c>
      <c r="DW32" s="595">
        <v>2876970784</v>
      </c>
      <c r="DX32" s="595">
        <v>63293121158</v>
      </c>
      <c r="DY32" s="595">
        <v>447076398</v>
      </c>
      <c r="DZ32" s="595">
        <v>199589056</v>
      </c>
      <c r="EA32" s="595">
        <v>25909501</v>
      </c>
      <c r="EB32" s="430">
        <v>592857635</v>
      </c>
      <c r="EC32" s="595">
        <v>412655462</v>
      </c>
      <c r="ED32" s="595">
        <v>0</v>
      </c>
      <c r="EE32" s="595">
        <v>0</v>
      </c>
      <c r="EF32" s="595">
        <v>25399415569</v>
      </c>
      <c r="EG32" s="595" t="s">
        <v>1974</v>
      </c>
      <c r="EH32" s="595" t="s">
        <v>1964</v>
      </c>
      <c r="EI32" s="595">
        <v>0</v>
      </c>
      <c r="EJ32" s="595">
        <v>0</v>
      </c>
      <c r="EK32" s="595">
        <v>2</v>
      </c>
      <c r="EL32" s="595" t="s">
        <v>1975</v>
      </c>
      <c r="EM32" s="595">
        <v>0</v>
      </c>
      <c r="EN32" s="595">
        <v>1</v>
      </c>
      <c r="EO32" s="595">
        <v>2877804256</v>
      </c>
      <c r="EP32" s="595">
        <v>63311458947</v>
      </c>
      <c r="EQ32" s="595">
        <v>1194812203</v>
      </c>
      <c r="ER32" s="595">
        <v>367396147</v>
      </c>
      <c r="ES32" s="430">
        <v>960327097</v>
      </c>
      <c r="ET32" s="595">
        <v>5591443</v>
      </c>
      <c r="EU32" s="595">
        <v>17081158000</v>
      </c>
      <c r="EV32" s="595">
        <v>0</v>
      </c>
      <c r="EW32" s="595">
        <v>129000000</v>
      </c>
      <c r="EX32" s="595">
        <v>0</v>
      </c>
      <c r="EY32" s="595" t="s">
        <v>1974</v>
      </c>
      <c r="EZ32" s="595" t="s">
        <v>1964</v>
      </c>
      <c r="FA32" s="595">
        <v>0</v>
      </c>
      <c r="FB32" s="595">
        <v>0</v>
      </c>
      <c r="FC32" s="595">
        <v>2</v>
      </c>
      <c r="FD32" s="595" t="s">
        <v>1975</v>
      </c>
      <c r="FE32" s="595">
        <v>0</v>
      </c>
      <c r="FF32" s="595">
        <v>1</v>
      </c>
      <c r="FG32" s="595">
        <v>2877566016</v>
      </c>
      <c r="FH32" s="595">
        <v>63306195417</v>
      </c>
      <c r="FI32" s="595">
        <v>46727750</v>
      </c>
      <c r="FJ32" s="595">
        <v>6312913490</v>
      </c>
      <c r="FK32" s="595">
        <v>1887414010</v>
      </c>
      <c r="FL32" s="595">
        <v>667829669</v>
      </c>
      <c r="FM32" s="595">
        <v>7080195036</v>
      </c>
      <c r="FN32" s="595">
        <v>5882739975</v>
      </c>
      <c r="FO32" s="430">
        <v>296226368</v>
      </c>
      <c r="FP32" s="430">
        <v>798865702</v>
      </c>
      <c r="FQ32" s="595" t="s">
        <v>1974</v>
      </c>
      <c r="FR32" s="595" t="s">
        <v>1964</v>
      </c>
      <c r="FS32" s="595">
        <v>0</v>
      </c>
      <c r="FT32" s="595">
        <v>0</v>
      </c>
      <c r="FU32" s="595">
        <v>2</v>
      </c>
      <c r="FV32" s="595" t="s">
        <v>1975</v>
      </c>
      <c r="FW32" s="595">
        <v>0</v>
      </c>
      <c r="FX32" s="595">
        <v>1</v>
      </c>
      <c r="FY32" s="595">
        <v>2877524032</v>
      </c>
      <c r="FZ32" s="595">
        <v>63305286784</v>
      </c>
      <c r="GA32" s="595">
        <v>452276122</v>
      </c>
      <c r="GB32" s="595">
        <v>446913369</v>
      </c>
      <c r="GC32" s="595">
        <v>414606725</v>
      </c>
      <c r="GD32" s="595">
        <v>414606725</v>
      </c>
      <c r="GE32" s="595">
        <v>1729</v>
      </c>
      <c r="GF32" s="595">
        <v>1</v>
      </c>
      <c r="GG32" s="595">
        <v>458</v>
      </c>
      <c r="GH32" s="595">
        <v>1053250</v>
      </c>
      <c r="GI32" s="595" t="s">
        <v>1974</v>
      </c>
      <c r="GJ32" s="595" t="s">
        <v>1964</v>
      </c>
      <c r="GK32" s="595">
        <v>0</v>
      </c>
      <c r="GL32" s="595">
        <v>0</v>
      </c>
      <c r="GM32" s="595">
        <v>2</v>
      </c>
      <c r="GN32" s="595" t="s">
        <v>1975</v>
      </c>
      <c r="GO32" s="595">
        <v>0</v>
      </c>
      <c r="GP32" s="595">
        <v>1</v>
      </c>
      <c r="GQ32" s="595">
        <v>2877337760</v>
      </c>
      <c r="GR32" s="595">
        <v>63301210773</v>
      </c>
      <c r="GS32" s="595">
        <v>1101835000</v>
      </c>
      <c r="GT32" s="595">
        <v>86003000</v>
      </c>
      <c r="GU32" s="595">
        <v>0</v>
      </c>
      <c r="GV32" s="595">
        <v>0</v>
      </c>
      <c r="GW32" s="595">
        <v>0</v>
      </c>
      <c r="GX32" s="595">
        <v>8</v>
      </c>
      <c r="GY32" s="595">
        <v>521367032</v>
      </c>
      <c r="GZ32" s="595">
        <v>400468428</v>
      </c>
      <c r="HA32" s="595" t="s">
        <v>1974</v>
      </c>
      <c r="HB32" s="595" t="s">
        <v>1964</v>
      </c>
      <c r="HC32" s="595">
        <v>0</v>
      </c>
      <c r="HD32" s="595">
        <v>0</v>
      </c>
      <c r="HE32" s="595">
        <v>2</v>
      </c>
      <c r="HF32" s="595" t="s">
        <v>1975</v>
      </c>
      <c r="HG32" s="595">
        <v>0</v>
      </c>
      <c r="HH32" s="595">
        <v>1</v>
      </c>
      <c r="HI32" s="595">
        <v>2877855136</v>
      </c>
      <c r="HJ32" s="595">
        <v>63312574743</v>
      </c>
      <c r="HK32" s="595">
        <v>0</v>
      </c>
      <c r="HL32" s="595">
        <v>0</v>
      </c>
      <c r="HM32" s="595">
        <v>0</v>
      </c>
      <c r="HN32" s="595">
        <v>1085738009</v>
      </c>
      <c r="HO32" s="595">
        <v>129004019</v>
      </c>
      <c r="HP32" s="595">
        <v>37627017</v>
      </c>
      <c r="HQ32" s="595">
        <v>258007019</v>
      </c>
      <c r="HR32" s="595">
        <v>0</v>
      </c>
      <c r="HS32" s="595" t="s">
        <v>1974</v>
      </c>
      <c r="HT32" s="595" t="s">
        <v>1964</v>
      </c>
      <c r="HU32" s="595">
        <v>0</v>
      </c>
      <c r="HV32" s="595">
        <v>0</v>
      </c>
      <c r="HW32" s="595">
        <v>2</v>
      </c>
      <c r="HX32" s="595" t="s">
        <v>1975</v>
      </c>
      <c r="HY32" s="595">
        <v>0</v>
      </c>
      <c r="HZ32" s="595">
        <v>1</v>
      </c>
      <c r="IA32" s="595">
        <v>2879351072</v>
      </c>
      <c r="IB32" s="595">
        <v>63345457291</v>
      </c>
      <c r="IC32" s="595">
        <v>16307664260</v>
      </c>
      <c r="ID32" s="595">
        <v>1325451416</v>
      </c>
      <c r="IE32" s="595">
        <v>0</v>
      </c>
      <c r="IF32" s="595">
        <v>16307646216</v>
      </c>
      <c r="IG32" s="595">
        <v>14545424</v>
      </c>
      <c r="IH32" s="595">
        <v>400475157</v>
      </c>
      <c r="II32" s="595">
        <v>0</v>
      </c>
      <c r="IJ32" s="595">
        <v>0</v>
      </c>
      <c r="IK32" s="595" t="s">
        <v>1974</v>
      </c>
      <c r="IL32" s="595" t="s">
        <v>1964</v>
      </c>
      <c r="IM32" s="595">
        <v>0</v>
      </c>
      <c r="IN32" s="595">
        <v>0</v>
      </c>
      <c r="IO32" s="595">
        <v>2</v>
      </c>
      <c r="IP32" s="595" t="s">
        <v>1975</v>
      </c>
      <c r="IQ32" s="595">
        <v>0</v>
      </c>
      <c r="IR32" s="595">
        <v>1</v>
      </c>
      <c r="IS32" s="595">
        <v>2878469280</v>
      </c>
      <c r="IT32" s="595">
        <v>63326114359</v>
      </c>
      <c r="IU32" s="595">
        <v>0</v>
      </c>
      <c r="IV32" s="595">
        <v>0</v>
      </c>
      <c r="IW32" s="595">
        <v>827734000</v>
      </c>
      <c r="IX32" s="595">
        <v>0</v>
      </c>
      <c r="IY32" s="595">
        <v>553630000</v>
      </c>
      <c r="IZ32" s="595">
        <v>257994001</v>
      </c>
      <c r="JA32" s="595">
        <v>0</v>
      </c>
      <c r="JB32" s="595">
        <v>0</v>
      </c>
      <c r="JC32" s="595" t="s">
        <v>1974</v>
      </c>
      <c r="JD32" s="595" t="s">
        <v>1964</v>
      </c>
      <c r="JE32" s="595">
        <v>0</v>
      </c>
      <c r="JF32" s="595">
        <v>0</v>
      </c>
      <c r="JG32" s="595">
        <v>2</v>
      </c>
      <c r="JH32" s="595" t="s">
        <v>1975</v>
      </c>
      <c r="JI32" s="595">
        <v>0</v>
      </c>
      <c r="JJ32" s="595">
        <v>1</v>
      </c>
      <c r="JK32" s="595">
        <v>2878430048</v>
      </c>
      <c r="JL32" s="595">
        <v>63325232738</v>
      </c>
      <c r="JM32" s="595">
        <v>447683104</v>
      </c>
      <c r="JN32" s="595">
        <v>0</v>
      </c>
      <c r="JO32" s="595">
        <v>0</v>
      </c>
      <c r="JP32" s="595">
        <v>267412432</v>
      </c>
      <c r="JQ32" s="595">
        <v>0</v>
      </c>
      <c r="JR32" s="595">
        <v>0</v>
      </c>
      <c r="JS32" s="595">
        <v>162081411</v>
      </c>
      <c r="JT32" s="595">
        <v>0</v>
      </c>
      <c r="JU32" s="595" t="s">
        <v>1974</v>
      </c>
      <c r="JV32" s="595" t="s">
        <v>1964</v>
      </c>
      <c r="JW32" s="595">
        <v>0</v>
      </c>
      <c r="JX32" s="595">
        <v>0</v>
      </c>
      <c r="JY32" s="595">
        <v>2</v>
      </c>
      <c r="JZ32" s="595" t="s">
        <v>1975</v>
      </c>
      <c r="KA32" s="595">
        <v>0</v>
      </c>
      <c r="KB32" s="595">
        <v>1</v>
      </c>
      <c r="KC32" s="595">
        <v>2877814432</v>
      </c>
      <c r="KD32" s="595">
        <v>63311610227</v>
      </c>
      <c r="KE32" s="595">
        <v>193500000</v>
      </c>
      <c r="KF32" s="595">
        <v>3903198820</v>
      </c>
      <c r="KG32" s="595">
        <v>1192111003</v>
      </c>
      <c r="KH32" s="595">
        <v>56027495182</v>
      </c>
      <c r="KI32" s="595">
        <v>14319467368</v>
      </c>
      <c r="KJ32" s="595">
        <v>3673086475</v>
      </c>
      <c r="KK32" s="595">
        <v>972324692</v>
      </c>
      <c r="KL32" s="595">
        <v>0</v>
      </c>
      <c r="KM32" s="595" t="s">
        <v>1974</v>
      </c>
      <c r="KN32" s="595" t="s">
        <v>1964</v>
      </c>
      <c r="KO32" s="595">
        <v>0</v>
      </c>
      <c r="KP32" s="595">
        <v>0</v>
      </c>
      <c r="KQ32" s="595">
        <v>2</v>
      </c>
      <c r="KR32" s="595" t="s">
        <v>1975</v>
      </c>
      <c r="KS32" s="595">
        <v>0</v>
      </c>
      <c r="KT32" s="595">
        <v>1</v>
      </c>
      <c r="KU32" s="595">
        <v>2877700320</v>
      </c>
      <c r="KV32" s="595">
        <v>63309167859</v>
      </c>
      <c r="KW32" s="595">
        <v>5594748722</v>
      </c>
      <c r="KX32" s="595">
        <v>42550173</v>
      </c>
      <c r="KY32" s="595">
        <v>9689708</v>
      </c>
      <c r="KZ32" s="595">
        <v>13496559719</v>
      </c>
      <c r="LA32" s="595">
        <v>2506634965</v>
      </c>
      <c r="LB32" s="595">
        <v>720032</v>
      </c>
      <c r="LC32" s="595">
        <v>13370</v>
      </c>
      <c r="LD32" s="595">
        <v>15366</v>
      </c>
      <c r="LE32" s="595" t="s">
        <v>1974</v>
      </c>
      <c r="LF32" s="595" t="s">
        <v>1964</v>
      </c>
      <c r="LG32" s="595">
        <v>0</v>
      </c>
      <c r="LH32" s="595">
        <v>0</v>
      </c>
      <c r="LI32" s="595">
        <v>2</v>
      </c>
      <c r="LJ32" s="595" t="s">
        <v>1975</v>
      </c>
      <c r="LK32" s="595">
        <v>0</v>
      </c>
      <c r="LL32" s="595">
        <v>1</v>
      </c>
      <c r="LM32" s="595">
        <v>2877559680</v>
      </c>
      <c r="LN32" s="595">
        <v>63306086715</v>
      </c>
      <c r="LO32" s="595">
        <v>5542592472</v>
      </c>
      <c r="LP32" s="595">
        <v>959</v>
      </c>
      <c r="LQ32" s="595">
        <v>0</v>
      </c>
      <c r="LR32" s="595">
        <v>2506798363</v>
      </c>
      <c r="LS32" s="595">
        <v>178</v>
      </c>
      <c r="LT32" s="595">
        <v>0</v>
      </c>
      <c r="LU32" s="595">
        <v>5542415811</v>
      </c>
      <c r="LV32" s="595">
        <v>31026</v>
      </c>
      <c r="MC32" s="252" t="s">
        <v>857</v>
      </c>
      <c r="MD32" s="371"/>
      <c r="ME32" s="372"/>
      <c r="MF32" s="372"/>
      <c r="MG32" s="372"/>
      <c r="MH32" s="372"/>
      <c r="MI32" s="372"/>
      <c r="MJ32" s="372"/>
      <c r="MK32" s="372"/>
      <c r="ML32" s="372"/>
      <c r="MM32" s="372"/>
      <c r="MN32" s="372"/>
      <c r="MO32" s="372"/>
      <c r="MP32" s="372"/>
      <c r="MQ32" s="372"/>
      <c r="MR32" s="372"/>
      <c r="MS32" s="372"/>
      <c r="MT32" s="373"/>
      <c r="NA32" s="424">
        <f t="shared" si="100"/>
        <v>0</v>
      </c>
      <c r="NB32" s="424">
        <f t="shared" si="101"/>
        <v>2</v>
      </c>
      <c r="NC32" s="207">
        <f t="shared" si="102"/>
        <v>28.777387839999999</v>
      </c>
      <c r="ND32" s="208">
        <f t="shared" si="103"/>
        <v>2.3787298687635161</v>
      </c>
      <c r="NE32" s="209">
        <f t="shared" si="15"/>
        <v>3.378892904935088E-2</v>
      </c>
      <c r="NF32" s="208">
        <f t="shared" si="16"/>
        <v>5.9589045029877186</v>
      </c>
      <c r="NG32" s="210"/>
      <c r="NH32" s="211">
        <f t="shared" si="104"/>
        <v>13496583368</v>
      </c>
      <c r="NI32" s="208">
        <f t="shared" si="17"/>
        <v>68453632000</v>
      </c>
      <c r="NJ32" s="212">
        <f t="shared" si="105"/>
        <v>0.80523483259974626</v>
      </c>
      <c r="NK32" s="213">
        <f t="shared" si="106"/>
        <v>0.9981155127020872</v>
      </c>
      <c r="NL32" s="214">
        <f t="shared" si="18"/>
        <v>1</v>
      </c>
      <c r="NM32" s="208">
        <f t="shared" si="107"/>
        <v>0.21318245452015144</v>
      </c>
      <c r="NN32" s="208">
        <f t="shared" si="19"/>
        <v>0.46899959937433988</v>
      </c>
      <c r="NO32" s="215">
        <f t="shared" si="20"/>
        <v>1.7253095410107148E-4</v>
      </c>
      <c r="NP32" s="216">
        <f t="shared" si="108"/>
        <v>0</v>
      </c>
      <c r="NQ32" s="215">
        <f t="shared" si="109"/>
        <v>0.18761124408773563</v>
      </c>
      <c r="NR32" s="215">
        <f t="shared" si="110"/>
        <v>8.1927799283178671E-2</v>
      </c>
      <c r="NS32" s="215">
        <f t="shared" si="21"/>
        <v>1.1779593786892441E-2</v>
      </c>
      <c r="NT32" s="215">
        <f t="shared" si="22"/>
        <v>3.8696710848865391E-3</v>
      </c>
      <c r="NU32" s="215">
        <f t="shared" si="23"/>
        <v>7.8962331501029076E-2</v>
      </c>
      <c r="NV32" s="215">
        <f t="shared" si="111"/>
        <v>9.3978082614563441</v>
      </c>
      <c r="NW32" s="215">
        <f t="shared" si="24"/>
        <v>2.2400739701718098</v>
      </c>
      <c r="NX32" s="215">
        <f t="shared" si="25"/>
        <v>11.547686612231226</v>
      </c>
      <c r="NY32" s="215">
        <f t="shared" si="26"/>
        <v>2.5421148490109187E-3</v>
      </c>
      <c r="NZ32" s="215">
        <f t="shared" si="27"/>
        <v>1.2109200320342262</v>
      </c>
      <c r="OA32" s="215">
        <f t="shared" si="28"/>
        <v>0</v>
      </c>
      <c r="OB32" s="215">
        <f t="shared" si="29"/>
        <v>6.5154210315620242E-2</v>
      </c>
      <c r="OC32" s="215">
        <f t="shared" si="30"/>
        <v>0</v>
      </c>
      <c r="OD32" s="215">
        <f t="shared" si="31"/>
        <v>2.8020170143282885</v>
      </c>
      <c r="OE32" s="215">
        <f t="shared" si="32"/>
        <v>0.54321395085772095</v>
      </c>
      <c r="OF32" s="215">
        <f t="shared" si="33"/>
        <v>0.16703437748683089</v>
      </c>
      <c r="OG32" s="215">
        <f t="shared" si="34"/>
        <v>0.43660675306736541</v>
      </c>
      <c r="OH32" s="215">
        <f t="shared" si="35"/>
        <v>7.3725037332153895E-6</v>
      </c>
      <c r="OI32" s="215">
        <f t="shared" si="112"/>
        <v>28.777387839999999</v>
      </c>
      <c r="OJ32" s="218">
        <f t="shared" si="113"/>
        <v>0.10980662067509143</v>
      </c>
      <c r="OK32" s="218">
        <f t="shared" si="114"/>
        <v>7.7707078929806273E-2</v>
      </c>
      <c r="OL32" s="218">
        <f t="shared" si="115"/>
        <v>4.6792634756953428E-3</v>
      </c>
      <c r="OM32" s="218">
        <f t="shared" si="116"/>
        <v>1.2619076169999559E-2</v>
      </c>
      <c r="ON32" s="217">
        <f t="shared" si="36"/>
        <v>0.1679145447750508</v>
      </c>
      <c r="OO32" s="210"/>
      <c r="OP32" s="210"/>
      <c r="OQ32" s="218">
        <f t="shared" si="117"/>
        <v>0.11184047610763088</v>
      </c>
      <c r="OR32" s="218">
        <f t="shared" si="118"/>
        <v>9.2925185856616369E-2</v>
      </c>
      <c r="OS32" s="218">
        <f t="shared" si="37"/>
        <v>1</v>
      </c>
      <c r="OT32" s="218">
        <f t="shared" si="38"/>
        <v>0.9473606717896057</v>
      </c>
      <c r="OU32" s="209">
        <f t="shared" si="39"/>
        <v>0.9533449519113214</v>
      </c>
      <c r="OV32" s="209">
        <f t="shared" si="40"/>
        <v>0.92044017586257076</v>
      </c>
      <c r="OW32" s="209">
        <f t="shared" si="119"/>
        <v>1.481147781979845E-2</v>
      </c>
      <c r="OX32" s="219">
        <f t="shared" si="41"/>
        <v>3.3934514203491264E-8</v>
      </c>
      <c r="OY32" s="208">
        <f t="shared" si="120"/>
        <v>3929115711</v>
      </c>
      <c r="OZ32" s="208">
        <f t="shared" si="42"/>
        <v>467770768</v>
      </c>
      <c r="PA32" s="209">
        <f t="shared" si="121"/>
        <v>0.11905242869035984</v>
      </c>
      <c r="PB32" s="209">
        <f>IF(OR($CQ32="",$OZ32=""),"",IF($OZ32=0,0,
GuardLimitUpper(
  ($OZ32-$CQ32)/$OZ32,
  data_GuardLimitFlag,
  1)
))</f>
        <v>3.3127995719476E-2</v>
      </c>
      <c r="PC32" s="209">
        <f t="shared" si="43"/>
        <v>0.95541106792718611</v>
      </c>
      <c r="PD32" s="209">
        <f t="shared" si="44"/>
        <v>1.1460936353337925E-2</v>
      </c>
      <c r="PE32" s="208">
        <f t="shared" si="122"/>
        <v>462052038</v>
      </c>
      <c r="PF32" s="209">
        <f t="shared" si="123"/>
        <v>0.11759695361132622</v>
      </c>
      <c r="PG32" s="209">
        <f t="shared" si="45"/>
        <v>0.10366540204031523</v>
      </c>
      <c r="PH32" s="209">
        <f t="shared" si="46"/>
        <v>0.89861740894392572</v>
      </c>
      <c r="PI32" s="209">
        <f t="shared" si="47"/>
        <v>0</v>
      </c>
      <c r="PJ32" s="220">
        <f t="shared" si="48"/>
        <v>4.4004812460968526E-7</v>
      </c>
      <c r="PK32" s="220">
        <f t="shared" si="49"/>
        <v>2.5451019352786886E-10</v>
      </c>
      <c r="PL32" s="221">
        <f t="shared" si="124"/>
        <v>220367000</v>
      </c>
      <c r="PM32" s="221">
        <f t="shared" si="50"/>
        <v>0</v>
      </c>
      <c r="PN32" s="221">
        <f t="shared" si="125"/>
        <v>1322202000</v>
      </c>
      <c r="PO32" s="221">
        <f t="shared" si="51"/>
        <v>0</v>
      </c>
      <c r="PP32" s="221">
        <f t="shared" si="52"/>
        <v>1101835000</v>
      </c>
      <c r="PQ32" s="529">
        <f t="shared" si="126"/>
        <v>0</v>
      </c>
      <c r="PR32" s="221">
        <f t="shared" si="53"/>
        <v>0</v>
      </c>
      <c r="PS32" s="221">
        <f t="shared" si="54"/>
        <v>387076067</v>
      </c>
      <c r="PT32" s="221">
        <f t="shared" si="127"/>
        <v>21504000</v>
      </c>
      <c r="PU32" s="221">
        <f t="shared" si="55"/>
        <v>0</v>
      </c>
      <c r="PV32" s="221">
        <f t="shared" si="128"/>
        <v>661101000</v>
      </c>
      <c r="PW32" s="221">
        <f t="shared" si="56"/>
        <v>86003000</v>
      </c>
      <c r="PX32" s="221">
        <f t="shared" ref="PX32:PX41" si="162">IF($O$8="Lv2","",IF($IV32="","",$IV32))</f>
        <v>0</v>
      </c>
      <c r="PY32" s="221">
        <f t="shared" si="57"/>
        <v>129027644</v>
      </c>
      <c r="PZ32" s="221">
        <f t="shared" si="58"/>
        <v>0</v>
      </c>
      <c r="QA32" s="221">
        <f t="shared" si="59"/>
        <v>0</v>
      </c>
      <c r="QB32" s="221">
        <f t="shared" si="60"/>
        <v>5362041</v>
      </c>
      <c r="QC32" s="221">
        <f t="shared" si="61"/>
        <v>8</v>
      </c>
      <c r="QD32" s="221">
        <f t="shared" si="129"/>
        <v>2719670000</v>
      </c>
      <c r="QE32" s="221">
        <f t="shared" si="130"/>
        <v>3085138000</v>
      </c>
      <c r="QF32" s="221">
        <f t="shared" si="131"/>
        <v>220367000</v>
      </c>
      <c r="QG32" s="222">
        <f t="shared" si="62"/>
        <v>0</v>
      </c>
      <c r="QH32" s="222">
        <f t="shared" si="63"/>
        <v>1085738009</v>
      </c>
      <c r="QI32" s="222">
        <f t="shared" si="64"/>
        <v>521367032</v>
      </c>
      <c r="QJ32" s="222">
        <f t="shared" si="65"/>
        <v>400468428</v>
      </c>
      <c r="QK32" s="222">
        <f t="shared" si="66"/>
        <v>37627017</v>
      </c>
      <c r="QL32" s="222">
        <f t="shared" si="132"/>
        <v>0</v>
      </c>
      <c r="QM32" s="222">
        <f>IF(OR($O$8="Lv2",$O$8="Lv3",$O$8="Lv4"),IF(OR($AS32="",COUNT($PL32:$QL32)=0),"",
GuardLimitLower(
  $AS32-SUM($PL32:$QL32),
  data_GuardLimitFlag,
  0)
),"")</f>
        <v>1491730122</v>
      </c>
      <c r="QN32" s="222">
        <f t="shared" si="133"/>
        <v>13496583368</v>
      </c>
      <c r="QO32" s="222">
        <f t="shared" si="134"/>
        <v>68453632000</v>
      </c>
      <c r="QP32" s="222">
        <f t="shared" si="135"/>
        <v>0</v>
      </c>
      <c r="QQ32" s="222">
        <f t="shared" si="136"/>
        <v>0</v>
      </c>
      <c r="QR32" s="222">
        <f t="shared" si="67"/>
        <v>2.3787298687635161</v>
      </c>
      <c r="QS32" s="209">
        <f t="shared" si="68"/>
        <v>3.658668140391555E-2</v>
      </c>
      <c r="QT32" s="209">
        <f t="shared" si="69"/>
        <v>0.73801080973374222</v>
      </c>
      <c r="QU32" s="209">
        <f t="shared" si="70"/>
        <v>0.2254025088623422</v>
      </c>
      <c r="QV32" s="208">
        <f t="shared" si="71"/>
        <v>16307664260</v>
      </c>
      <c r="QW32" s="208">
        <f t="shared" si="72"/>
        <v>553630000</v>
      </c>
      <c r="QX32" s="208">
        <f t="shared" si="73"/>
        <v>257994001</v>
      </c>
      <c r="QY32" s="208">
        <f t="shared" si="74"/>
        <v>827734000</v>
      </c>
      <c r="QZ32" s="208">
        <f t="shared" si="75"/>
        <v>0</v>
      </c>
      <c r="RA32" s="209">
        <f t="shared" si="137"/>
        <v>0.99999889352639881</v>
      </c>
      <c r="RB32" s="209">
        <f t="shared" si="76"/>
        <v>3.6321025536624828E-2</v>
      </c>
      <c r="RC32" s="209">
        <f t="shared" si="77"/>
        <v>0.51036806830264314</v>
      </c>
      <c r="RD32" s="209">
        <f t="shared" si="78"/>
        <v>0</v>
      </c>
      <c r="RE32" s="209">
        <f t="shared" si="79"/>
        <v>0</v>
      </c>
      <c r="RF32" s="209">
        <f t="shared" si="80"/>
        <v>0.3048557453710648</v>
      </c>
      <c r="RG32" s="209">
        <f t="shared" si="81"/>
        <v>0</v>
      </c>
      <c r="RH32" s="209">
        <f t="shared" si="82"/>
        <v>0</v>
      </c>
      <c r="RI32" s="209">
        <f t="shared" si="83"/>
        <v>0.18477618632629203</v>
      </c>
      <c r="RJ32" s="134"/>
      <c r="RK32" s="134"/>
      <c r="RL32" s="134"/>
      <c r="RM32" s="134"/>
      <c r="RN32" s="134"/>
      <c r="RO32" s="134"/>
      <c r="RP32" s="134"/>
      <c r="RQ32" s="134"/>
      <c r="RR32" s="222">
        <f t="shared" si="84"/>
        <v>1.7549649815610227</v>
      </c>
      <c r="RS32" s="224"/>
      <c r="RT32" s="224"/>
      <c r="RU32" s="208">
        <f t="shared" si="138"/>
        <v>28.777387839999999</v>
      </c>
      <c r="RV32" s="208">
        <f t="shared" si="139"/>
        <v>1</v>
      </c>
      <c r="RW32" s="208">
        <f t="shared" si="140"/>
        <v>0.99978754244455759</v>
      </c>
      <c r="RX32" s="208">
        <f t="shared" si="141"/>
        <v>0.99988333265185347</v>
      </c>
      <c r="RY32" s="208">
        <f t="shared" si="142"/>
        <v>0.99983807584346873</v>
      </c>
      <c r="RZ32" s="208">
        <f t="shared" si="85"/>
        <v>0.99994994938414172</v>
      </c>
      <c r="SA32" s="208">
        <f t="shared" si="86"/>
        <v>0.99973323283396553</v>
      </c>
      <c r="SB32" s="208">
        <f t="shared" si="87"/>
        <v>1.0000228835376215</v>
      </c>
      <c r="SC32" s="208">
        <f t="shared" si="88"/>
        <v>0.99993974455242463</v>
      </c>
      <c r="SD32" s="208">
        <f t="shared" si="89"/>
        <v>0.99992539243026779</v>
      </c>
      <c r="SE32" s="208">
        <f t="shared" si="90"/>
        <v>0.99986101065260313</v>
      </c>
      <c r="SF32" s="208">
        <f t="shared" si="91"/>
        <v>1.000040507859536</v>
      </c>
      <c r="SG32" s="208">
        <f t="shared" si="92"/>
        <v>1.000559897256273</v>
      </c>
      <c r="SH32" s="208">
        <f t="shared" si="93"/>
        <v>1.0002404445672068</v>
      </c>
      <c r="SI32" s="208">
        <f t="shared" si="94"/>
        <v>1.0002543700269779</v>
      </c>
      <c r="SJ32" s="208">
        <f t="shared" si="95"/>
        <v>1.0000252730491623</v>
      </c>
      <c r="SK32" s="208">
        <f t="shared" si="96"/>
        <v>0.99998669513719118</v>
      </c>
      <c r="SL32" s="208">
        <f t="shared" si="97"/>
        <v>0.99993802757276096</v>
      </c>
      <c r="SM32" s="222">
        <f t="shared" si="143"/>
        <v>1</v>
      </c>
      <c r="SN32" s="225">
        <f t="shared" si="98"/>
        <v>28.777387839999999</v>
      </c>
      <c r="SO32" s="209">
        <f t="shared" si="144"/>
        <v>0.99976232540494736</v>
      </c>
      <c r="SP32" s="209">
        <f t="shared" si="145"/>
        <v>0.99999963316655416</v>
      </c>
      <c r="SQ32" s="222">
        <f t="shared" si="146"/>
        <v>63310010190</v>
      </c>
      <c r="SR32" s="222">
        <f t="shared" si="147"/>
        <v>63296559500</v>
      </c>
      <c r="SS32" s="222">
        <f t="shared" si="148"/>
        <v>63302623979</v>
      </c>
      <c r="ST32" s="222">
        <f t="shared" si="149"/>
        <v>63299758770</v>
      </c>
      <c r="SU32" s="222">
        <f t="shared" si="150"/>
        <v>63306841485</v>
      </c>
      <c r="SV32" s="222">
        <f t="shared" si="151"/>
        <v>63293121158</v>
      </c>
      <c r="SW32" s="222">
        <f t="shared" si="152"/>
        <v>63311458947</v>
      </c>
      <c r="SX32" s="222">
        <f t="shared" si="153"/>
        <v>63306195417</v>
      </c>
      <c r="SY32" s="222">
        <f t="shared" si="154"/>
        <v>63305286784</v>
      </c>
      <c r="SZ32" s="222">
        <f t="shared" si="155"/>
        <v>63301210773</v>
      </c>
      <c r="TA32" s="222">
        <f t="shared" si="156"/>
        <v>63312574743</v>
      </c>
      <c r="TB32" s="222">
        <f t="shared" si="157"/>
        <v>63345457291</v>
      </c>
      <c r="TC32" s="222">
        <f t="shared" si="99"/>
        <v>63325232738</v>
      </c>
      <c r="TD32" s="222">
        <f t="shared" si="158"/>
        <v>63326114359</v>
      </c>
      <c r="TE32" s="222">
        <f t="shared" si="159"/>
        <v>63311610227</v>
      </c>
      <c r="TF32" s="222">
        <f t="shared" si="160"/>
        <v>63309167859</v>
      </c>
      <c r="TG32" s="222">
        <f t="shared" si="161"/>
        <v>63306086715</v>
      </c>
      <c r="TQ32" s="374"/>
      <c r="TR32" s="374"/>
      <c r="TS32" s="375"/>
      <c r="TT32" s="374"/>
      <c r="TU32" s="374"/>
      <c r="TV32" s="374"/>
      <c r="TW32" s="254" t="s">
        <v>462</v>
      </c>
      <c r="UC32" s="374"/>
      <c r="UD32" s="374"/>
      <c r="UE32" s="375"/>
      <c r="UF32" s="374"/>
      <c r="UG32" s="374"/>
      <c r="UH32" s="374"/>
      <c r="UI32" s="254" t="s">
        <v>462</v>
      </c>
      <c r="VA32" s="252" t="s">
        <v>1898</v>
      </c>
      <c r="VI32" s="252" t="s">
        <v>1899</v>
      </c>
      <c r="VM32" s="369" t="s">
        <v>1419</v>
      </c>
      <c r="VN32" s="370">
        <f>IF(OR(PG42="",VK31=""),0,PG42*VK31)</f>
        <v>1.4460015425210346E-2</v>
      </c>
      <c r="VO32" s="370">
        <f>IF(OR(PG42="",VK31=""),0,(1-PG42)*VK31)</f>
        <v>0.1030749754766358</v>
      </c>
      <c r="VQ32" s="369" t="s">
        <v>1419</v>
      </c>
      <c r="VR32" s="370">
        <f>IF(OR(PG42="",VK31=""),0,PG42*VK31)</f>
        <v>1.4460015425210346E-2</v>
      </c>
      <c r="VS32" s="370">
        <f>IF(OR(PH42="",VK31=""),0,PH42*VK31)</f>
        <v>0.10328164728867048</v>
      </c>
      <c r="VT32" s="370">
        <f>IF(OR(PI42="",VK31=""),0,PI42*VK31)</f>
        <v>0</v>
      </c>
      <c r="WC32" s="239"/>
      <c r="WD32" s="239"/>
      <c r="WE32" s="239"/>
      <c r="WF32" s="239"/>
      <c r="WG32" s="239"/>
      <c r="WH32" s="239"/>
      <c r="WI32" s="239"/>
      <c r="WJ32" s="239"/>
      <c r="WK32" s="239"/>
      <c r="WL32" s="239"/>
      <c r="WM32" s="239"/>
      <c r="WN32" s="239"/>
      <c r="WO32" s="239"/>
      <c r="WP32" s="239"/>
      <c r="WQ32" s="239"/>
      <c r="WR32" s="239"/>
      <c r="WS32" s="239"/>
    </row>
    <row r="33" spans="28:617" x14ac:dyDescent="0.25">
      <c r="AB33" s="254">
        <v>3</v>
      </c>
      <c r="AC33" s="430" t="s">
        <v>1974</v>
      </c>
      <c r="AD33" s="430" t="s">
        <v>1964</v>
      </c>
      <c r="AE33" s="430">
        <v>0</v>
      </c>
      <c r="AF33" s="430">
        <v>0</v>
      </c>
      <c r="AG33" s="430">
        <v>3</v>
      </c>
      <c r="AH33" s="430" t="s">
        <v>1975</v>
      </c>
      <c r="AI33" s="430">
        <v>0</v>
      </c>
      <c r="AJ33" s="430">
        <v>1</v>
      </c>
      <c r="AK33" s="594">
        <v>2877884544</v>
      </c>
      <c r="AL33" s="594">
        <v>63313189768</v>
      </c>
      <c r="AM33" s="430">
        <v>17081158000</v>
      </c>
      <c r="AN33" s="430">
        <v>129000000</v>
      </c>
      <c r="AO33" s="430">
        <v>465959146</v>
      </c>
      <c r="AP33" s="430">
        <v>208994887</v>
      </c>
      <c r="AQ33" s="595">
        <v>3558605</v>
      </c>
      <c r="AR33" s="595">
        <v>994344</v>
      </c>
      <c r="AS33" s="594">
        <v>13496586123</v>
      </c>
      <c r="AT33" s="594">
        <v>10867919049</v>
      </c>
      <c r="AU33" s="430" t="s">
        <v>1974</v>
      </c>
      <c r="AV33" s="430" t="s">
        <v>1964</v>
      </c>
      <c r="AW33" s="430">
        <v>0</v>
      </c>
      <c r="AX33" s="430">
        <v>0</v>
      </c>
      <c r="AY33" s="430">
        <v>3</v>
      </c>
      <c r="AZ33" s="430" t="s">
        <v>1975</v>
      </c>
      <c r="BA33" s="430">
        <v>0</v>
      </c>
      <c r="BB33" s="430">
        <v>1</v>
      </c>
      <c r="BC33" s="430">
        <v>2878700768</v>
      </c>
      <c r="BD33" s="430">
        <v>63331069465</v>
      </c>
      <c r="BE33" s="430">
        <v>54643711599</v>
      </c>
      <c r="BF33" s="595">
        <v>6166556525</v>
      </c>
      <c r="BG33" s="430">
        <v>21524817644</v>
      </c>
      <c r="BH33" s="595">
        <v>380295</v>
      </c>
      <c r="BI33" s="430">
        <v>30304920039</v>
      </c>
      <c r="BJ33" s="430">
        <v>144508713</v>
      </c>
      <c r="BK33" s="430">
        <v>0</v>
      </c>
      <c r="BL33" s="430">
        <v>0</v>
      </c>
      <c r="BM33" s="430" t="s">
        <v>1974</v>
      </c>
      <c r="BN33" s="430" t="s">
        <v>1964</v>
      </c>
      <c r="BO33" s="430">
        <v>0</v>
      </c>
      <c r="BP33" s="430">
        <v>0</v>
      </c>
      <c r="BQ33" s="430">
        <v>3</v>
      </c>
      <c r="BR33" s="430" t="s">
        <v>1975</v>
      </c>
      <c r="BS33" s="430">
        <v>0</v>
      </c>
      <c r="BT33" s="430">
        <v>1</v>
      </c>
      <c r="BU33" s="430">
        <v>2877949408</v>
      </c>
      <c r="BV33" s="430">
        <v>63314380200</v>
      </c>
      <c r="BW33" s="594">
        <v>9925591838</v>
      </c>
      <c r="BX33" s="594">
        <v>11337117539</v>
      </c>
      <c r="BY33" s="430">
        <v>21183864469</v>
      </c>
      <c r="BZ33" s="430">
        <v>940223454</v>
      </c>
      <c r="CA33" s="430">
        <v>6951324276</v>
      </c>
      <c r="CB33" s="430">
        <v>119705693724</v>
      </c>
      <c r="CC33" s="430">
        <v>4918832334</v>
      </c>
      <c r="CD33" s="430">
        <v>74559303694</v>
      </c>
      <c r="CE33" s="430" t="s">
        <v>1974</v>
      </c>
      <c r="CF33" s="430" t="s">
        <v>1964</v>
      </c>
      <c r="CG33" s="430">
        <v>0</v>
      </c>
      <c r="CH33" s="430">
        <v>0</v>
      </c>
      <c r="CI33" s="430">
        <v>3</v>
      </c>
      <c r="CJ33" s="430" t="s">
        <v>1975</v>
      </c>
      <c r="CK33" s="430">
        <v>0</v>
      </c>
      <c r="CL33" s="430">
        <v>1</v>
      </c>
      <c r="CM33" s="430">
        <v>2878533344</v>
      </c>
      <c r="CN33" s="430">
        <v>63327522710</v>
      </c>
      <c r="CO33" s="430">
        <v>3633682</v>
      </c>
      <c r="CP33" s="430">
        <v>467786290</v>
      </c>
      <c r="CQ33" s="430">
        <v>452275418</v>
      </c>
      <c r="CR33" s="430">
        <v>466614821</v>
      </c>
      <c r="CS33" s="430">
        <v>73783434</v>
      </c>
      <c r="CT33" s="430">
        <v>1322202000</v>
      </c>
      <c r="CU33" s="430">
        <v>661101000</v>
      </c>
      <c r="CV33" s="430">
        <v>1068379</v>
      </c>
      <c r="CW33" s="430" t="s">
        <v>1974</v>
      </c>
      <c r="CX33" s="430" t="s">
        <v>1964</v>
      </c>
      <c r="CY33" s="430">
        <v>0</v>
      </c>
      <c r="CZ33" s="430">
        <v>0</v>
      </c>
      <c r="DA33" s="430">
        <v>3</v>
      </c>
      <c r="DB33" s="430" t="s">
        <v>1975</v>
      </c>
      <c r="DC33" s="430">
        <v>0</v>
      </c>
      <c r="DD33" s="430">
        <v>1</v>
      </c>
      <c r="DE33" s="430">
        <v>2877750272</v>
      </c>
      <c r="DF33" s="430">
        <v>63310201889</v>
      </c>
      <c r="DG33" s="430">
        <v>6025175000</v>
      </c>
      <c r="DH33" s="430">
        <v>3085138000</v>
      </c>
      <c r="DI33" s="430">
        <v>220367000</v>
      </c>
      <c r="DJ33" s="430">
        <v>3031479150</v>
      </c>
      <c r="DK33" s="430">
        <v>897635373</v>
      </c>
      <c r="DL33" s="430">
        <v>2902411009</v>
      </c>
      <c r="DM33" s="430">
        <v>897612009</v>
      </c>
      <c r="DN33" s="430">
        <v>5362041</v>
      </c>
      <c r="DO33" s="595" t="s">
        <v>1974</v>
      </c>
      <c r="DP33" s="595" t="s">
        <v>1964</v>
      </c>
      <c r="DQ33" s="595">
        <v>0</v>
      </c>
      <c r="DR33" s="595">
        <v>0</v>
      </c>
      <c r="DS33" s="595">
        <v>3</v>
      </c>
      <c r="DT33" s="595" t="s">
        <v>1975</v>
      </c>
      <c r="DU33" s="595">
        <v>0</v>
      </c>
      <c r="DV33" s="595">
        <v>1</v>
      </c>
      <c r="DW33" s="595">
        <v>2878590848</v>
      </c>
      <c r="DX33" s="595">
        <v>63328720203</v>
      </c>
      <c r="DY33" s="595">
        <v>457222044</v>
      </c>
      <c r="DZ33" s="595">
        <v>200009803</v>
      </c>
      <c r="EA33" s="595">
        <v>26501388</v>
      </c>
      <c r="EB33" s="430">
        <v>617530540</v>
      </c>
      <c r="EC33" s="595">
        <v>422229285</v>
      </c>
      <c r="ED33" s="595">
        <v>0</v>
      </c>
      <c r="EE33" s="595">
        <v>0</v>
      </c>
      <c r="EF33" s="595">
        <v>25377978474</v>
      </c>
      <c r="EG33" s="595" t="s">
        <v>1974</v>
      </c>
      <c r="EH33" s="595" t="s">
        <v>1964</v>
      </c>
      <c r="EI33" s="595">
        <v>0</v>
      </c>
      <c r="EJ33" s="595">
        <v>0</v>
      </c>
      <c r="EK33" s="595">
        <v>3</v>
      </c>
      <c r="EL33" s="595" t="s">
        <v>1975</v>
      </c>
      <c r="EM33" s="595">
        <v>0</v>
      </c>
      <c r="EN33" s="595">
        <v>1</v>
      </c>
      <c r="EO33" s="595">
        <v>2877881696</v>
      </c>
      <c r="EP33" s="595">
        <v>63313167616</v>
      </c>
      <c r="EQ33" s="595">
        <v>1191181161</v>
      </c>
      <c r="ER33" s="595">
        <v>368074935</v>
      </c>
      <c r="ES33" s="430">
        <v>962042442</v>
      </c>
      <c r="ET33" s="595">
        <v>5705699</v>
      </c>
      <c r="EU33" s="595">
        <v>17081158000</v>
      </c>
      <c r="EV33" s="595">
        <v>0</v>
      </c>
      <c r="EW33" s="595">
        <v>129000000</v>
      </c>
      <c r="EX33" s="595">
        <v>0</v>
      </c>
      <c r="EY33" s="595" t="s">
        <v>1974</v>
      </c>
      <c r="EZ33" s="595" t="s">
        <v>1964</v>
      </c>
      <c r="FA33" s="595">
        <v>0</v>
      </c>
      <c r="FB33" s="595">
        <v>0</v>
      </c>
      <c r="FC33" s="595">
        <v>3</v>
      </c>
      <c r="FD33" s="595" t="s">
        <v>1975</v>
      </c>
      <c r="FE33" s="595">
        <v>0</v>
      </c>
      <c r="FF33" s="595">
        <v>1</v>
      </c>
      <c r="FG33" s="595">
        <v>2878466976</v>
      </c>
      <c r="FH33" s="595">
        <v>63326023877</v>
      </c>
      <c r="FI33" s="595">
        <v>46833347</v>
      </c>
      <c r="FJ33" s="595">
        <v>6315129272</v>
      </c>
      <c r="FK33" s="595">
        <v>1887822115</v>
      </c>
      <c r="FL33" s="595">
        <v>667898928</v>
      </c>
      <c r="FM33" s="595">
        <v>7080649498</v>
      </c>
      <c r="FN33" s="595">
        <v>5883028190</v>
      </c>
      <c r="FO33" s="430">
        <v>296320464</v>
      </c>
      <c r="FP33" s="430">
        <v>798979574</v>
      </c>
      <c r="FQ33" s="595" t="s">
        <v>1974</v>
      </c>
      <c r="FR33" s="595" t="s">
        <v>1964</v>
      </c>
      <c r="FS33" s="595">
        <v>0</v>
      </c>
      <c r="FT33" s="595">
        <v>0</v>
      </c>
      <c r="FU33" s="595">
        <v>3</v>
      </c>
      <c r="FV33" s="595" t="s">
        <v>1975</v>
      </c>
      <c r="FW33" s="595">
        <v>0</v>
      </c>
      <c r="FX33" s="595">
        <v>1</v>
      </c>
      <c r="FY33" s="595">
        <v>2877914944</v>
      </c>
      <c r="FZ33" s="595">
        <v>63313893642</v>
      </c>
      <c r="GA33" s="595">
        <v>452269745</v>
      </c>
      <c r="GB33" s="595">
        <v>446907069</v>
      </c>
      <c r="GC33" s="595">
        <v>375035360</v>
      </c>
      <c r="GD33" s="595">
        <v>375035360</v>
      </c>
      <c r="GE33" s="595">
        <v>1750</v>
      </c>
      <c r="GF33" s="595">
        <v>2</v>
      </c>
      <c r="GG33" s="595">
        <v>466</v>
      </c>
      <c r="GH33" s="595">
        <v>1033198</v>
      </c>
      <c r="GI33" s="595" t="s">
        <v>1974</v>
      </c>
      <c r="GJ33" s="595" t="s">
        <v>1964</v>
      </c>
      <c r="GK33" s="595">
        <v>0</v>
      </c>
      <c r="GL33" s="595">
        <v>0</v>
      </c>
      <c r="GM33" s="595">
        <v>3</v>
      </c>
      <c r="GN33" s="595" t="s">
        <v>1975</v>
      </c>
      <c r="GO33" s="595">
        <v>0</v>
      </c>
      <c r="GP33" s="595">
        <v>1</v>
      </c>
      <c r="GQ33" s="595">
        <v>2878612192</v>
      </c>
      <c r="GR33" s="595">
        <v>63329248231</v>
      </c>
      <c r="GS33" s="595">
        <v>1101835000</v>
      </c>
      <c r="GT33" s="595">
        <v>86003000</v>
      </c>
      <c r="GU33" s="595">
        <v>0</v>
      </c>
      <c r="GV33" s="595">
        <v>0</v>
      </c>
      <c r="GW33" s="595">
        <v>0</v>
      </c>
      <c r="GX33" s="595">
        <v>8</v>
      </c>
      <c r="GY33" s="595">
        <v>521367032</v>
      </c>
      <c r="GZ33" s="595">
        <v>400468054</v>
      </c>
      <c r="HA33" s="595" t="s">
        <v>1974</v>
      </c>
      <c r="HB33" s="595" t="s">
        <v>1964</v>
      </c>
      <c r="HC33" s="595">
        <v>0</v>
      </c>
      <c r="HD33" s="595">
        <v>0</v>
      </c>
      <c r="HE33" s="595">
        <v>3</v>
      </c>
      <c r="HF33" s="595" t="s">
        <v>1975</v>
      </c>
      <c r="HG33" s="595">
        <v>0</v>
      </c>
      <c r="HH33" s="595">
        <v>1</v>
      </c>
      <c r="HI33" s="595">
        <v>2878008640</v>
      </c>
      <c r="HJ33" s="595">
        <v>63315957885</v>
      </c>
      <c r="HK33" s="595">
        <v>0</v>
      </c>
      <c r="HL33" s="595">
        <v>0</v>
      </c>
      <c r="HM33" s="595">
        <v>0</v>
      </c>
      <c r="HN33" s="595">
        <v>1085738009</v>
      </c>
      <c r="HO33" s="595">
        <v>129004019</v>
      </c>
      <c r="HP33" s="595">
        <v>37627017</v>
      </c>
      <c r="HQ33" s="595">
        <v>258007019</v>
      </c>
      <c r="HR33" s="595">
        <v>0</v>
      </c>
      <c r="HS33" s="595" t="s">
        <v>1974</v>
      </c>
      <c r="HT33" s="595" t="s">
        <v>1964</v>
      </c>
      <c r="HU33" s="595">
        <v>0</v>
      </c>
      <c r="HV33" s="595">
        <v>0</v>
      </c>
      <c r="HW33" s="595">
        <v>3</v>
      </c>
      <c r="HX33" s="595" t="s">
        <v>1975</v>
      </c>
      <c r="HY33" s="595">
        <v>0</v>
      </c>
      <c r="HZ33" s="595">
        <v>1</v>
      </c>
      <c r="IA33" s="595">
        <v>2878743136</v>
      </c>
      <c r="IB33" s="595">
        <v>63332095680</v>
      </c>
      <c r="IC33" s="595">
        <v>16307661165</v>
      </c>
      <c r="ID33" s="595">
        <v>1325478325</v>
      </c>
      <c r="IE33" s="595">
        <v>0</v>
      </c>
      <c r="IF33" s="595">
        <v>16307643140</v>
      </c>
      <c r="IG33" s="595">
        <v>14285926</v>
      </c>
      <c r="IH33" s="595">
        <v>400474553</v>
      </c>
      <c r="II33" s="595">
        <v>0</v>
      </c>
      <c r="IJ33" s="595">
        <v>0</v>
      </c>
      <c r="IK33" s="595" t="s">
        <v>1974</v>
      </c>
      <c r="IL33" s="595" t="s">
        <v>1964</v>
      </c>
      <c r="IM33" s="595">
        <v>0</v>
      </c>
      <c r="IN33" s="595">
        <v>0</v>
      </c>
      <c r="IO33" s="595">
        <v>3</v>
      </c>
      <c r="IP33" s="595" t="s">
        <v>1975</v>
      </c>
      <c r="IQ33" s="595">
        <v>0</v>
      </c>
      <c r="IR33" s="595">
        <v>1</v>
      </c>
      <c r="IS33" s="595">
        <v>2878468192</v>
      </c>
      <c r="IT33" s="595">
        <v>63326085759</v>
      </c>
      <c r="IU33" s="595">
        <v>0</v>
      </c>
      <c r="IV33" s="595">
        <v>0</v>
      </c>
      <c r="IW33" s="595">
        <v>827734000</v>
      </c>
      <c r="IX33" s="595">
        <v>0</v>
      </c>
      <c r="IY33" s="595">
        <v>553630000</v>
      </c>
      <c r="IZ33" s="595">
        <v>257994001</v>
      </c>
      <c r="JA33" s="595">
        <v>0</v>
      </c>
      <c r="JB33" s="595">
        <v>0</v>
      </c>
      <c r="JC33" s="595" t="s">
        <v>1974</v>
      </c>
      <c r="JD33" s="595" t="s">
        <v>1964</v>
      </c>
      <c r="JE33" s="595">
        <v>0</v>
      </c>
      <c r="JF33" s="595">
        <v>0</v>
      </c>
      <c r="JG33" s="595">
        <v>3</v>
      </c>
      <c r="JH33" s="595" t="s">
        <v>1975</v>
      </c>
      <c r="JI33" s="595">
        <v>0</v>
      </c>
      <c r="JJ33" s="595">
        <v>1</v>
      </c>
      <c r="JK33" s="595">
        <v>2878428928</v>
      </c>
      <c r="JL33" s="595">
        <v>63325218532</v>
      </c>
      <c r="JM33" s="595">
        <v>447882185</v>
      </c>
      <c r="JN33" s="595">
        <v>0</v>
      </c>
      <c r="JO33" s="595">
        <v>0</v>
      </c>
      <c r="JP33" s="595">
        <v>245452550</v>
      </c>
      <c r="JQ33" s="595">
        <v>0</v>
      </c>
      <c r="JR33" s="595">
        <v>0</v>
      </c>
      <c r="JS33" s="595">
        <v>162647607</v>
      </c>
      <c r="JT33" s="595">
        <v>0</v>
      </c>
      <c r="JU33" s="595" t="s">
        <v>1974</v>
      </c>
      <c r="JV33" s="595" t="s">
        <v>1964</v>
      </c>
      <c r="JW33" s="595">
        <v>0</v>
      </c>
      <c r="JX33" s="595">
        <v>0</v>
      </c>
      <c r="JY33" s="595">
        <v>3</v>
      </c>
      <c r="JZ33" s="595" t="s">
        <v>1975</v>
      </c>
      <c r="KA33" s="595">
        <v>0</v>
      </c>
      <c r="KB33" s="595">
        <v>1</v>
      </c>
      <c r="KC33" s="595">
        <v>2878647904</v>
      </c>
      <c r="KD33" s="595">
        <v>63329936886</v>
      </c>
      <c r="KE33" s="595">
        <v>193500000</v>
      </c>
      <c r="KF33" s="595">
        <v>3903199352</v>
      </c>
      <c r="KG33" s="595">
        <v>1192111550</v>
      </c>
      <c r="KH33" s="595">
        <v>56031552244</v>
      </c>
      <c r="KI33" s="595">
        <v>14318496490</v>
      </c>
      <c r="KJ33" s="595">
        <v>3673179320</v>
      </c>
      <c r="KK33" s="595">
        <v>972457905</v>
      </c>
      <c r="KL33" s="595">
        <v>0</v>
      </c>
      <c r="KM33" s="595" t="s">
        <v>1974</v>
      </c>
      <c r="KN33" s="595" t="s">
        <v>1964</v>
      </c>
      <c r="KO33" s="595">
        <v>0</v>
      </c>
      <c r="KP33" s="595">
        <v>0</v>
      </c>
      <c r="KQ33" s="595">
        <v>3</v>
      </c>
      <c r="KR33" s="595" t="s">
        <v>1975</v>
      </c>
      <c r="KS33" s="595">
        <v>0</v>
      </c>
      <c r="KT33" s="595">
        <v>1</v>
      </c>
      <c r="KU33" s="595">
        <v>2878158880</v>
      </c>
      <c r="KV33" s="595">
        <v>63319264796</v>
      </c>
      <c r="KW33" s="595">
        <v>5594778872</v>
      </c>
      <c r="KX33" s="595">
        <v>42546943</v>
      </c>
      <c r="KY33" s="595">
        <v>9689267</v>
      </c>
      <c r="KZ33" s="595">
        <v>13496559710</v>
      </c>
      <c r="LA33" s="595">
        <v>2506645359</v>
      </c>
      <c r="LB33" s="595">
        <v>720346</v>
      </c>
      <c r="LC33" s="595">
        <v>13370</v>
      </c>
      <c r="LD33" s="595">
        <v>15362</v>
      </c>
      <c r="LE33" s="595" t="s">
        <v>1974</v>
      </c>
      <c r="LF33" s="595" t="s">
        <v>1964</v>
      </c>
      <c r="LG33" s="595">
        <v>0</v>
      </c>
      <c r="LH33" s="595">
        <v>0</v>
      </c>
      <c r="LI33" s="595">
        <v>3</v>
      </c>
      <c r="LJ33" s="595" t="s">
        <v>1975</v>
      </c>
      <c r="LK33" s="595">
        <v>0</v>
      </c>
      <c r="LL33" s="595">
        <v>1</v>
      </c>
      <c r="LM33" s="595">
        <v>2877787488</v>
      </c>
      <c r="LN33" s="595">
        <v>63311108406</v>
      </c>
      <c r="LO33" s="595">
        <v>5542613630</v>
      </c>
      <c r="LP33" s="595">
        <v>959</v>
      </c>
      <c r="LQ33" s="595">
        <v>0</v>
      </c>
      <c r="LR33" s="595">
        <v>2506803962</v>
      </c>
      <c r="LS33" s="595">
        <v>178</v>
      </c>
      <c r="LT33" s="595">
        <v>0</v>
      </c>
      <c r="LU33" s="595">
        <v>5542436680</v>
      </c>
      <c r="LV33" s="595">
        <v>31026</v>
      </c>
      <c r="MC33" s="252" t="s">
        <v>447</v>
      </c>
      <c r="MD33" s="371"/>
      <c r="ME33" s="372"/>
      <c r="MF33" s="372"/>
      <c r="MG33" s="372"/>
      <c r="MH33" s="372"/>
      <c r="MI33" s="372"/>
      <c r="MJ33" s="372"/>
      <c r="MK33" s="372"/>
      <c r="ML33" s="372"/>
      <c r="MM33" s="372"/>
      <c r="MN33" s="372"/>
      <c r="MO33" s="372"/>
      <c r="MP33" s="372"/>
      <c r="MQ33" s="372"/>
      <c r="MR33" s="372"/>
      <c r="MS33" s="372"/>
      <c r="MT33" s="373"/>
      <c r="NA33" s="424">
        <f t="shared" si="100"/>
        <v>0</v>
      </c>
      <c r="NB33" s="424">
        <f t="shared" si="101"/>
        <v>3</v>
      </c>
      <c r="NC33" s="207">
        <f t="shared" si="102"/>
        <v>28.778845440000001</v>
      </c>
      <c r="ND33" s="208">
        <f t="shared" si="103"/>
        <v>2.3786093901062348</v>
      </c>
      <c r="NE33" s="209">
        <f t="shared" si="15"/>
        <v>3.3787217697063138E-2</v>
      </c>
      <c r="NF33" s="208">
        <f t="shared" si="16"/>
        <v>5.9635011370351894</v>
      </c>
      <c r="NG33" s="210"/>
      <c r="NH33" s="211">
        <f t="shared" si="104"/>
        <v>13496586123</v>
      </c>
      <c r="NI33" s="208">
        <f t="shared" si="17"/>
        <v>68453632000</v>
      </c>
      <c r="NJ33" s="212">
        <f t="shared" si="105"/>
        <v>0.80523466823062784</v>
      </c>
      <c r="NK33" s="213">
        <f t="shared" si="106"/>
        <v>0.9981155127020872</v>
      </c>
      <c r="NL33" s="214">
        <f t="shared" si="18"/>
        <v>1</v>
      </c>
      <c r="NM33" s="208">
        <f t="shared" si="107"/>
        <v>0.21317179204611006</v>
      </c>
      <c r="NN33" s="208">
        <f t="shared" si="19"/>
        <v>0.46897594106541057</v>
      </c>
      <c r="NO33" s="215">
        <f t="shared" si="20"/>
        <v>1.7281329873409553E-4</v>
      </c>
      <c r="NP33" s="216">
        <f t="shared" si="108"/>
        <v>0</v>
      </c>
      <c r="NQ33" s="215">
        <f t="shared" si="109"/>
        <v>0.19186903736044006</v>
      </c>
      <c r="NR33" s="215">
        <f t="shared" si="110"/>
        <v>8.8748613900942075E-2</v>
      </c>
      <c r="NS33" s="215">
        <f t="shared" si="21"/>
        <v>1.2042735984728105E-2</v>
      </c>
      <c r="NT33" s="215">
        <f t="shared" si="22"/>
        <v>3.8586408795409761E-3</v>
      </c>
      <c r="NU33" s="215">
        <f t="shared" si="23"/>
        <v>7.8845531900956958E-2</v>
      </c>
      <c r="NV33" s="215">
        <f t="shared" si="111"/>
        <v>9.4057501579582716</v>
      </c>
      <c r="NW33" s="215">
        <f t="shared" si="24"/>
        <v>2.2388961845876945</v>
      </c>
      <c r="NX33" s="215">
        <f t="shared" si="25"/>
        <v>11.532237277100167</v>
      </c>
      <c r="NY33" s="215">
        <f t="shared" si="26"/>
        <v>2.5927784109016161E-3</v>
      </c>
      <c r="NZ33" s="215">
        <f t="shared" si="27"/>
        <v>1.210463106063814</v>
      </c>
      <c r="OA33" s="215">
        <f t="shared" si="28"/>
        <v>0</v>
      </c>
      <c r="OB33" s="215">
        <f t="shared" si="29"/>
        <v>6.5667514401579488E-2</v>
      </c>
      <c r="OC33" s="215">
        <f t="shared" si="30"/>
        <v>0</v>
      </c>
      <c r="OD33" s="215">
        <f t="shared" si="31"/>
        <v>2.8022008570070893</v>
      </c>
      <c r="OE33" s="215">
        <f t="shared" si="32"/>
        <v>0.54129543071121033</v>
      </c>
      <c r="OF33" s="215">
        <f t="shared" si="33"/>
        <v>0.16726026820938428</v>
      </c>
      <c r="OG33" s="215">
        <f t="shared" si="34"/>
        <v>0.43717042802094369</v>
      </c>
      <c r="OH33" s="215">
        <f t="shared" si="35"/>
        <v>0</v>
      </c>
      <c r="OI33" s="215">
        <f t="shared" si="112"/>
        <v>28.778845440000001</v>
      </c>
      <c r="OJ33" s="218">
        <f t="shared" si="113"/>
        <v>0.10979060766356519</v>
      </c>
      <c r="OK33" s="218">
        <f t="shared" si="114"/>
        <v>7.7689022911733407E-2</v>
      </c>
      <c r="OL33" s="218">
        <f t="shared" si="115"/>
        <v>4.6792842161628833E-3</v>
      </c>
      <c r="OM33" s="218">
        <f t="shared" si="116"/>
        <v>1.2616923108134526E-2</v>
      </c>
      <c r="ON33" s="217">
        <f t="shared" si="36"/>
        <v>0.16791374494889236</v>
      </c>
      <c r="OO33" s="210"/>
      <c r="OP33" s="210"/>
      <c r="OQ33" s="218">
        <f t="shared" si="117"/>
        <v>0.11181263348782096</v>
      </c>
      <c r="OR33" s="218">
        <f t="shared" si="118"/>
        <v>9.2900640681732663E-2</v>
      </c>
      <c r="OS33" s="218">
        <f t="shared" si="37"/>
        <v>1</v>
      </c>
      <c r="OT33" s="218">
        <f t="shared" si="38"/>
        <v>0.94737046608895448</v>
      </c>
      <c r="OU33" s="209">
        <f t="shared" si="39"/>
        <v>0.95338988657107004</v>
      </c>
      <c r="OV33" s="209">
        <f t="shared" si="40"/>
        <v>0.92025169009757801</v>
      </c>
      <c r="OW33" s="209">
        <f t="shared" si="119"/>
        <v>1.4850077518408685E-2</v>
      </c>
      <c r="OX33" s="219">
        <f t="shared" si="41"/>
        <v>3.4527249761765554E-8</v>
      </c>
      <c r="OY33" s="208">
        <f t="shared" si="120"/>
        <v>3929114523</v>
      </c>
      <c r="OZ33" s="208">
        <f t="shared" si="42"/>
        <v>467786290</v>
      </c>
      <c r="PA33" s="209">
        <f t="shared" si="121"/>
        <v>0.11905641519525645</v>
      </c>
      <c r="PB33" s="209">
        <f>IF(OR($CQ33="",$OZ33=""),"",IF($OZ33=0,0,
GuardLimitUpper(
  ($OZ33-$CQ33)/$OZ33,
  data_GuardLimitFlag,
  1)
))</f>
        <v>3.3158030347576029E-2</v>
      </c>
      <c r="PC33" s="209">
        <f t="shared" si="43"/>
        <v>0.9553658979616525</v>
      </c>
      <c r="PD33" s="209">
        <f t="shared" si="44"/>
        <v>1.1476071690771443E-2</v>
      </c>
      <c r="PE33" s="208">
        <f t="shared" si="122"/>
        <v>461406197</v>
      </c>
      <c r="PF33" s="209">
        <f t="shared" si="123"/>
        <v>0.11743261600013179</v>
      </c>
      <c r="PG33" s="209">
        <f t="shared" si="45"/>
        <v>0.15794089767223202</v>
      </c>
      <c r="PH33" s="209">
        <f t="shared" si="46"/>
        <v>0.8443853289350004</v>
      </c>
      <c r="PI33" s="209">
        <f t="shared" si="47"/>
        <v>0</v>
      </c>
      <c r="PJ33" s="220">
        <f t="shared" si="48"/>
        <v>4.4539297334194808E-7</v>
      </c>
      <c r="PK33" s="220">
        <f t="shared" si="49"/>
        <v>5.0902054096222632E-10</v>
      </c>
      <c r="PL33" s="221">
        <f t="shared" si="124"/>
        <v>220366990</v>
      </c>
      <c r="PM33" s="221">
        <f t="shared" si="50"/>
        <v>0</v>
      </c>
      <c r="PN33" s="221">
        <f t="shared" si="125"/>
        <v>1322202000</v>
      </c>
      <c r="PO33" s="221">
        <f t="shared" si="51"/>
        <v>0</v>
      </c>
      <c r="PP33" s="221">
        <f t="shared" si="52"/>
        <v>1101835000</v>
      </c>
      <c r="PQ33" s="529">
        <f t="shared" si="126"/>
        <v>0</v>
      </c>
      <c r="PR33" s="221">
        <f t="shared" si="53"/>
        <v>0</v>
      </c>
      <c r="PS33" s="221">
        <f t="shared" si="54"/>
        <v>387075160</v>
      </c>
      <c r="PT33" s="221">
        <f t="shared" si="127"/>
        <v>21503990</v>
      </c>
      <c r="PU33" s="221">
        <f t="shared" si="55"/>
        <v>0</v>
      </c>
      <c r="PV33" s="221">
        <f t="shared" si="128"/>
        <v>661101000</v>
      </c>
      <c r="PW33" s="221">
        <f t="shared" si="56"/>
        <v>86003000</v>
      </c>
      <c r="PX33" s="221">
        <f t="shared" si="162"/>
        <v>0</v>
      </c>
      <c r="PY33" s="221">
        <f t="shared" si="57"/>
        <v>129027383</v>
      </c>
      <c r="PZ33" s="221">
        <f t="shared" si="58"/>
        <v>0</v>
      </c>
      <c r="QA33" s="221">
        <f t="shared" si="59"/>
        <v>0</v>
      </c>
      <c r="QB33" s="221">
        <f t="shared" si="60"/>
        <v>5362041</v>
      </c>
      <c r="QC33" s="221">
        <f t="shared" si="61"/>
        <v>8</v>
      </c>
      <c r="QD33" s="221">
        <f t="shared" si="129"/>
        <v>2719670000</v>
      </c>
      <c r="QE33" s="221">
        <f t="shared" si="130"/>
        <v>3085138000</v>
      </c>
      <c r="QF33" s="221">
        <f t="shared" si="131"/>
        <v>220367000</v>
      </c>
      <c r="QG33" s="222">
        <f t="shared" si="62"/>
        <v>0</v>
      </c>
      <c r="QH33" s="222">
        <f t="shared" si="63"/>
        <v>1085738009</v>
      </c>
      <c r="QI33" s="222">
        <f t="shared" si="64"/>
        <v>521367032</v>
      </c>
      <c r="QJ33" s="222">
        <f t="shared" si="65"/>
        <v>400468054</v>
      </c>
      <c r="QK33" s="222">
        <f t="shared" si="66"/>
        <v>37627017</v>
      </c>
      <c r="QL33" s="222">
        <f t="shared" si="132"/>
        <v>0</v>
      </c>
      <c r="QM33" s="222">
        <f>IF(OR($O$8="Lv2",$O$8="Lv3",$O$8="Lv4"),IF(OR($AS33="",COUNT($PL33:$QL33)=0),"",
GuardLimitLower(
  $AS33-SUM($PL33:$QL33),
  data_GuardLimitFlag,
  0)
),"")</f>
        <v>1491734439</v>
      </c>
      <c r="QN33" s="222">
        <f t="shared" si="133"/>
        <v>13496586123</v>
      </c>
      <c r="QO33" s="222">
        <f t="shared" si="134"/>
        <v>68453632000</v>
      </c>
      <c r="QP33" s="222">
        <f t="shared" si="135"/>
        <v>0</v>
      </c>
      <c r="QQ33" s="222">
        <f t="shared" si="136"/>
        <v>0</v>
      </c>
      <c r="QR33" s="222">
        <f t="shared" si="67"/>
        <v>2.3786093901062348</v>
      </c>
      <c r="QS33" s="209">
        <f t="shared" si="68"/>
        <v>3.6586673939661307E-2</v>
      </c>
      <c r="QT33" s="209">
        <f t="shared" si="69"/>
        <v>0.73801075975773278</v>
      </c>
      <c r="QU33" s="209">
        <f t="shared" si="70"/>
        <v>0.22540256630260591</v>
      </c>
      <c r="QV33" s="208">
        <f t="shared" si="71"/>
        <v>16307661165</v>
      </c>
      <c r="QW33" s="208">
        <f t="shared" si="72"/>
        <v>553630000</v>
      </c>
      <c r="QX33" s="208">
        <f t="shared" si="73"/>
        <v>257994001</v>
      </c>
      <c r="QY33" s="208">
        <f t="shared" si="74"/>
        <v>827734000</v>
      </c>
      <c r="QZ33" s="208">
        <f t="shared" si="75"/>
        <v>0</v>
      </c>
      <c r="RA33" s="209">
        <f t="shared" si="137"/>
        <v>0.99999889469128544</v>
      </c>
      <c r="RB33" s="209">
        <f t="shared" si="76"/>
        <v>3.5673072689088953E-2</v>
      </c>
      <c r="RC33" s="209">
        <f t="shared" si="77"/>
        <v>0.52323764524572403</v>
      </c>
      <c r="RD33" s="209">
        <f t="shared" si="78"/>
        <v>0</v>
      </c>
      <c r="RE33" s="209">
        <f t="shared" si="79"/>
        <v>0</v>
      </c>
      <c r="RF33" s="209">
        <f t="shared" si="80"/>
        <v>0.28674954839196903</v>
      </c>
      <c r="RG33" s="209">
        <f t="shared" si="81"/>
        <v>0</v>
      </c>
      <c r="RH33" s="209">
        <f t="shared" si="82"/>
        <v>0</v>
      </c>
      <c r="RI33" s="209">
        <f t="shared" si="83"/>
        <v>0.19001280636230694</v>
      </c>
      <c r="RJ33" s="134"/>
      <c r="RK33" s="134"/>
      <c r="RL33" s="134"/>
      <c r="RM33" s="134"/>
      <c r="RN33" s="134"/>
      <c r="RO33" s="134"/>
      <c r="RP33" s="134"/>
      <c r="RQ33" s="134"/>
      <c r="RR33" s="222">
        <f t="shared" si="84"/>
        <v>1.7554920429775238</v>
      </c>
      <c r="RS33" s="224"/>
      <c r="RT33" s="224"/>
      <c r="RU33" s="208">
        <f t="shared" si="138"/>
        <v>28.778845440000001</v>
      </c>
      <c r="RV33" s="208">
        <f t="shared" si="139"/>
        <v>1</v>
      </c>
      <c r="RW33" s="208">
        <f t="shared" si="140"/>
        <v>1.0002824008246232</v>
      </c>
      <c r="RX33" s="208">
        <f t="shared" si="141"/>
        <v>1.0000188022749188</v>
      </c>
      <c r="RY33" s="208">
        <f t="shared" si="142"/>
        <v>1.0002263816126231</v>
      </c>
      <c r="RZ33" s="208">
        <f t="shared" si="85"/>
        <v>0.99995280795343044</v>
      </c>
      <c r="SA33" s="208">
        <f t="shared" si="86"/>
        <v>1.0002452954124867</v>
      </c>
      <c r="SB33" s="208">
        <f t="shared" si="87"/>
        <v>0.99999965012029746</v>
      </c>
      <c r="SC33" s="208">
        <f t="shared" si="88"/>
        <v>1.0002027082989662</v>
      </c>
      <c r="SD33" s="208">
        <f t="shared" si="89"/>
        <v>1.0000111173359387</v>
      </c>
      <c r="SE33" s="208">
        <f t="shared" si="90"/>
        <v>1.0002536353492668</v>
      </c>
      <c r="SF33" s="208">
        <f t="shared" si="91"/>
        <v>1.0000437210162707</v>
      </c>
      <c r="SG33" s="208">
        <f t="shared" si="92"/>
        <v>1.0002986093745914</v>
      </c>
      <c r="SH33" s="208">
        <f t="shared" si="93"/>
        <v>1.0001899882795999</v>
      </c>
      <c r="SI33" s="208">
        <f t="shared" si="94"/>
        <v>1.0002036856940435</v>
      </c>
      <c r="SJ33" s="208">
        <f t="shared" si="95"/>
        <v>1.0002645123087521</v>
      </c>
      <c r="SK33" s="208">
        <f t="shared" si="96"/>
        <v>1.0000959520128785</v>
      </c>
      <c r="SL33" s="208">
        <f t="shared" si="97"/>
        <v>0.99996712593366999</v>
      </c>
      <c r="SM33" s="222">
        <f t="shared" si="143"/>
        <v>1</v>
      </c>
      <c r="SN33" s="225">
        <f t="shared" si="98"/>
        <v>28.778845440000001</v>
      </c>
      <c r="SO33" s="209">
        <f t="shared" si="144"/>
        <v>0.99981296424588784</v>
      </c>
      <c r="SP33" s="209">
        <f t="shared" si="145"/>
        <v>0.99999983729221431</v>
      </c>
      <c r="SQ33" s="222">
        <f t="shared" si="146"/>
        <v>63313189768</v>
      </c>
      <c r="SR33" s="222">
        <f t="shared" si="147"/>
        <v>63331069465</v>
      </c>
      <c r="SS33" s="222">
        <f t="shared" si="148"/>
        <v>63314380200</v>
      </c>
      <c r="ST33" s="222">
        <f t="shared" si="149"/>
        <v>63327522710</v>
      </c>
      <c r="SU33" s="222">
        <f t="shared" si="150"/>
        <v>63310201889</v>
      </c>
      <c r="SV33" s="222">
        <f t="shared" si="151"/>
        <v>63328720203</v>
      </c>
      <c r="SW33" s="222">
        <f t="shared" si="152"/>
        <v>63313167616</v>
      </c>
      <c r="SX33" s="222">
        <f t="shared" si="153"/>
        <v>63326023877</v>
      </c>
      <c r="SY33" s="222">
        <f t="shared" si="154"/>
        <v>63313893642</v>
      </c>
      <c r="SZ33" s="222">
        <f t="shared" si="155"/>
        <v>63329248231</v>
      </c>
      <c r="TA33" s="222">
        <f t="shared" si="156"/>
        <v>63315957885</v>
      </c>
      <c r="TB33" s="222">
        <f t="shared" si="157"/>
        <v>63332095680</v>
      </c>
      <c r="TC33" s="222">
        <f t="shared" si="99"/>
        <v>63325218532</v>
      </c>
      <c r="TD33" s="222">
        <f t="shared" si="158"/>
        <v>63326085759</v>
      </c>
      <c r="TE33" s="222">
        <f t="shared" si="159"/>
        <v>63329936886</v>
      </c>
      <c r="TF33" s="222">
        <f t="shared" si="160"/>
        <v>63319264796</v>
      </c>
      <c r="TG33" s="222">
        <f t="shared" si="161"/>
        <v>63311108406</v>
      </c>
      <c r="TQ33" s="360"/>
      <c r="TR33" s="376"/>
      <c r="TS33" s="374"/>
      <c r="TT33" s="374"/>
      <c r="TU33" s="374"/>
      <c r="TV33" s="374"/>
      <c r="TW33" s="254" t="s">
        <v>463</v>
      </c>
      <c r="UC33" s="360"/>
      <c r="UD33" s="376"/>
      <c r="UE33" s="374"/>
      <c r="UF33" s="374"/>
      <c r="UG33" s="374"/>
      <c r="UH33" s="374"/>
      <c r="UI33" s="254" t="s">
        <v>463</v>
      </c>
      <c r="WC33" s="239"/>
      <c r="WD33" s="239"/>
      <c r="WE33" s="239"/>
      <c r="WF33" s="239"/>
      <c r="WG33" s="239"/>
      <c r="WH33" s="239"/>
      <c r="WI33" s="239"/>
      <c r="WJ33" s="239"/>
      <c r="WK33" s="239"/>
      <c r="WL33" s="239"/>
      <c r="WM33" s="239"/>
      <c r="WN33" s="239"/>
      <c r="WO33" s="239"/>
      <c r="WP33" s="239"/>
      <c r="WQ33" s="239"/>
      <c r="WR33" s="239"/>
      <c r="WS33" s="239"/>
    </row>
    <row r="34" spans="28:617" x14ac:dyDescent="0.25">
      <c r="AB34" s="254">
        <v>4</v>
      </c>
      <c r="AC34" s="430" t="s">
        <v>1974</v>
      </c>
      <c r="AD34" s="430" t="s">
        <v>1964</v>
      </c>
      <c r="AE34" s="430">
        <v>0</v>
      </c>
      <c r="AF34" s="430">
        <v>0</v>
      </c>
      <c r="AG34" s="430">
        <v>4</v>
      </c>
      <c r="AH34" s="430" t="s">
        <v>1975</v>
      </c>
      <c r="AI34" s="430">
        <v>0</v>
      </c>
      <c r="AJ34" s="430">
        <v>1</v>
      </c>
      <c r="AK34" s="594">
        <v>2874225312</v>
      </c>
      <c r="AL34" s="594">
        <v>63232710354</v>
      </c>
      <c r="AM34" s="430">
        <v>17081158000</v>
      </c>
      <c r="AN34" s="430">
        <v>129000000</v>
      </c>
      <c r="AO34" s="430">
        <v>465702433</v>
      </c>
      <c r="AP34" s="430">
        <v>206235539</v>
      </c>
      <c r="AQ34" s="595">
        <v>3303370</v>
      </c>
      <c r="AR34" s="595">
        <v>550991</v>
      </c>
      <c r="AS34" s="594">
        <v>13496582866</v>
      </c>
      <c r="AT34" s="594">
        <v>10867919049</v>
      </c>
      <c r="AU34" s="430" t="s">
        <v>1974</v>
      </c>
      <c r="AV34" s="430" t="s">
        <v>1964</v>
      </c>
      <c r="AW34" s="430">
        <v>0</v>
      </c>
      <c r="AX34" s="430">
        <v>0</v>
      </c>
      <c r="AY34" s="430">
        <v>4</v>
      </c>
      <c r="AZ34" s="430" t="s">
        <v>1975</v>
      </c>
      <c r="BA34" s="430">
        <v>0</v>
      </c>
      <c r="BB34" s="430">
        <v>1</v>
      </c>
      <c r="BC34" s="430">
        <v>2874821824</v>
      </c>
      <c r="BD34" s="430">
        <v>63245755905</v>
      </c>
      <c r="BE34" s="430">
        <v>54555070604</v>
      </c>
      <c r="BF34" s="595">
        <v>6169764696</v>
      </c>
      <c r="BG34" s="430">
        <v>21424963429</v>
      </c>
      <c r="BH34" s="595">
        <v>363104</v>
      </c>
      <c r="BI34" s="430">
        <v>30314616138</v>
      </c>
      <c r="BJ34" s="430">
        <v>143900774</v>
      </c>
      <c r="BK34" s="430">
        <v>0</v>
      </c>
      <c r="BL34" s="430">
        <v>0</v>
      </c>
      <c r="BM34" s="430" t="s">
        <v>1974</v>
      </c>
      <c r="BN34" s="430" t="s">
        <v>1964</v>
      </c>
      <c r="BO34" s="430">
        <v>0</v>
      </c>
      <c r="BP34" s="430">
        <v>0</v>
      </c>
      <c r="BQ34" s="430">
        <v>4</v>
      </c>
      <c r="BR34" s="430" t="s">
        <v>1975</v>
      </c>
      <c r="BS34" s="430">
        <v>0</v>
      </c>
      <c r="BT34" s="430">
        <v>1</v>
      </c>
      <c r="BU34" s="430">
        <v>2874541088</v>
      </c>
      <c r="BV34" s="430">
        <v>63239403638</v>
      </c>
      <c r="BW34" s="594">
        <v>9915102029</v>
      </c>
      <c r="BX34" s="594">
        <v>11341122722</v>
      </c>
      <c r="BY34" s="430">
        <v>21174815874</v>
      </c>
      <c r="BZ34" s="430">
        <v>939281627</v>
      </c>
      <c r="CA34" s="430">
        <v>6951070410</v>
      </c>
      <c r="CB34" s="430">
        <v>119885080456</v>
      </c>
      <c r="CC34" s="430">
        <v>4919036313</v>
      </c>
      <c r="CD34" s="430">
        <v>74561677038</v>
      </c>
      <c r="CE34" s="430" t="s">
        <v>1974</v>
      </c>
      <c r="CF34" s="430" t="s">
        <v>1964</v>
      </c>
      <c r="CG34" s="430">
        <v>0</v>
      </c>
      <c r="CH34" s="430">
        <v>0</v>
      </c>
      <c r="CI34" s="430">
        <v>4</v>
      </c>
      <c r="CJ34" s="430" t="s">
        <v>1975</v>
      </c>
      <c r="CK34" s="430">
        <v>0</v>
      </c>
      <c r="CL34" s="430">
        <v>1</v>
      </c>
      <c r="CM34" s="430">
        <v>2874490336</v>
      </c>
      <c r="CN34" s="430">
        <v>63238554037</v>
      </c>
      <c r="CO34" s="430">
        <v>3403022</v>
      </c>
      <c r="CP34" s="430">
        <v>467737451</v>
      </c>
      <c r="CQ34" s="430">
        <v>452904448</v>
      </c>
      <c r="CR34" s="430">
        <v>466028406</v>
      </c>
      <c r="CS34" s="430">
        <v>67798500</v>
      </c>
      <c r="CT34" s="430">
        <v>1322202000</v>
      </c>
      <c r="CU34" s="430">
        <v>661101000</v>
      </c>
      <c r="CV34" s="430">
        <v>561039</v>
      </c>
      <c r="CW34" s="430" t="s">
        <v>1974</v>
      </c>
      <c r="CX34" s="430" t="s">
        <v>1964</v>
      </c>
      <c r="CY34" s="430">
        <v>0</v>
      </c>
      <c r="CZ34" s="430">
        <v>0</v>
      </c>
      <c r="DA34" s="430">
        <v>4</v>
      </c>
      <c r="DB34" s="430" t="s">
        <v>1975</v>
      </c>
      <c r="DC34" s="430">
        <v>0</v>
      </c>
      <c r="DD34" s="430">
        <v>1</v>
      </c>
      <c r="DE34" s="430">
        <v>2874312416</v>
      </c>
      <c r="DF34" s="430">
        <v>63234550082</v>
      </c>
      <c r="DG34" s="430">
        <v>6025175000</v>
      </c>
      <c r="DH34" s="430">
        <v>3085138000</v>
      </c>
      <c r="DI34" s="430">
        <v>220367000</v>
      </c>
      <c r="DJ34" s="430">
        <v>3031480067</v>
      </c>
      <c r="DK34" s="430">
        <v>897635644</v>
      </c>
      <c r="DL34" s="430">
        <v>2902411019</v>
      </c>
      <c r="DM34" s="430">
        <v>897612019</v>
      </c>
      <c r="DN34" s="430">
        <v>5362041</v>
      </c>
      <c r="DO34" s="595" t="s">
        <v>1974</v>
      </c>
      <c r="DP34" s="595" t="s">
        <v>1964</v>
      </c>
      <c r="DQ34" s="595">
        <v>0</v>
      </c>
      <c r="DR34" s="595">
        <v>0</v>
      </c>
      <c r="DS34" s="595">
        <v>4</v>
      </c>
      <c r="DT34" s="595" t="s">
        <v>1975</v>
      </c>
      <c r="DU34" s="595">
        <v>0</v>
      </c>
      <c r="DV34" s="595">
        <v>1</v>
      </c>
      <c r="DW34" s="595">
        <v>2874632384</v>
      </c>
      <c r="DX34" s="595">
        <v>63241645286</v>
      </c>
      <c r="DY34" s="595">
        <v>458192060</v>
      </c>
      <c r="DZ34" s="595">
        <v>160666572</v>
      </c>
      <c r="EA34" s="595">
        <v>27973750</v>
      </c>
      <c r="EB34" s="430">
        <v>554907466</v>
      </c>
      <c r="EC34" s="595">
        <v>421679901</v>
      </c>
      <c r="ED34" s="595">
        <v>0</v>
      </c>
      <c r="EE34" s="595">
        <v>0</v>
      </c>
      <c r="EF34" s="595">
        <v>25386175142</v>
      </c>
      <c r="EG34" s="595" t="s">
        <v>1974</v>
      </c>
      <c r="EH34" s="595" t="s">
        <v>1964</v>
      </c>
      <c r="EI34" s="595">
        <v>0</v>
      </c>
      <c r="EJ34" s="595">
        <v>0</v>
      </c>
      <c r="EK34" s="595">
        <v>4</v>
      </c>
      <c r="EL34" s="595" t="s">
        <v>1975</v>
      </c>
      <c r="EM34" s="595">
        <v>0</v>
      </c>
      <c r="EN34" s="595">
        <v>1</v>
      </c>
      <c r="EO34" s="595">
        <v>2874736384</v>
      </c>
      <c r="EP34" s="595">
        <v>63243953513</v>
      </c>
      <c r="EQ34" s="595">
        <v>1194058985</v>
      </c>
      <c r="ER34" s="595">
        <v>368750812</v>
      </c>
      <c r="ES34" s="430">
        <v>958118062</v>
      </c>
      <c r="ET34" s="595">
        <v>5658282</v>
      </c>
      <c r="EU34" s="595">
        <v>17081158000</v>
      </c>
      <c r="EV34" s="595">
        <v>0</v>
      </c>
      <c r="EW34" s="595">
        <v>129000000</v>
      </c>
      <c r="EX34" s="595">
        <v>0</v>
      </c>
      <c r="EY34" s="595" t="s">
        <v>1974</v>
      </c>
      <c r="EZ34" s="595" t="s">
        <v>1964</v>
      </c>
      <c r="FA34" s="595">
        <v>0</v>
      </c>
      <c r="FB34" s="595">
        <v>0</v>
      </c>
      <c r="FC34" s="595">
        <v>4</v>
      </c>
      <c r="FD34" s="595" t="s">
        <v>1975</v>
      </c>
      <c r="FE34" s="595">
        <v>0</v>
      </c>
      <c r="FF34" s="595">
        <v>1</v>
      </c>
      <c r="FG34" s="595">
        <v>2874683744</v>
      </c>
      <c r="FH34" s="595">
        <v>63242787880</v>
      </c>
      <c r="FI34" s="595">
        <v>46721519</v>
      </c>
      <c r="FJ34" s="595">
        <v>6307112131</v>
      </c>
      <c r="FK34" s="595">
        <v>1885936260</v>
      </c>
      <c r="FL34" s="595">
        <v>667457957</v>
      </c>
      <c r="FM34" s="595">
        <v>7080846580</v>
      </c>
      <c r="FN34" s="595">
        <v>5882998868</v>
      </c>
      <c r="FO34" s="430">
        <v>295809904</v>
      </c>
      <c r="FP34" s="430">
        <v>798946237</v>
      </c>
      <c r="FQ34" s="595" t="s">
        <v>1974</v>
      </c>
      <c r="FR34" s="595" t="s">
        <v>1964</v>
      </c>
      <c r="FS34" s="595">
        <v>0</v>
      </c>
      <c r="FT34" s="595">
        <v>0</v>
      </c>
      <c r="FU34" s="595">
        <v>4</v>
      </c>
      <c r="FV34" s="595" t="s">
        <v>1975</v>
      </c>
      <c r="FW34" s="595">
        <v>0</v>
      </c>
      <c r="FX34" s="595">
        <v>1</v>
      </c>
      <c r="FY34" s="595">
        <v>2874585568</v>
      </c>
      <c r="FZ34" s="595">
        <v>63240640316</v>
      </c>
      <c r="GA34" s="595">
        <v>452904675</v>
      </c>
      <c r="GB34" s="595">
        <v>447541876</v>
      </c>
      <c r="GC34" s="595">
        <v>397150804</v>
      </c>
      <c r="GD34" s="595">
        <v>397150804</v>
      </c>
      <c r="GE34" s="595">
        <v>1606</v>
      </c>
      <c r="GF34" s="595">
        <v>5</v>
      </c>
      <c r="GG34" s="595">
        <v>453</v>
      </c>
      <c r="GH34" s="595">
        <v>556418</v>
      </c>
      <c r="GI34" s="595" t="s">
        <v>1974</v>
      </c>
      <c r="GJ34" s="595" t="s">
        <v>1964</v>
      </c>
      <c r="GK34" s="595">
        <v>0</v>
      </c>
      <c r="GL34" s="595">
        <v>0</v>
      </c>
      <c r="GM34" s="595">
        <v>4</v>
      </c>
      <c r="GN34" s="595" t="s">
        <v>1975</v>
      </c>
      <c r="GO34" s="595">
        <v>0</v>
      </c>
      <c r="GP34" s="595">
        <v>1</v>
      </c>
      <c r="GQ34" s="595">
        <v>2874404384</v>
      </c>
      <c r="GR34" s="595">
        <v>63236650885</v>
      </c>
      <c r="GS34" s="595">
        <v>1101835000</v>
      </c>
      <c r="GT34" s="595">
        <v>86003000</v>
      </c>
      <c r="GU34" s="595">
        <v>0</v>
      </c>
      <c r="GV34" s="595">
        <v>0</v>
      </c>
      <c r="GW34" s="595">
        <v>0</v>
      </c>
      <c r="GX34" s="595">
        <v>8</v>
      </c>
      <c r="GY34" s="595">
        <v>521367032</v>
      </c>
      <c r="GZ34" s="595">
        <v>400468686</v>
      </c>
      <c r="HA34" s="595" t="s">
        <v>1974</v>
      </c>
      <c r="HB34" s="595" t="s">
        <v>1964</v>
      </c>
      <c r="HC34" s="595">
        <v>0</v>
      </c>
      <c r="HD34" s="595">
        <v>0</v>
      </c>
      <c r="HE34" s="595">
        <v>4</v>
      </c>
      <c r="HF34" s="595" t="s">
        <v>1975</v>
      </c>
      <c r="HG34" s="595">
        <v>0</v>
      </c>
      <c r="HH34" s="595">
        <v>1</v>
      </c>
      <c r="HI34" s="595">
        <v>2874589600</v>
      </c>
      <c r="HJ34" s="595">
        <v>63240760005</v>
      </c>
      <c r="HK34" s="595">
        <v>0</v>
      </c>
      <c r="HL34" s="595">
        <v>0</v>
      </c>
      <c r="HM34" s="595">
        <v>0</v>
      </c>
      <c r="HN34" s="595">
        <v>1085738001</v>
      </c>
      <c r="HO34" s="595">
        <v>129004009</v>
      </c>
      <c r="HP34" s="595">
        <v>37627017</v>
      </c>
      <c r="HQ34" s="595">
        <v>258007009</v>
      </c>
      <c r="HR34" s="595">
        <v>0</v>
      </c>
      <c r="HS34" s="595" t="s">
        <v>1974</v>
      </c>
      <c r="HT34" s="595" t="s">
        <v>1964</v>
      </c>
      <c r="HU34" s="595">
        <v>0</v>
      </c>
      <c r="HV34" s="595">
        <v>0</v>
      </c>
      <c r="HW34" s="595">
        <v>4</v>
      </c>
      <c r="HX34" s="595" t="s">
        <v>1975</v>
      </c>
      <c r="HY34" s="595">
        <v>0</v>
      </c>
      <c r="HZ34" s="595">
        <v>1</v>
      </c>
      <c r="IA34" s="595">
        <v>2870810336</v>
      </c>
      <c r="IB34" s="595">
        <v>63157580138</v>
      </c>
      <c r="IC34" s="595">
        <v>16307665237</v>
      </c>
      <c r="ID34" s="595">
        <v>1325496148</v>
      </c>
      <c r="IE34" s="595">
        <v>0</v>
      </c>
      <c r="IF34" s="595">
        <v>16307647189</v>
      </c>
      <c r="IG34" s="595">
        <v>14355693</v>
      </c>
      <c r="IH34" s="595">
        <v>400475409</v>
      </c>
      <c r="II34" s="595">
        <v>0</v>
      </c>
      <c r="IJ34" s="595">
        <v>0</v>
      </c>
      <c r="IK34" s="595" t="s">
        <v>1974</v>
      </c>
      <c r="IL34" s="595" t="s">
        <v>1964</v>
      </c>
      <c r="IM34" s="595">
        <v>0</v>
      </c>
      <c r="IN34" s="595">
        <v>0</v>
      </c>
      <c r="IO34" s="595">
        <v>4</v>
      </c>
      <c r="IP34" s="595" t="s">
        <v>1975</v>
      </c>
      <c r="IQ34" s="595">
        <v>0</v>
      </c>
      <c r="IR34" s="595">
        <v>1</v>
      </c>
      <c r="IS34" s="595">
        <v>2871374688</v>
      </c>
      <c r="IT34" s="595">
        <v>63170020978</v>
      </c>
      <c r="IU34" s="595">
        <v>0</v>
      </c>
      <c r="IV34" s="595">
        <v>0</v>
      </c>
      <c r="IW34" s="595">
        <v>827734000</v>
      </c>
      <c r="IX34" s="595">
        <v>0</v>
      </c>
      <c r="IY34" s="595">
        <v>553630000</v>
      </c>
      <c r="IZ34" s="595">
        <v>257994009</v>
      </c>
      <c r="JA34" s="595">
        <v>0</v>
      </c>
      <c r="JB34" s="595">
        <v>0</v>
      </c>
      <c r="JC34" s="595" t="s">
        <v>1974</v>
      </c>
      <c r="JD34" s="595" t="s">
        <v>1964</v>
      </c>
      <c r="JE34" s="595">
        <v>0</v>
      </c>
      <c r="JF34" s="595">
        <v>0</v>
      </c>
      <c r="JG34" s="595">
        <v>4</v>
      </c>
      <c r="JH34" s="595" t="s">
        <v>1975</v>
      </c>
      <c r="JI34" s="595">
        <v>0</v>
      </c>
      <c r="JJ34" s="595">
        <v>1</v>
      </c>
      <c r="JK34" s="595">
        <v>2871517536</v>
      </c>
      <c r="JL34" s="595">
        <v>63173179395</v>
      </c>
      <c r="JM34" s="595">
        <v>448446600</v>
      </c>
      <c r="JN34" s="595">
        <v>0</v>
      </c>
      <c r="JO34" s="595">
        <v>0</v>
      </c>
      <c r="JP34" s="595">
        <v>239225866</v>
      </c>
      <c r="JQ34" s="595">
        <v>0</v>
      </c>
      <c r="JR34" s="595">
        <v>0</v>
      </c>
      <c r="JS34" s="595">
        <v>162424334</v>
      </c>
      <c r="JT34" s="595">
        <v>0</v>
      </c>
      <c r="JU34" s="595" t="s">
        <v>1974</v>
      </c>
      <c r="JV34" s="595" t="s">
        <v>1964</v>
      </c>
      <c r="JW34" s="595">
        <v>0</v>
      </c>
      <c r="JX34" s="595">
        <v>0</v>
      </c>
      <c r="JY34" s="595">
        <v>4</v>
      </c>
      <c r="JZ34" s="595" t="s">
        <v>1975</v>
      </c>
      <c r="KA34" s="595">
        <v>0</v>
      </c>
      <c r="KB34" s="595">
        <v>1</v>
      </c>
      <c r="KC34" s="595">
        <v>2874746144</v>
      </c>
      <c r="KD34" s="595">
        <v>63244084436</v>
      </c>
      <c r="KE34" s="595">
        <v>193500000</v>
      </c>
      <c r="KF34" s="595">
        <v>3903199014</v>
      </c>
      <c r="KG34" s="595">
        <v>1192110917</v>
      </c>
      <c r="KH34" s="595">
        <v>56030116478</v>
      </c>
      <c r="KI34" s="595">
        <v>14319603842</v>
      </c>
      <c r="KJ34" s="595">
        <v>3671887886</v>
      </c>
      <c r="KK34" s="595">
        <v>973607643</v>
      </c>
      <c r="KL34" s="595">
        <v>0</v>
      </c>
      <c r="KM34" s="595" t="s">
        <v>1974</v>
      </c>
      <c r="KN34" s="595" t="s">
        <v>1964</v>
      </c>
      <c r="KO34" s="595">
        <v>0</v>
      </c>
      <c r="KP34" s="595">
        <v>0</v>
      </c>
      <c r="KQ34" s="595">
        <v>4</v>
      </c>
      <c r="KR34" s="595" t="s">
        <v>1975</v>
      </c>
      <c r="KS34" s="595">
        <v>0</v>
      </c>
      <c r="KT34" s="595">
        <v>1</v>
      </c>
      <c r="KU34" s="595">
        <v>2874334784</v>
      </c>
      <c r="KV34" s="595">
        <v>63235136632</v>
      </c>
      <c r="KW34" s="595">
        <v>5592286153</v>
      </c>
      <c r="KX34" s="595">
        <v>42538552</v>
      </c>
      <c r="KY34" s="595">
        <v>9684781</v>
      </c>
      <c r="KZ34" s="595">
        <v>13496559696</v>
      </c>
      <c r="LA34" s="595">
        <v>2505521604</v>
      </c>
      <c r="LB34" s="595">
        <v>719308</v>
      </c>
      <c r="LC34" s="595">
        <v>12349</v>
      </c>
      <c r="LD34" s="595">
        <v>14500</v>
      </c>
      <c r="LE34" s="595" t="s">
        <v>1974</v>
      </c>
      <c r="LF34" s="595" t="s">
        <v>1964</v>
      </c>
      <c r="LG34" s="595">
        <v>0</v>
      </c>
      <c r="LH34" s="595">
        <v>0</v>
      </c>
      <c r="LI34" s="595">
        <v>4</v>
      </c>
      <c r="LJ34" s="595" t="s">
        <v>1975</v>
      </c>
      <c r="LK34" s="595">
        <v>0</v>
      </c>
      <c r="LL34" s="595">
        <v>1</v>
      </c>
      <c r="LM34" s="595">
        <v>2874340192</v>
      </c>
      <c r="LN34" s="595">
        <v>63235237349</v>
      </c>
      <c r="LO34" s="595">
        <v>5540162326</v>
      </c>
      <c r="LP34" s="595">
        <v>959</v>
      </c>
      <c r="LQ34" s="595">
        <v>0</v>
      </c>
      <c r="LR34" s="595">
        <v>2505692122</v>
      </c>
      <c r="LS34" s="595">
        <v>178</v>
      </c>
      <c r="LT34" s="595">
        <v>0</v>
      </c>
      <c r="LU34" s="595">
        <v>5539987017</v>
      </c>
      <c r="LV34" s="595">
        <v>31027</v>
      </c>
      <c r="MC34" s="252" t="s">
        <v>1774</v>
      </c>
      <c r="MD34" s="371"/>
      <c r="ME34" s="372"/>
      <c r="MF34" s="372"/>
      <c r="MG34" s="372"/>
      <c r="MH34" s="372"/>
      <c r="MI34" s="372"/>
      <c r="MJ34" s="372"/>
      <c r="MK34" s="372"/>
      <c r="ML34" s="372"/>
      <c r="MM34" s="372"/>
      <c r="MN34" s="372"/>
      <c r="MO34" s="372"/>
      <c r="MP34" s="372"/>
      <c r="MQ34" s="372"/>
      <c r="MR34" s="372"/>
      <c r="MS34" s="372"/>
      <c r="MT34" s="373"/>
      <c r="NA34" s="424">
        <f t="shared" si="100"/>
        <v>0</v>
      </c>
      <c r="NB34" s="424">
        <f t="shared" si="101"/>
        <v>4</v>
      </c>
      <c r="NC34" s="207">
        <f t="shared" si="102"/>
        <v>28.742253120000001</v>
      </c>
      <c r="ND34" s="208">
        <f t="shared" si="103"/>
        <v>2.3816376438619296</v>
      </c>
      <c r="NE34" s="209">
        <f t="shared" si="15"/>
        <v>3.3830232859330296E-2</v>
      </c>
      <c r="NF34" s="208">
        <f t="shared" si="16"/>
        <v>5.9504522384499827</v>
      </c>
      <c r="NG34" s="210"/>
      <c r="NH34" s="211">
        <f t="shared" si="104"/>
        <v>13496582866</v>
      </c>
      <c r="NI34" s="208">
        <f t="shared" si="17"/>
        <v>68453632000</v>
      </c>
      <c r="NJ34" s="212">
        <f t="shared" si="105"/>
        <v>0.80523486255013377</v>
      </c>
      <c r="NK34" s="213">
        <f t="shared" si="106"/>
        <v>0.9981155127020872</v>
      </c>
      <c r="NL34" s="214">
        <f t="shared" si="18"/>
        <v>1</v>
      </c>
      <c r="NM34" s="208">
        <f t="shared" si="107"/>
        <v>0.21344305487525617</v>
      </c>
      <c r="NN34" s="208">
        <f t="shared" si="19"/>
        <v>0.46957289011586023</v>
      </c>
      <c r="NO34" s="215">
        <f t="shared" si="20"/>
        <v>1.6501387211753464E-4</v>
      </c>
      <c r="NP34" s="216">
        <f t="shared" si="108"/>
        <v>0</v>
      </c>
      <c r="NQ34" s="215">
        <f t="shared" si="109"/>
        <v>0.19163389347996349</v>
      </c>
      <c r="NR34" s="215">
        <f t="shared" si="110"/>
        <v>6.0545728974179668E-2</v>
      </c>
      <c r="NS34" s="215">
        <f t="shared" si="21"/>
        <v>1.2712767706078381E-2</v>
      </c>
      <c r="NT34" s="215">
        <f t="shared" si="22"/>
        <v>3.8803095829657804E-3</v>
      </c>
      <c r="NU34" s="215">
        <f t="shared" si="23"/>
        <v>6.0302713163233636E-2</v>
      </c>
      <c r="NV34" s="215">
        <f t="shared" si="111"/>
        <v>9.4074085096029449</v>
      </c>
      <c r="NW34" s="215">
        <f t="shared" si="24"/>
        <v>2.2397471034545449</v>
      </c>
      <c r="NX34" s="215">
        <f t="shared" si="25"/>
        <v>11.536835337631434</v>
      </c>
      <c r="NY34" s="215">
        <f t="shared" si="26"/>
        <v>2.5714258789574008E-3</v>
      </c>
      <c r="NZ34" s="215">
        <f t="shared" si="27"/>
        <v>1.2115420347525219</v>
      </c>
      <c r="OA34" s="215">
        <f t="shared" si="28"/>
        <v>0</v>
      </c>
      <c r="OB34" s="215">
        <f t="shared" si="29"/>
        <v>6.5396205821060219E-2</v>
      </c>
      <c r="OC34" s="215">
        <f t="shared" si="30"/>
        <v>0</v>
      </c>
      <c r="OD34" s="215">
        <f t="shared" si="31"/>
        <v>2.8038709640792279</v>
      </c>
      <c r="OE34" s="215">
        <f t="shared" si="32"/>
        <v>0.54264424696941693</v>
      </c>
      <c r="OF34" s="215">
        <f t="shared" si="33"/>
        <v>0.16758008541521177</v>
      </c>
      <c r="OG34" s="215">
        <f t="shared" si="34"/>
        <v>0.43542007622160073</v>
      </c>
      <c r="OH34" s="215">
        <f t="shared" si="35"/>
        <v>0</v>
      </c>
      <c r="OI34" s="215">
        <f t="shared" si="112"/>
        <v>28.742253120000001</v>
      </c>
      <c r="OJ34" s="218">
        <f t="shared" si="113"/>
        <v>0.10991676091365231</v>
      </c>
      <c r="OK34" s="218">
        <f t="shared" si="114"/>
        <v>7.7784356430018492E-2</v>
      </c>
      <c r="OL34" s="218">
        <f t="shared" si="115"/>
        <v>4.6773697668307159E-3</v>
      </c>
      <c r="OM34" s="218">
        <f t="shared" si="116"/>
        <v>1.2633001545029296E-2</v>
      </c>
      <c r="ON34" s="217">
        <f t="shared" si="36"/>
        <v>0.16806155283086288</v>
      </c>
      <c r="OO34" s="210"/>
      <c r="OP34" s="210"/>
      <c r="OQ34" s="218">
        <f t="shared" si="117"/>
        <v>0.11196291019674132</v>
      </c>
      <c r="OR34" s="218">
        <f t="shared" si="118"/>
        <v>9.3022446751757581E-2</v>
      </c>
      <c r="OS34" s="218">
        <f t="shared" si="37"/>
        <v>1</v>
      </c>
      <c r="OT34" s="218">
        <f t="shared" si="38"/>
        <v>0.94736133631689257</v>
      </c>
      <c r="OU34" s="209">
        <f t="shared" si="39"/>
        <v>0.95370076336666232</v>
      </c>
      <c r="OV34" s="209">
        <f t="shared" si="40"/>
        <v>0.91923604601879649</v>
      </c>
      <c r="OW34" s="209">
        <f t="shared" si="119"/>
        <v>1.4852790712207064E-2</v>
      </c>
      <c r="OX34" s="219">
        <f t="shared" si="41"/>
        <v>3.3564051323033605E-8</v>
      </c>
      <c r="OY34" s="208">
        <f t="shared" si="120"/>
        <v>3929115711</v>
      </c>
      <c r="OZ34" s="208">
        <f t="shared" si="42"/>
        <v>467737451</v>
      </c>
      <c r="PA34" s="209">
        <f t="shared" si="121"/>
        <v>0.11904394917424208</v>
      </c>
      <c r="PB34" s="209">
        <f>IF(OR($CQ34="",$OZ34=""),"",IF($OZ34=0,0,
GuardLimitUpper(
  ($OZ34-$CQ34)/$OZ34,
  data_GuardLimitFlag,
  1)
))</f>
        <v>3.1712241489937912E-2</v>
      </c>
      <c r="PC34" s="209">
        <f t="shared" si="43"/>
        <v>0.95682283948650504</v>
      </c>
      <c r="PD34" s="209">
        <f t="shared" si="44"/>
        <v>1.1464919023557086E-2</v>
      </c>
      <c r="PE34" s="208">
        <f t="shared" si="122"/>
        <v>461848072</v>
      </c>
      <c r="PF34" s="209">
        <f t="shared" si="123"/>
        <v>0.1175450421851931</v>
      </c>
      <c r="PG34" s="209">
        <f t="shared" si="45"/>
        <v>0.13968957460635187</v>
      </c>
      <c r="PH34" s="209">
        <f t="shared" si="46"/>
        <v>0.86151743240931644</v>
      </c>
      <c r="PI34" s="209">
        <f t="shared" si="47"/>
        <v>0</v>
      </c>
      <c r="PJ34" s="220">
        <f t="shared" si="48"/>
        <v>4.0874337080575739E-7</v>
      </c>
      <c r="PK34" s="220">
        <f t="shared" si="49"/>
        <v>1.2725509676393443E-9</v>
      </c>
      <c r="PL34" s="221">
        <f t="shared" si="124"/>
        <v>220367010</v>
      </c>
      <c r="PM34" s="221">
        <f t="shared" si="50"/>
        <v>0</v>
      </c>
      <c r="PN34" s="221">
        <f t="shared" si="125"/>
        <v>1322202000</v>
      </c>
      <c r="PO34" s="221">
        <f t="shared" si="51"/>
        <v>0</v>
      </c>
      <c r="PP34" s="221">
        <f t="shared" si="52"/>
        <v>1101835000</v>
      </c>
      <c r="PQ34" s="529">
        <f t="shared" si="126"/>
        <v>0</v>
      </c>
      <c r="PR34" s="221">
        <f t="shared" si="53"/>
        <v>0</v>
      </c>
      <c r="PS34" s="221">
        <f t="shared" si="54"/>
        <v>387076057</v>
      </c>
      <c r="PT34" s="221">
        <f t="shared" si="127"/>
        <v>21504010</v>
      </c>
      <c r="PU34" s="221">
        <f t="shared" si="55"/>
        <v>0</v>
      </c>
      <c r="PV34" s="221">
        <f t="shared" si="128"/>
        <v>661101000</v>
      </c>
      <c r="PW34" s="221">
        <f t="shared" si="56"/>
        <v>86003000</v>
      </c>
      <c r="PX34" s="221">
        <f t="shared" si="162"/>
        <v>0</v>
      </c>
      <c r="PY34" s="221">
        <f t="shared" si="57"/>
        <v>129027634</v>
      </c>
      <c r="PZ34" s="221">
        <f t="shared" si="58"/>
        <v>0</v>
      </c>
      <c r="QA34" s="221">
        <f t="shared" si="59"/>
        <v>0</v>
      </c>
      <c r="QB34" s="221">
        <f t="shared" si="60"/>
        <v>5362041</v>
      </c>
      <c r="QC34" s="221">
        <f t="shared" si="61"/>
        <v>8</v>
      </c>
      <c r="QD34" s="221">
        <f t="shared" si="129"/>
        <v>2719670000</v>
      </c>
      <c r="QE34" s="221">
        <f t="shared" si="130"/>
        <v>3085138000</v>
      </c>
      <c r="QF34" s="221">
        <f t="shared" si="131"/>
        <v>220367000</v>
      </c>
      <c r="QG34" s="222">
        <f t="shared" si="62"/>
        <v>0</v>
      </c>
      <c r="QH34" s="222">
        <f t="shared" si="63"/>
        <v>1085738001</v>
      </c>
      <c r="QI34" s="222">
        <f t="shared" si="64"/>
        <v>521367032</v>
      </c>
      <c r="QJ34" s="222">
        <f t="shared" si="65"/>
        <v>400468686</v>
      </c>
      <c r="QK34" s="222">
        <f t="shared" si="66"/>
        <v>37627017</v>
      </c>
      <c r="QL34" s="222">
        <f t="shared" si="132"/>
        <v>0</v>
      </c>
      <c r="QM34" s="222">
        <f>IF(OR($O$8="Lv2",$O$8="Lv3",$O$8="Lv4"),IF(OR($AS34="",COUNT($PL34:$QL34)=0),"",
GuardLimitLower(
  $AS34-SUM($PL34:$QL34),
  data_GuardLimitFlag,
  0)
),"")</f>
        <v>1491729370</v>
      </c>
      <c r="QN34" s="222">
        <f t="shared" si="133"/>
        <v>13496582866</v>
      </c>
      <c r="QO34" s="222">
        <f t="shared" si="134"/>
        <v>68453632000</v>
      </c>
      <c r="QP34" s="222">
        <f t="shared" si="135"/>
        <v>0</v>
      </c>
      <c r="QQ34" s="222">
        <f t="shared" si="136"/>
        <v>0</v>
      </c>
      <c r="QR34" s="222">
        <f t="shared" si="67"/>
        <v>2.3816376438619296</v>
      </c>
      <c r="QS34" s="209">
        <f t="shared" si="68"/>
        <v>3.6586680656798216E-2</v>
      </c>
      <c r="QT34" s="209">
        <f t="shared" si="69"/>
        <v>0.73801083134443235</v>
      </c>
      <c r="QU34" s="209">
        <f t="shared" si="70"/>
        <v>0.22540248799876941</v>
      </c>
      <c r="QV34" s="208">
        <f t="shared" si="71"/>
        <v>16307665237</v>
      </c>
      <c r="QW34" s="208">
        <f t="shared" si="72"/>
        <v>553630000</v>
      </c>
      <c r="QX34" s="208">
        <f t="shared" si="73"/>
        <v>257994009</v>
      </c>
      <c r="QY34" s="208">
        <f t="shared" si="74"/>
        <v>827734000</v>
      </c>
      <c r="QZ34" s="208">
        <f t="shared" si="75"/>
        <v>0</v>
      </c>
      <c r="RA34" s="209">
        <f t="shared" si="137"/>
        <v>0.99999889328118174</v>
      </c>
      <c r="RB34" s="209">
        <f t="shared" si="76"/>
        <v>3.5847229763178036E-2</v>
      </c>
      <c r="RC34" s="209">
        <f t="shared" si="77"/>
        <v>0.52752415960158894</v>
      </c>
      <c r="RD34" s="209">
        <f t="shared" si="78"/>
        <v>0</v>
      </c>
      <c r="RE34" s="209">
        <f t="shared" si="79"/>
        <v>0</v>
      </c>
      <c r="RF34" s="209">
        <f t="shared" si="80"/>
        <v>0.2814101476443624</v>
      </c>
      <c r="RG34" s="209">
        <f t="shared" si="81"/>
        <v>0</v>
      </c>
      <c r="RH34" s="209">
        <f t="shared" si="82"/>
        <v>0</v>
      </c>
      <c r="RI34" s="209">
        <f t="shared" si="83"/>
        <v>0.19106569275404872</v>
      </c>
      <c r="RJ34" s="134"/>
      <c r="RK34" s="134"/>
      <c r="RL34" s="134"/>
      <c r="RM34" s="134"/>
      <c r="RN34" s="134"/>
      <c r="RO34" s="134"/>
      <c r="RP34" s="134"/>
      <c r="RQ34" s="134"/>
      <c r="RR34" s="222">
        <f t="shared" si="84"/>
        <v>1.7554955360437658</v>
      </c>
      <c r="RS34" s="224"/>
      <c r="RT34" s="224"/>
      <c r="RU34" s="208">
        <f t="shared" si="138"/>
        <v>28.742253120000001</v>
      </c>
      <c r="RV34" s="208">
        <f t="shared" si="139"/>
        <v>1</v>
      </c>
      <c r="RW34" s="208">
        <f t="shared" si="140"/>
        <v>1.0002063101664782</v>
      </c>
      <c r="RX34" s="208">
        <f t="shared" si="141"/>
        <v>1.0001058516069061</v>
      </c>
      <c r="RY34" s="208">
        <f t="shared" si="142"/>
        <v>1.0000924155072159</v>
      </c>
      <c r="RZ34" s="208">
        <f t="shared" si="85"/>
        <v>1.0000290945618131</v>
      </c>
      <c r="SA34" s="208">
        <f t="shared" si="86"/>
        <v>1.0001413023726167</v>
      </c>
      <c r="SB34" s="208">
        <f t="shared" si="87"/>
        <v>1.0001778060585582</v>
      </c>
      <c r="SC34" s="208">
        <f t="shared" si="88"/>
        <v>1.0001593720393065</v>
      </c>
      <c r="SD34" s="208">
        <f t="shared" si="89"/>
        <v>1.000125409174391</v>
      </c>
      <c r="SE34" s="208">
        <f t="shared" si="90"/>
        <v>1.0000623179202337</v>
      </c>
      <c r="SF34" s="208">
        <f t="shared" si="91"/>
        <v>1.0001273020080104</v>
      </c>
      <c r="SG34" s="208">
        <f t="shared" si="92"/>
        <v>0.99881184571119297</v>
      </c>
      <c r="SH34" s="208">
        <f t="shared" si="93"/>
        <v>0.99905854171572395</v>
      </c>
      <c r="SI34" s="208">
        <f t="shared" si="94"/>
        <v>0.99900859261529296</v>
      </c>
      <c r="SJ34" s="208">
        <f t="shared" si="95"/>
        <v>1.0001798765533902</v>
      </c>
      <c r="SK34" s="208">
        <f t="shared" si="96"/>
        <v>1.0000383706152467</v>
      </c>
      <c r="SL34" s="208">
        <f t="shared" si="97"/>
        <v>1.0000399634142811</v>
      </c>
      <c r="SM34" s="222">
        <f t="shared" si="143"/>
        <v>1</v>
      </c>
      <c r="SN34" s="225">
        <f t="shared" si="98"/>
        <v>28.742253120000001</v>
      </c>
      <c r="SO34" s="209">
        <f t="shared" si="144"/>
        <v>0.99854170143570631</v>
      </c>
      <c r="SP34" s="209">
        <f t="shared" si="145"/>
        <v>0.9999995959719693</v>
      </c>
      <c r="SQ34" s="222">
        <f t="shared" si="146"/>
        <v>63232710354</v>
      </c>
      <c r="SR34" s="222">
        <f t="shared" si="147"/>
        <v>63245755905</v>
      </c>
      <c r="SS34" s="222">
        <f t="shared" si="148"/>
        <v>63239403638</v>
      </c>
      <c r="ST34" s="222">
        <f t="shared" si="149"/>
        <v>63238554037</v>
      </c>
      <c r="SU34" s="222">
        <f t="shared" si="150"/>
        <v>63234550082</v>
      </c>
      <c r="SV34" s="222">
        <f t="shared" si="151"/>
        <v>63241645286</v>
      </c>
      <c r="SW34" s="222">
        <f t="shared" si="152"/>
        <v>63243953513</v>
      </c>
      <c r="SX34" s="222">
        <f t="shared" si="153"/>
        <v>63242787880</v>
      </c>
      <c r="SY34" s="222">
        <f t="shared" si="154"/>
        <v>63240640316</v>
      </c>
      <c r="SZ34" s="222">
        <f t="shared" si="155"/>
        <v>63236650885</v>
      </c>
      <c r="TA34" s="222">
        <f t="shared" si="156"/>
        <v>63240760005</v>
      </c>
      <c r="TB34" s="222">
        <f t="shared" si="157"/>
        <v>63157580138</v>
      </c>
      <c r="TC34" s="222">
        <f t="shared" si="99"/>
        <v>63173179395</v>
      </c>
      <c r="TD34" s="222">
        <f t="shared" si="158"/>
        <v>63170020978</v>
      </c>
      <c r="TE34" s="222">
        <f t="shared" si="159"/>
        <v>63244084436</v>
      </c>
      <c r="TF34" s="222">
        <f t="shared" si="160"/>
        <v>63235136632</v>
      </c>
      <c r="TG34" s="222">
        <f t="shared" si="161"/>
        <v>63235237349</v>
      </c>
      <c r="TQ34" s="360"/>
      <c r="TR34" s="360"/>
      <c r="TS34" s="374"/>
      <c r="TT34" s="374"/>
      <c r="TU34" s="374"/>
      <c r="TV34" s="374"/>
      <c r="TW34" s="254"/>
      <c r="UC34" s="360"/>
      <c r="UD34" s="360"/>
      <c r="UE34" s="374"/>
      <c r="UF34" s="374"/>
      <c r="UG34" s="374"/>
      <c r="UH34" s="374"/>
      <c r="UI34" s="254"/>
      <c r="VM34" s="252" t="s">
        <v>881</v>
      </c>
      <c r="VQ34" s="252" t="s">
        <v>881</v>
      </c>
      <c r="WC34" s="239"/>
      <c r="WD34" s="239"/>
      <c r="WE34" s="239"/>
      <c r="WF34" s="239"/>
      <c r="WG34" s="239"/>
      <c r="WH34" s="239"/>
      <c r="WI34" s="239"/>
      <c r="WJ34" s="239"/>
      <c r="WK34" s="239"/>
      <c r="WL34" s="239"/>
      <c r="WM34" s="239"/>
      <c r="WN34" s="239"/>
      <c r="WO34" s="239"/>
      <c r="WP34" s="239"/>
      <c r="WQ34" s="239"/>
      <c r="WR34" s="239"/>
      <c r="WS34" s="239"/>
    </row>
    <row r="35" spans="28:617" x14ac:dyDescent="0.25">
      <c r="AB35" s="254">
        <v>5</v>
      </c>
      <c r="AC35" s="430" t="s">
        <v>1974</v>
      </c>
      <c r="AD35" s="430" t="s">
        <v>1964</v>
      </c>
      <c r="AE35" s="430">
        <v>0</v>
      </c>
      <c r="AF35" s="430">
        <v>0</v>
      </c>
      <c r="AG35" s="430">
        <v>5</v>
      </c>
      <c r="AH35" s="430" t="s">
        <v>1975</v>
      </c>
      <c r="AI35" s="430">
        <v>0</v>
      </c>
      <c r="AJ35" s="430">
        <v>1</v>
      </c>
      <c r="AK35" s="594">
        <v>2874836448</v>
      </c>
      <c r="AL35" s="594">
        <v>63246135934</v>
      </c>
      <c r="AM35" s="430">
        <v>17081158000</v>
      </c>
      <c r="AN35" s="430">
        <v>129000000</v>
      </c>
      <c r="AO35" s="430">
        <v>465893711</v>
      </c>
      <c r="AP35" s="430">
        <v>213729122</v>
      </c>
      <c r="AQ35" s="595">
        <v>3626758</v>
      </c>
      <c r="AR35" s="595">
        <v>826627</v>
      </c>
      <c r="AS35" s="594">
        <v>13496585731</v>
      </c>
      <c r="AT35" s="594">
        <v>10867919049</v>
      </c>
      <c r="AU35" s="430" t="s">
        <v>1974</v>
      </c>
      <c r="AV35" s="430" t="s">
        <v>1964</v>
      </c>
      <c r="AW35" s="430">
        <v>0</v>
      </c>
      <c r="AX35" s="430">
        <v>0</v>
      </c>
      <c r="AY35" s="430">
        <v>5</v>
      </c>
      <c r="AZ35" s="430" t="s">
        <v>1975</v>
      </c>
      <c r="BA35" s="430">
        <v>0</v>
      </c>
      <c r="BB35" s="430">
        <v>1</v>
      </c>
      <c r="BC35" s="430">
        <v>2874749600</v>
      </c>
      <c r="BD35" s="430">
        <v>63244137111</v>
      </c>
      <c r="BE35" s="430">
        <v>54555593968</v>
      </c>
      <c r="BF35" s="595">
        <v>6166937077</v>
      </c>
      <c r="BG35" s="430">
        <v>21441666063</v>
      </c>
      <c r="BH35" s="595">
        <v>377834</v>
      </c>
      <c r="BI35" s="430">
        <v>30302024390</v>
      </c>
      <c r="BJ35" s="430">
        <v>142491502</v>
      </c>
      <c r="BK35" s="430">
        <v>0</v>
      </c>
      <c r="BL35" s="430">
        <v>0</v>
      </c>
      <c r="BM35" s="430" t="s">
        <v>1974</v>
      </c>
      <c r="BN35" s="430" t="s">
        <v>1964</v>
      </c>
      <c r="BO35" s="430">
        <v>0</v>
      </c>
      <c r="BP35" s="430">
        <v>0</v>
      </c>
      <c r="BQ35" s="430">
        <v>5</v>
      </c>
      <c r="BR35" s="430" t="s">
        <v>1975</v>
      </c>
      <c r="BS35" s="430">
        <v>0</v>
      </c>
      <c r="BT35" s="430">
        <v>1</v>
      </c>
      <c r="BU35" s="430">
        <v>2874620032</v>
      </c>
      <c r="BV35" s="430">
        <v>63241130222</v>
      </c>
      <c r="BW35" s="594">
        <v>9915686061</v>
      </c>
      <c r="BX35" s="594">
        <v>11340529262</v>
      </c>
      <c r="BY35" s="430">
        <v>21175170822</v>
      </c>
      <c r="BZ35" s="430">
        <v>938509300</v>
      </c>
      <c r="CA35" s="430">
        <v>6950753912</v>
      </c>
      <c r="CB35" s="430">
        <v>119750844818</v>
      </c>
      <c r="CC35" s="430">
        <v>4919215531</v>
      </c>
      <c r="CD35" s="430">
        <v>74565720638</v>
      </c>
      <c r="CE35" s="430" t="s">
        <v>1974</v>
      </c>
      <c r="CF35" s="430" t="s">
        <v>1964</v>
      </c>
      <c r="CG35" s="430">
        <v>0</v>
      </c>
      <c r="CH35" s="430">
        <v>0</v>
      </c>
      <c r="CI35" s="430">
        <v>5</v>
      </c>
      <c r="CJ35" s="430" t="s">
        <v>1975</v>
      </c>
      <c r="CK35" s="430">
        <v>0</v>
      </c>
      <c r="CL35" s="430">
        <v>1</v>
      </c>
      <c r="CM35" s="430">
        <v>2874486592</v>
      </c>
      <c r="CN35" s="430">
        <v>63238492435</v>
      </c>
      <c r="CO35" s="430">
        <v>3651297</v>
      </c>
      <c r="CP35" s="430">
        <v>467747482</v>
      </c>
      <c r="CQ35" s="430">
        <v>452576957</v>
      </c>
      <c r="CR35" s="430">
        <v>466466471</v>
      </c>
      <c r="CS35" s="430">
        <v>44986621</v>
      </c>
      <c r="CT35" s="430">
        <v>1322202000</v>
      </c>
      <c r="CU35" s="430">
        <v>661101000</v>
      </c>
      <c r="CV35" s="430">
        <v>834768</v>
      </c>
      <c r="CW35" s="430" t="s">
        <v>1974</v>
      </c>
      <c r="CX35" s="430" t="s">
        <v>1964</v>
      </c>
      <c r="CY35" s="430">
        <v>0</v>
      </c>
      <c r="CZ35" s="430">
        <v>0</v>
      </c>
      <c r="DA35" s="430">
        <v>5</v>
      </c>
      <c r="DB35" s="430" t="s">
        <v>1975</v>
      </c>
      <c r="DC35" s="430">
        <v>0</v>
      </c>
      <c r="DD35" s="430">
        <v>1</v>
      </c>
      <c r="DE35" s="430">
        <v>2874595264</v>
      </c>
      <c r="DF35" s="430">
        <v>63240814380</v>
      </c>
      <c r="DG35" s="430">
        <v>6025175000</v>
      </c>
      <c r="DH35" s="430">
        <v>3085138000</v>
      </c>
      <c r="DI35" s="430">
        <v>220367000</v>
      </c>
      <c r="DJ35" s="430">
        <v>3031479145</v>
      </c>
      <c r="DK35" s="430">
        <v>897635373</v>
      </c>
      <c r="DL35" s="430">
        <v>2902411009</v>
      </c>
      <c r="DM35" s="430">
        <v>897612009</v>
      </c>
      <c r="DN35" s="430">
        <v>5362041</v>
      </c>
      <c r="DO35" s="595" t="s">
        <v>1974</v>
      </c>
      <c r="DP35" s="595" t="s">
        <v>1964</v>
      </c>
      <c r="DQ35" s="595">
        <v>0</v>
      </c>
      <c r="DR35" s="595">
        <v>0</v>
      </c>
      <c r="DS35" s="595">
        <v>5</v>
      </c>
      <c r="DT35" s="595" t="s">
        <v>1975</v>
      </c>
      <c r="DU35" s="595">
        <v>0</v>
      </c>
      <c r="DV35" s="595">
        <v>1</v>
      </c>
      <c r="DW35" s="595">
        <v>2874631136</v>
      </c>
      <c r="DX35" s="595">
        <v>63241644271</v>
      </c>
      <c r="DY35" s="595">
        <v>455480191</v>
      </c>
      <c r="DZ35" s="595">
        <v>188634396</v>
      </c>
      <c r="EA35" s="595">
        <v>27314913</v>
      </c>
      <c r="EB35" s="430">
        <v>556474394</v>
      </c>
      <c r="EC35" s="595">
        <v>419670480</v>
      </c>
      <c r="ED35" s="595">
        <v>0</v>
      </c>
      <c r="EE35" s="595">
        <v>0</v>
      </c>
      <c r="EF35" s="595">
        <v>25375279400</v>
      </c>
      <c r="EG35" s="595" t="s">
        <v>1974</v>
      </c>
      <c r="EH35" s="595" t="s">
        <v>1964</v>
      </c>
      <c r="EI35" s="595">
        <v>0</v>
      </c>
      <c r="EJ35" s="595">
        <v>0</v>
      </c>
      <c r="EK35" s="595">
        <v>5</v>
      </c>
      <c r="EL35" s="595" t="s">
        <v>1975</v>
      </c>
      <c r="EM35" s="595">
        <v>0</v>
      </c>
      <c r="EN35" s="595">
        <v>1</v>
      </c>
      <c r="EO35" s="595">
        <v>2874405152</v>
      </c>
      <c r="EP35" s="595">
        <v>63236684586</v>
      </c>
      <c r="EQ35" s="595">
        <v>1195457256</v>
      </c>
      <c r="ER35" s="595">
        <v>365423187</v>
      </c>
      <c r="ES35" s="430">
        <v>960544195</v>
      </c>
      <c r="ET35" s="595">
        <v>5519000</v>
      </c>
      <c r="EU35" s="595">
        <v>17081158000</v>
      </c>
      <c r="EV35" s="595">
        <v>0</v>
      </c>
      <c r="EW35" s="595">
        <v>129000000</v>
      </c>
      <c r="EX35" s="595">
        <v>0</v>
      </c>
      <c r="EY35" s="595" t="s">
        <v>1974</v>
      </c>
      <c r="EZ35" s="595" t="s">
        <v>1964</v>
      </c>
      <c r="FA35" s="595">
        <v>0</v>
      </c>
      <c r="FB35" s="595">
        <v>0</v>
      </c>
      <c r="FC35" s="595">
        <v>5</v>
      </c>
      <c r="FD35" s="595" t="s">
        <v>1975</v>
      </c>
      <c r="FE35" s="595">
        <v>0</v>
      </c>
      <c r="FF35" s="595">
        <v>1</v>
      </c>
      <c r="FG35" s="595">
        <v>2874683968</v>
      </c>
      <c r="FH35" s="595">
        <v>63242799493</v>
      </c>
      <c r="FI35" s="595">
        <v>46780081</v>
      </c>
      <c r="FJ35" s="595">
        <v>6306724458</v>
      </c>
      <c r="FK35" s="595">
        <v>1885936622</v>
      </c>
      <c r="FL35" s="595">
        <v>667458107</v>
      </c>
      <c r="FM35" s="595">
        <v>7079736569</v>
      </c>
      <c r="FN35" s="595">
        <v>5882412903</v>
      </c>
      <c r="FO35" s="430">
        <v>295560787</v>
      </c>
      <c r="FP35" s="430">
        <v>799859246</v>
      </c>
      <c r="FQ35" s="595" t="s">
        <v>1974</v>
      </c>
      <c r="FR35" s="595" t="s">
        <v>1964</v>
      </c>
      <c r="FS35" s="595">
        <v>0</v>
      </c>
      <c r="FT35" s="595">
        <v>0</v>
      </c>
      <c r="FU35" s="595">
        <v>5</v>
      </c>
      <c r="FV35" s="595" t="s">
        <v>1975</v>
      </c>
      <c r="FW35" s="595">
        <v>0</v>
      </c>
      <c r="FX35" s="595">
        <v>1</v>
      </c>
      <c r="FY35" s="595">
        <v>2874429248</v>
      </c>
      <c r="FZ35" s="595">
        <v>63237227831</v>
      </c>
      <c r="GA35" s="595">
        <v>452570576</v>
      </c>
      <c r="GB35" s="595">
        <v>447207817</v>
      </c>
      <c r="GC35" s="595">
        <v>421998896</v>
      </c>
      <c r="GD35" s="595">
        <v>421998896</v>
      </c>
      <c r="GE35" s="595">
        <v>1578</v>
      </c>
      <c r="GF35" s="595">
        <v>2</v>
      </c>
      <c r="GG35" s="595">
        <v>427</v>
      </c>
      <c r="GH35" s="595">
        <v>830947</v>
      </c>
      <c r="GI35" s="595" t="s">
        <v>1974</v>
      </c>
      <c r="GJ35" s="595" t="s">
        <v>1964</v>
      </c>
      <c r="GK35" s="595">
        <v>0</v>
      </c>
      <c r="GL35" s="595">
        <v>0</v>
      </c>
      <c r="GM35" s="595">
        <v>5</v>
      </c>
      <c r="GN35" s="595" t="s">
        <v>1975</v>
      </c>
      <c r="GO35" s="595">
        <v>0</v>
      </c>
      <c r="GP35" s="595">
        <v>1</v>
      </c>
      <c r="GQ35" s="595">
        <v>2874472928</v>
      </c>
      <c r="GR35" s="595">
        <v>63238187735</v>
      </c>
      <c r="GS35" s="595">
        <v>1101835000</v>
      </c>
      <c r="GT35" s="595">
        <v>86003000</v>
      </c>
      <c r="GU35" s="595">
        <v>0</v>
      </c>
      <c r="GV35" s="595">
        <v>0</v>
      </c>
      <c r="GW35" s="595">
        <v>0</v>
      </c>
      <c r="GX35" s="595">
        <v>8</v>
      </c>
      <c r="GY35" s="595">
        <v>521367032</v>
      </c>
      <c r="GZ35" s="595">
        <v>400468206</v>
      </c>
      <c r="HA35" s="595" t="s">
        <v>1974</v>
      </c>
      <c r="HB35" s="595" t="s">
        <v>1964</v>
      </c>
      <c r="HC35" s="595">
        <v>0</v>
      </c>
      <c r="HD35" s="595">
        <v>0</v>
      </c>
      <c r="HE35" s="595">
        <v>5</v>
      </c>
      <c r="HF35" s="595" t="s">
        <v>1975</v>
      </c>
      <c r="HG35" s="595">
        <v>0</v>
      </c>
      <c r="HH35" s="595">
        <v>1</v>
      </c>
      <c r="HI35" s="595">
        <v>2874568736</v>
      </c>
      <c r="HJ35" s="595">
        <v>63240302852</v>
      </c>
      <c r="HK35" s="595">
        <v>0</v>
      </c>
      <c r="HL35" s="595">
        <v>0</v>
      </c>
      <c r="HM35" s="595">
        <v>0</v>
      </c>
      <c r="HN35" s="595">
        <v>1085738001</v>
      </c>
      <c r="HO35" s="595">
        <v>129004009</v>
      </c>
      <c r="HP35" s="595">
        <v>37627017</v>
      </c>
      <c r="HQ35" s="595">
        <v>258007009</v>
      </c>
      <c r="HR35" s="595">
        <v>0</v>
      </c>
      <c r="HS35" s="595" t="s">
        <v>1974</v>
      </c>
      <c r="HT35" s="595" t="s">
        <v>1964</v>
      </c>
      <c r="HU35" s="595">
        <v>0</v>
      </c>
      <c r="HV35" s="595">
        <v>0</v>
      </c>
      <c r="HW35" s="595">
        <v>5</v>
      </c>
      <c r="HX35" s="595" t="s">
        <v>1975</v>
      </c>
      <c r="HY35" s="595">
        <v>0</v>
      </c>
      <c r="HZ35" s="595">
        <v>1</v>
      </c>
      <c r="IA35" s="595">
        <v>2874626720</v>
      </c>
      <c r="IB35" s="595">
        <v>63241543269</v>
      </c>
      <c r="IC35" s="595">
        <v>16307661534</v>
      </c>
      <c r="ID35" s="595">
        <v>1325419225</v>
      </c>
      <c r="IE35" s="595">
        <v>0</v>
      </c>
      <c r="IF35" s="595">
        <v>16307643509</v>
      </c>
      <c r="IG35" s="595">
        <v>14457386</v>
      </c>
      <c r="IH35" s="595">
        <v>400474709</v>
      </c>
      <c r="II35" s="595">
        <v>0</v>
      </c>
      <c r="IJ35" s="595">
        <v>0</v>
      </c>
      <c r="IK35" s="595" t="s">
        <v>1974</v>
      </c>
      <c r="IL35" s="595" t="s">
        <v>1964</v>
      </c>
      <c r="IM35" s="595">
        <v>0</v>
      </c>
      <c r="IN35" s="595">
        <v>0</v>
      </c>
      <c r="IO35" s="595">
        <v>5</v>
      </c>
      <c r="IP35" s="595" t="s">
        <v>1975</v>
      </c>
      <c r="IQ35" s="595">
        <v>0</v>
      </c>
      <c r="IR35" s="595">
        <v>1</v>
      </c>
      <c r="IS35" s="595">
        <v>2873584192</v>
      </c>
      <c r="IT35" s="595">
        <v>63218632517</v>
      </c>
      <c r="IU35" s="595">
        <v>0</v>
      </c>
      <c r="IV35" s="595">
        <v>0</v>
      </c>
      <c r="IW35" s="595">
        <v>827734000</v>
      </c>
      <c r="IX35" s="595">
        <v>0</v>
      </c>
      <c r="IY35" s="595">
        <v>553630000</v>
      </c>
      <c r="IZ35" s="595">
        <v>257994001</v>
      </c>
      <c r="JA35" s="595">
        <v>0</v>
      </c>
      <c r="JB35" s="595">
        <v>0</v>
      </c>
      <c r="JC35" s="595" t="s">
        <v>1974</v>
      </c>
      <c r="JD35" s="595" t="s">
        <v>1964</v>
      </c>
      <c r="JE35" s="595">
        <v>0</v>
      </c>
      <c r="JF35" s="595">
        <v>0</v>
      </c>
      <c r="JG35" s="595">
        <v>5</v>
      </c>
      <c r="JH35" s="595" t="s">
        <v>1975</v>
      </c>
      <c r="JI35" s="595">
        <v>0</v>
      </c>
      <c r="JJ35" s="595">
        <v>1</v>
      </c>
      <c r="JK35" s="595">
        <v>2873606880</v>
      </c>
      <c r="JL35" s="595">
        <v>63219138998</v>
      </c>
      <c r="JM35" s="595">
        <v>448133566</v>
      </c>
      <c r="JN35" s="595">
        <v>0</v>
      </c>
      <c r="JO35" s="595">
        <v>0</v>
      </c>
      <c r="JP35" s="595">
        <v>269244750</v>
      </c>
      <c r="JQ35" s="595">
        <v>0</v>
      </c>
      <c r="JR35" s="595">
        <v>0</v>
      </c>
      <c r="JS35" s="595">
        <v>162659939</v>
      </c>
      <c r="JT35" s="595">
        <v>0</v>
      </c>
      <c r="JU35" s="595" t="s">
        <v>1974</v>
      </c>
      <c r="JV35" s="595" t="s">
        <v>1964</v>
      </c>
      <c r="JW35" s="595">
        <v>0</v>
      </c>
      <c r="JX35" s="595">
        <v>0</v>
      </c>
      <c r="JY35" s="595">
        <v>5</v>
      </c>
      <c r="JZ35" s="595" t="s">
        <v>1975</v>
      </c>
      <c r="KA35" s="595">
        <v>0</v>
      </c>
      <c r="KB35" s="595">
        <v>1</v>
      </c>
      <c r="KC35" s="595">
        <v>2874146016</v>
      </c>
      <c r="KD35" s="595">
        <v>63230898773</v>
      </c>
      <c r="KE35" s="595">
        <v>193500000</v>
      </c>
      <c r="KF35" s="595">
        <v>3903203030</v>
      </c>
      <c r="KG35" s="595">
        <v>1192115859</v>
      </c>
      <c r="KH35" s="595">
        <v>56015212954</v>
      </c>
      <c r="KI35" s="595">
        <v>14328916862</v>
      </c>
      <c r="KJ35" s="595">
        <v>3671386331</v>
      </c>
      <c r="KK35" s="595">
        <v>973769507</v>
      </c>
      <c r="KL35" s="595">
        <v>0</v>
      </c>
      <c r="KM35" s="595" t="s">
        <v>1974</v>
      </c>
      <c r="KN35" s="595" t="s">
        <v>1964</v>
      </c>
      <c r="KO35" s="595">
        <v>0</v>
      </c>
      <c r="KP35" s="595">
        <v>0</v>
      </c>
      <c r="KQ35" s="595">
        <v>5</v>
      </c>
      <c r="KR35" s="595" t="s">
        <v>1975</v>
      </c>
      <c r="KS35" s="595">
        <v>0</v>
      </c>
      <c r="KT35" s="595">
        <v>1</v>
      </c>
      <c r="KU35" s="595">
        <v>2874651648</v>
      </c>
      <c r="KV35" s="595">
        <v>63242111041</v>
      </c>
      <c r="KW35" s="595">
        <v>5592691246</v>
      </c>
      <c r="KX35" s="595">
        <v>42542244</v>
      </c>
      <c r="KY35" s="595">
        <v>9685767</v>
      </c>
      <c r="KZ35" s="595">
        <v>13496559565</v>
      </c>
      <c r="LA35" s="595">
        <v>2505704730</v>
      </c>
      <c r="LB35" s="595">
        <v>719409</v>
      </c>
      <c r="LC35" s="595">
        <v>12350</v>
      </c>
      <c r="LD35" s="595">
        <v>14500</v>
      </c>
      <c r="LE35" s="595" t="s">
        <v>1974</v>
      </c>
      <c r="LF35" s="595" t="s">
        <v>1964</v>
      </c>
      <c r="LG35" s="595">
        <v>0</v>
      </c>
      <c r="LH35" s="595">
        <v>0</v>
      </c>
      <c r="LI35" s="595">
        <v>5</v>
      </c>
      <c r="LJ35" s="595" t="s">
        <v>1975</v>
      </c>
      <c r="LK35" s="595">
        <v>0</v>
      </c>
      <c r="LL35" s="595">
        <v>1</v>
      </c>
      <c r="LM35" s="595">
        <v>2874542208</v>
      </c>
      <c r="LN35" s="595">
        <v>63239709122</v>
      </c>
      <c r="LO35" s="595">
        <v>5540390069</v>
      </c>
      <c r="LP35" s="595">
        <v>959</v>
      </c>
      <c r="LQ35" s="595">
        <v>0</v>
      </c>
      <c r="LR35" s="595">
        <v>2505791316</v>
      </c>
      <c r="LS35" s="595">
        <v>178</v>
      </c>
      <c r="LT35" s="595">
        <v>0</v>
      </c>
      <c r="LU35" s="595">
        <v>5540214545</v>
      </c>
      <c r="LV35" s="595">
        <v>31025</v>
      </c>
      <c r="MC35" s="252" t="s">
        <v>1775</v>
      </c>
      <c r="MD35" s="371"/>
      <c r="ME35" s="372"/>
      <c r="MF35" s="372"/>
      <c r="MG35" s="372"/>
      <c r="MH35" s="372"/>
      <c r="MI35" s="372"/>
      <c r="MJ35" s="372"/>
      <c r="MK35" s="372"/>
      <c r="ML35" s="372"/>
      <c r="MM35" s="372"/>
      <c r="MN35" s="372"/>
      <c r="MO35" s="372"/>
      <c r="MP35" s="372"/>
      <c r="MQ35" s="372"/>
      <c r="MR35" s="372"/>
      <c r="MS35" s="372"/>
      <c r="MT35" s="373"/>
      <c r="NA35" s="424">
        <f t="shared" si="100"/>
        <v>0</v>
      </c>
      <c r="NB35" s="424">
        <f t="shared" si="101"/>
        <v>5</v>
      </c>
      <c r="NC35" s="207">
        <f t="shared" si="102"/>
        <v>28.748364479999999</v>
      </c>
      <c r="ND35" s="208">
        <f t="shared" si="103"/>
        <v>2.3811313526243425</v>
      </c>
      <c r="NE35" s="209">
        <f t="shared" si="15"/>
        <v>3.3823041189973563E-2</v>
      </c>
      <c r="NF35" s="208">
        <f t="shared" si="16"/>
        <v>6.0122856313528974</v>
      </c>
      <c r="NG35" s="210"/>
      <c r="NH35" s="211">
        <f t="shared" si="104"/>
        <v>13496585731</v>
      </c>
      <c r="NI35" s="208">
        <f t="shared" si="17"/>
        <v>68453632000</v>
      </c>
      <c r="NJ35" s="212">
        <f t="shared" si="105"/>
        <v>0.80523469161817163</v>
      </c>
      <c r="NK35" s="213">
        <f t="shared" si="106"/>
        <v>0.9981155127020872</v>
      </c>
      <c r="NL35" s="214">
        <f t="shared" si="18"/>
        <v>1</v>
      </c>
      <c r="NM35" s="208">
        <f t="shared" si="107"/>
        <v>0.21339779152807462</v>
      </c>
      <c r="NN35" s="208">
        <f t="shared" si="19"/>
        <v>0.46947316743494966</v>
      </c>
      <c r="NO35" s="215">
        <f t="shared" si="20"/>
        <v>1.717488773049776E-4</v>
      </c>
      <c r="NP35" s="216">
        <f t="shared" si="108"/>
        <v>0</v>
      </c>
      <c r="NQ35" s="215">
        <f t="shared" si="109"/>
        <v>0.19076614009867046</v>
      </c>
      <c r="NR35" s="215">
        <f t="shared" si="110"/>
        <v>6.2185824040257645E-2</v>
      </c>
      <c r="NS35" s="215">
        <f t="shared" si="21"/>
        <v>1.2416314152334459E-2</v>
      </c>
      <c r="NT35" s="215">
        <f t="shared" si="22"/>
        <v>3.861410088643609E-3</v>
      </c>
      <c r="NU35" s="215">
        <f t="shared" si="23"/>
        <v>7.3329663536551556E-2</v>
      </c>
      <c r="NV35" s="215">
        <f t="shared" si="111"/>
        <v>9.4038297536250806</v>
      </c>
      <c r="NW35" s="215">
        <f t="shared" si="24"/>
        <v>2.2395097339054271</v>
      </c>
      <c r="NX35" s="215">
        <f t="shared" si="25"/>
        <v>11.534630944409782</v>
      </c>
      <c r="NY35" s="215">
        <f t="shared" si="26"/>
        <v>2.5087261968117515E-3</v>
      </c>
      <c r="NZ35" s="215">
        <f t="shared" si="27"/>
        <v>1.2109038208401681</v>
      </c>
      <c r="OA35" s="215">
        <f t="shared" si="28"/>
        <v>0</v>
      </c>
      <c r="OB35" s="215">
        <f t="shared" si="29"/>
        <v>6.477118389027979E-2</v>
      </c>
      <c r="OC35" s="215">
        <f t="shared" si="30"/>
        <v>0</v>
      </c>
      <c r="OD35" s="215">
        <f t="shared" si="31"/>
        <v>2.803253596513787</v>
      </c>
      <c r="OE35" s="215">
        <f t="shared" si="32"/>
        <v>0.54340912036526412</v>
      </c>
      <c r="OF35" s="215">
        <f t="shared" si="33"/>
        <v>0.16610739665688343</v>
      </c>
      <c r="OG35" s="215">
        <f t="shared" si="34"/>
        <v>0.43662663257690804</v>
      </c>
      <c r="OH35" s="215">
        <f t="shared" si="35"/>
        <v>8.2470225844385309E-5</v>
      </c>
      <c r="OI35" s="215">
        <f t="shared" si="112"/>
        <v>28.748364479999999</v>
      </c>
      <c r="OJ35" s="218">
        <f t="shared" si="113"/>
        <v>0.10990875538751847</v>
      </c>
      <c r="OK35" s="218">
        <f t="shared" si="114"/>
        <v>7.778506667625508E-2</v>
      </c>
      <c r="OL35" s="218">
        <f t="shared" si="115"/>
        <v>4.6734298508198397E-3</v>
      </c>
      <c r="OM35" s="218">
        <f t="shared" si="116"/>
        <v>1.2647435793675327E-2</v>
      </c>
      <c r="ON35" s="217">
        <f t="shared" si="36"/>
        <v>0.16805688994158344</v>
      </c>
      <c r="OO35" s="210"/>
      <c r="OP35" s="210"/>
      <c r="OQ35" s="218">
        <f t="shared" si="117"/>
        <v>0.11194533805834476</v>
      </c>
      <c r="OR35" s="218">
        <f t="shared" si="118"/>
        <v>9.3013164346892843E-2</v>
      </c>
      <c r="OS35" s="218">
        <f t="shared" si="37"/>
        <v>1</v>
      </c>
      <c r="OT35" s="218">
        <f t="shared" si="38"/>
        <v>0.94737819689059688</v>
      </c>
      <c r="OU35" s="209">
        <f t="shared" si="39"/>
        <v>0.95357733945460943</v>
      </c>
      <c r="OV35" s="209">
        <f t="shared" si="40"/>
        <v>0.91968098963587697</v>
      </c>
      <c r="OW35" s="209">
        <f t="shared" si="119"/>
        <v>1.484017279111682E-2</v>
      </c>
      <c r="OX35" s="219">
        <f t="shared" si="41"/>
        <v>3.1637631065405932E-8</v>
      </c>
      <c r="OY35" s="208">
        <f t="shared" si="120"/>
        <v>3929114518</v>
      </c>
      <c r="OZ35" s="208">
        <f t="shared" si="42"/>
        <v>467747482</v>
      </c>
      <c r="PA35" s="209">
        <f t="shared" si="121"/>
        <v>0.11904653831217245</v>
      </c>
      <c r="PB35" s="209">
        <f>IF(OR($CQ35="",$OZ35=""),"",IF($OZ35=0,0,
GuardLimitUpper(
  ($OZ35-$CQ35)/$OZ35,
  data_GuardLimitFlag,
  1)
))</f>
        <v>3.2433151612347964E-2</v>
      </c>
      <c r="PC35" s="209">
        <f t="shared" si="43"/>
        <v>0.95608813346856247</v>
      </c>
      <c r="PD35" s="209">
        <f t="shared" si="44"/>
        <v>1.1478714919089613E-2</v>
      </c>
      <c r="PE35" s="208">
        <f t="shared" si="122"/>
        <v>461440326</v>
      </c>
      <c r="PF35" s="209">
        <f t="shared" si="123"/>
        <v>0.11744130233060313</v>
      </c>
      <c r="PG35" s="209">
        <f t="shared" si="45"/>
        <v>8.9373041042241447E-2</v>
      </c>
      <c r="PH35" s="209">
        <f t="shared" si="46"/>
        <v>0.91242358840561111</v>
      </c>
      <c r="PI35" s="209">
        <f t="shared" si="47"/>
        <v>0</v>
      </c>
      <c r="PJ35" s="220">
        <f t="shared" si="48"/>
        <v>4.0161720733027514E-7</v>
      </c>
      <c r="PK35" s="220">
        <f t="shared" si="49"/>
        <v>5.0902054160998112E-10</v>
      </c>
      <c r="PL35" s="221">
        <f t="shared" si="124"/>
        <v>220367000</v>
      </c>
      <c r="PM35" s="221">
        <f t="shared" si="50"/>
        <v>0</v>
      </c>
      <c r="PN35" s="221">
        <f t="shared" si="125"/>
        <v>1322202000</v>
      </c>
      <c r="PO35" s="221">
        <f t="shared" si="51"/>
        <v>0</v>
      </c>
      <c r="PP35" s="221">
        <f t="shared" si="52"/>
        <v>1101835000</v>
      </c>
      <c r="PQ35" s="529">
        <f t="shared" si="126"/>
        <v>0</v>
      </c>
      <c r="PR35" s="221">
        <f t="shared" si="53"/>
        <v>0</v>
      </c>
      <c r="PS35" s="221">
        <f t="shared" si="54"/>
        <v>387075145</v>
      </c>
      <c r="PT35" s="221">
        <f t="shared" si="127"/>
        <v>21504000</v>
      </c>
      <c r="PU35" s="221">
        <f t="shared" si="55"/>
        <v>0</v>
      </c>
      <c r="PV35" s="221">
        <f t="shared" si="128"/>
        <v>661101000</v>
      </c>
      <c r="PW35" s="221">
        <f t="shared" si="56"/>
        <v>86003000</v>
      </c>
      <c r="PX35" s="221">
        <f t="shared" si="162"/>
        <v>0</v>
      </c>
      <c r="PY35" s="221">
        <f t="shared" si="57"/>
        <v>129027373</v>
      </c>
      <c r="PZ35" s="221">
        <f t="shared" si="58"/>
        <v>0</v>
      </c>
      <c r="QA35" s="221">
        <f t="shared" si="59"/>
        <v>0</v>
      </c>
      <c r="QB35" s="221">
        <f t="shared" si="60"/>
        <v>5362041</v>
      </c>
      <c r="QC35" s="221">
        <f t="shared" si="61"/>
        <v>8</v>
      </c>
      <c r="QD35" s="221">
        <f t="shared" si="129"/>
        <v>2719670000</v>
      </c>
      <c r="QE35" s="221">
        <f t="shared" si="130"/>
        <v>3085138000</v>
      </c>
      <c r="QF35" s="221">
        <f t="shared" si="131"/>
        <v>220367000</v>
      </c>
      <c r="QG35" s="222">
        <f t="shared" si="62"/>
        <v>0</v>
      </c>
      <c r="QH35" s="222">
        <f t="shared" si="63"/>
        <v>1085738001</v>
      </c>
      <c r="QI35" s="222">
        <f t="shared" si="64"/>
        <v>521367032</v>
      </c>
      <c r="QJ35" s="222">
        <f t="shared" si="65"/>
        <v>400468206</v>
      </c>
      <c r="QK35" s="222">
        <f t="shared" si="66"/>
        <v>37627017</v>
      </c>
      <c r="QL35" s="222">
        <f t="shared" si="132"/>
        <v>0</v>
      </c>
      <c r="QM35" s="222">
        <f>IF(OR($O$8="Lv2",$O$8="Lv3",$O$8="Lv4"),IF(OR($AS35="",COUNT($PL35:$QL35)=0),"",
GuardLimitLower(
  $AS35-SUM($PL35:$QL35),
  data_GuardLimitFlag,
  0)
),"")</f>
        <v>1491733908</v>
      </c>
      <c r="QN35" s="222">
        <f t="shared" si="133"/>
        <v>13496585731</v>
      </c>
      <c r="QO35" s="222">
        <f t="shared" si="134"/>
        <v>68453632000</v>
      </c>
      <c r="QP35" s="222">
        <f t="shared" si="135"/>
        <v>0</v>
      </c>
      <c r="QQ35" s="222">
        <f t="shared" si="136"/>
        <v>0</v>
      </c>
      <c r="QR35" s="222">
        <f t="shared" si="67"/>
        <v>2.3811313526243425</v>
      </c>
      <c r="QS35" s="209">
        <f t="shared" si="68"/>
        <v>3.658661868767199E-2</v>
      </c>
      <c r="QT35" s="209">
        <f t="shared" si="69"/>
        <v>0.73801034066757587</v>
      </c>
      <c r="QU35" s="209">
        <f t="shared" si="70"/>
        <v>0.22540304064475217</v>
      </c>
      <c r="QV35" s="208">
        <f t="shared" si="71"/>
        <v>16307661534</v>
      </c>
      <c r="QW35" s="208">
        <f t="shared" si="72"/>
        <v>553630000</v>
      </c>
      <c r="QX35" s="208">
        <f t="shared" si="73"/>
        <v>257994001</v>
      </c>
      <c r="QY35" s="208">
        <f t="shared" si="74"/>
        <v>827734000</v>
      </c>
      <c r="QZ35" s="208">
        <f t="shared" si="75"/>
        <v>0</v>
      </c>
      <c r="RA35" s="209">
        <f t="shared" si="137"/>
        <v>0.99999889469131042</v>
      </c>
      <c r="RB35" s="209">
        <f t="shared" si="76"/>
        <v>3.6101207994524293E-2</v>
      </c>
      <c r="RC35" s="209">
        <f t="shared" si="77"/>
        <v>0.5092205520088442</v>
      </c>
      <c r="RD35" s="209">
        <f t="shared" si="78"/>
        <v>0</v>
      </c>
      <c r="RE35" s="209">
        <f t="shared" si="79"/>
        <v>0</v>
      </c>
      <c r="RF35" s="209">
        <f t="shared" si="80"/>
        <v>0.30594664319450521</v>
      </c>
      <c r="RG35" s="209">
        <f t="shared" si="81"/>
        <v>0</v>
      </c>
      <c r="RH35" s="209">
        <f t="shared" si="82"/>
        <v>0</v>
      </c>
      <c r="RI35" s="209">
        <f t="shared" si="83"/>
        <v>0.18483280479665057</v>
      </c>
      <c r="RJ35" s="134"/>
      <c r="RK35" s="134"/>
      <c r="RL35" s="134"/>
      <c r="RM35" s="134"/>
      <c r="RN35" s="134"/>
      <c r="RO35" s="134"/>
      <c r="RP35" s="134"/>
      <c r="RQ35" s="134"/>
      <c r="RR35" s="222">
        <f t="shared" si="84"/>
        <v>1.7550144704440591</v>
      </c>
      <c r="RS35" s="224"/>
      <c r="RT35" s="224"/>
      <c r="RU35" s="208">
        <f t="shared" si="138"/>
        <v>28.748364479999999</v>
      </c>
      <c r="RV35" s="208">
        <f t="shared" si="139"/>
        <v>1</v>
      </c>
      <c r="RW35" s="208">
        <f t="shared" si="140"/>
        <v>0.99996839612459354</v>
      </c>
      <c r="RX35" s="208">
        <f t="shared" si="141"/>
        <v>0.99992085347308457</v>
      </c>
      <c r="RY35" s="208">
        <f t="shared" si="142"/>
        <v>0.99987914678284895</v>
      </c>
      <c r="RZ35" s="208">
        <f t="shared" si="85"/>
        <v>0.99991585961859308</v>
      </c>
      <c r="SA35" s="208">
        <f t="shared" si="86"/>
        <v>0.99992898122654184</v>
      </c>
      <c r="SB35" s="208">
        <f t="shared" si="87"/>
        <v>0.99985056244369042</v>
      </c>
      <c r="SC35" s="208">
        <f t="shared" si="88"/>
        <v>0.9999472467218633</v>
      </c>
      <c r="SD35" s="208">
        <f t="shared" si="89"/>
        <v>0.99985915182218732</v>
      </c>
      <c r="SE35" s="208">
        <f t="shared" si="90"/>
        <v>0.99987432909722274</v>
      </c>
      <c r="SF35" s="208">
        <f t="shared" si="91"/>
        <v>0.99990777172527845</v>
      </c>
      <c r="SG35" s="208">
        <f t="shared" si="92"/>
        <v>0.99992738425941474</v>
      </c>
      <c r="SH35" s="208">
        <f t="shared" si="93"/>
        <v>0.99957314489492022</v>
      </c>
      <c r="SI35" s="208">
        <f t="shared" si="94"/>
        <v>0.99956513680094705</v>
      </c>
      <c r="SJ35" s="208">
        <f t="shared" si="95"/>
        <v>0.99975908155059623</v>
      </c>
      <c r="SK35" s="208">
        <f t="shared" si="96"/>
        <v>0.99993636144025932</v>
      </c>
      <c r="SL35" s="208">
        <f t="shared" si="97"/>
        <v>0.99989838411619791</v>
      </c>
      <c r="SM35" s="222">
        <f t="shared" si="143"/>
        <v>1</v>
      </c>
      <c r="SN35" s="225">
        <f t="shared" si="98"/>
        <v>28.748364479999999</v>
      </c>
      <c r="SO35" s="209">
        <f t="shared" si="144"/>
        <v>0.99875401770009253</v>
      </c>
      <c r="SP35" s="209">
        <f t="shared" si="145"/>
        <v>0.9999998082478373</v>
      </c>
      <c r="SQ35" s="222">
        <f t="shared" si="146"/>
        <v>63246135934</v>
      </c>
      <c r="SR35" s="222">
        <f t="shared" si="147"/>
        <v>63244137111</v>
      </c>
      <c r="SS35" s="222">
        <f t="shared" si="148"/>
        <v>63241130222</v>
      </c>
      <c r="ST35" s="222">
        <f t="shared" si="149"/>
        <v>63238492435</v>
      </c>
      <c r="SU35" s="222">
        <f t="shared" si="150"/>
        <v>63240814380</v>
      </c>
      <c r="SV35" s="222">
        <f t="shared" si="151"/>
        <v>63241644271</v>
      </c>
      <c r="SW35" s="222">
        <f t="shared" si="152"/>
        <v>63236684586</v>
      </c>
      <c r="SX35" s="222">
        <f t="shared" si="153"/>
        <v>63242799493</v>
      </c>
      <c r="SY35" s="222">
        <f t="shared" si="154"/>
        <v>63237227831</v>
      </c>
      <c r="SZ35" s="222">
        <f t="shared" si="155"/>
        <v>63238187735</v>
      </c>
      <c r="TA35" s="222">
        <f t="shared" si="156"/>
        <v>63240302852</v>
      </c>
      <c r="TB35" s="222">
        <f t="shared" si="157"/>
        <v>63241543269</v>
      </c>
      <c r="TC35" s="222">
        <f t="shared" si="99"/>
        <v>63219138998</v>
      </c>
      <c r="TD35" s="222">
        <f t="shared" si="158"/>
        <v>63218632517</v>
      </c>
      <c r="TE35" s="222">
        <f t="shared" si="159"/>
        <v>63230898773</v>
      </c>
      <c r="TF35" s="222">
        <f t="shared" si="160"/>
        <v>63242111041</v>
      </c>
      <c r="TG35" s="222">
        <f t="shared" si="161"/>
        <v>63239709122</v>
      </c>
      <c r="TQ35" s="377"/>
      <c r="TR35" s="376"/>
      <c r="TS35" s="374"/>
      <c r="TT35" s="374"/>
      <c r="TU35" s="374"/>
      <c r="TV35" s="374"/>
      <c r="TW35" s="254"/>
      <c r="UC35" s="377"/>
      <c r="UD35" s="376"/>
      <c r="UE35" s="374"/>
      <c r="UF35" s="374"/>
      <c r="UG35" s="374"/>
      <c r="UH35" s="374"/>
      <c r="UI35" s="254"/>
      <c r="VK35" s="2"/>
      <c r="WC35" s="239"/>
      <c r="WD35" s="239"/>
      <c r="WE35" s="239"/>
      <c r="WF35" s="239"/>
      <c r="WG35" s="239"/>
      <c r="WH35" s="239"/>
      <c r="WI35" s="239"/>
      <c r="WJ35" s="239"/>
      <c r="WK35" s="239"/>
      <c r="WL35" s="239"/>
      <c r="WM35" s="239"/>
      <c r="WN35" s="239"/>
      <c r="WO35" s="239"/>
      <c r="WP35" s="239"/>
      <c r="WQ35" s="239"/>
      <c r="WR35" s="239"/>
      <c r="WS35" s="239"/>
    </row>
    <row r="36" spans="28:617" x14ac:dyDescent="0.25">
      <c r="AB36" s="254">
        <v>6</v>
      </c>
      <c r="AC36" s="430" t="s">
        <v>1974</v>
      </c>
      <c r="AD36" s="430" t="s">
        <v>1964</v>
      </c>
      <c r="AE36" s="430">
        <v>0</v>
      </c>
      <c r="AF36" s="430">
        <v>0</v>
      </c>
      <c r="AG36" s="430">
        <v>6</v>
      </c>
      <c r="AH36" s="430" t="s">
        <v>1975</v>
      </c>
      <c r="AI36" s="430">
        <v>0</v>
      </c>
      <c r="AJ36" s="430">
        <v>1</v>
      </c>
      <c r="AK36" s="594">
        <v>2870051392</v>
      </c>
      <c r="AL36" s="594">
        <v>63140867585</v>
      </c>
      <c r="AM36" s="430">
        <v>17081158000</v>
      </c>
      <c r="AN36" s="430">
        <v>129000000</v>
      </c>
      <c r="AO36" s="430">
        <v>465516009</v>
      </c>
      <c r="AP36" s="430">
        <v>209245414</v>
      </c>
      <c r="AQ36" s="595">
        <v>3357357</v>
      </c>
      <c r="AR36" s="595">
        <v>411795</v>
      </c>
      <c r="AS36" s="594">
        <v>13496587585</v>
      </c>
      <c r="AT36" s="594">
        <v>10867919049</v>
      </c>
      <c r="AU36" s="430" t="s">
        <v>1974</v>
      </c>
      <c r="AV36" s="430" t="s">
        <v>1964</v>
      </c>
      <c r="AW36" s="430">
        <v>0</v>
      </c>
      <c r="AX36" s="430">
        <v>0</v>
      </c>
      <c r="AY36" s="430">
        <v>6</v>
      </c>
      <c r="AZ36" s="430" t="s">
        <v>1975</v>
      </c>
      <c r="BA36" s="430">
        <v>0</v>
      </c>
      <c r="BB36" s="430">
        <v>1</v>
      </c>
      <c r="BC36" s="430">
        <v>2870233568</v>
      </c>
      <c r="BD36" s="430">
        <v>63144805486</v>
      </c>
      <c r="BE36" s="430">
        <v>54459244390</v>
      </c>
      <c r="BF36" s="595">
        <v>6160834570</v>
      </c>
      <c r="BG36" s="430">
        <v>21326336203</v>
      </c>
      <c r="BH36" s="595">
        <v>170100</v>
      </c>
      <c r="BI36" s="430">
        <v>30318471198</v>
      </c>
      <c r="BJ36" s="430">
        <v>142886149</v>
      </c>
      <c r="BK36" s="430">
        <v>0</v>
      </c>
      <c r="BL36" s="430">
        <v>0</v>
      </c>
      <c r="BM36" s="430" t="s">
        <v>1974</v>
      </c>
      <c r="BN36" s="430" t="s">
        <v>1964</v>
      </c>
      <c r="BO36" s="430">
        <v>0</v>
      </c>
      <c r="BP36" s="430">
        <v>0</v>
      </c>
      <c r="BQ36" s="430">
        <v>6</v>
      </c>
      <c r="BR36" s="430" t="s">
        <v>1975</v>
      </c>
      <c r="BS36" s="430">
        <v>0</v>
      </c>
      <c r="BT36" s="430">
        <v>1</v>
      </c>
      <c r="BU36" s="430">
        <v>2870178112</v>
      </c>
      <c r="BV36" s="430">
        <v>63143380532</v>
      </c>
      <c r="BW36" s="594">
        <v>9911148077</v>
      </c>
      <c r="BX36" s="594">
        <v>11337798190</v>
      </c>
      <c r="BY36" s="430">
        <v>21148227104</v>
      </c>
      <c r="BZ36" s="430">
        <v>939183918</v>
      </c>
      <c r="CA36" s="430">
        <v>6950338879</v>
      </c>
      <c r="CB36" s="430">
        <v>119894635962</v>
      </c>
      <c r="CC36" s="430">
        <v>4919606440</v>
      </c>
      <c r="CD36" s="430">
        <v>74572044398</v>
      </c>
      <c r="CE36" s="430" t="s">
        <v>1974</v>
      </c>
      <c r="CF36" s="430" t="s">
        <v>1964</v>
      </c>
      <c r="CG36" s="430">
        <v>0</v>
      </c>
      <c r="CH36" s="430">
        <v>0</v>
      </c>
      <c r="CI36" s="430">
        <v>6</v>
      </c>
      <c r="CJ36" s="430" t="s">
        <v>1975</v>
      </c>
      <c r="CK36" s="430">
        <v>0</v>
      </c>
      <c r="CL36" s="430">
        <v>1</v>
      </c>
      <c r="CM36" s="430">
        <v>2869914848</v>
      </c>
      <c r="CN36" s="430">
        <v>63137893595</v>
      </c>
      <c r="CO36" s="430">
        <v>3363293</v>
      </c>
      <c r="CP36" s="430">
        <v>467663314</v>
      </c>
      <c r="CQ36" s="430">
        <v>453235380</v>
      </c>
      <c r="CR36" s="430">
        <v>465599764</v>
      </c>
      <c r="CS36" s="430">
        <v>60139614</v>
      </c>
      <c r="CT36" s="430">
        <v>1322202000</v>
      </c>
      <c r="CU36" s="430">
        <v>661101000</v>
      </c>
      <c r="CV36" s="430">
        <v>400256</v>
      </c>
      <c r="CW36" s="430" t="s">
        <v>1974</v>
      </c>
      <c r="CX36" s="430" t="s">
        <v>1964</v>
      </c>
      <c r="CY36" s="430">
        <v>0</v>
      </c>
      <c r="CZ36" s="430">
        <v>0</v>
      </c>
      <c r="DA36" s="430">
        <v>6</v>
      </c>
      <c r="DB36" s="430" t="s">
        <v>1975</v>
      </c>
      <c r="DC36" s="430">
        <v>0</v>
      </c>
      <c r="DD36" s="430">
        <v>1</v>
      </c>
      <c r="DE36" s="430">
        <v>2870072000</v>
      </c>
      <c r="DF36" s="430">
        <v>63141295860</v>
      </c>
      <c r="DG36" s="430">
        <v>6025175000</v>
      </c>
      <c r="DH36" s="430">
        <v>3085138000</v>
      </c>
      <c r="DI36" s="430">
        <v>220367000</v>
      </c>
      <c r="DJ36" s="430">
        <v>3031480218</v>
      </c>
      <c r="DK36" s="430">
        <v>897635728</v>
      </c>
      <c r="DL36" s="430">
        <v>2902411024</v>
      </c>
      <c r="DM36" s="430">
        <v>897612024</v>
      </c>
      <c r="DN36" s="430">
        <v>5362041</v>
      </c>
      <c r="DO36" s="595" t="s">
        <v>1974</v>
      </c>
      <c r="DP36" s="595" t="s">
        <v>1964</v>
      </c>
      <c r="DQ36" s="595">
        <v>0</v>
      </c>
      <c r="DR36" s="595">
        <v>0</v>
      </c>
      <c r="DS36" s="595">
        <v>6</v>
      </c>
      <c r="DT36" s="595" t="s">
        <v>1975</v>
      </c>
      <c r="DU36" s="595">
        <v>0</v>
      </c>
      <c r="DV36" s="595">
        <v>1</v>
      </c>
      <c r="DW36" s="595">
        <v>2870278176</v>
      </c>
      <c r="DX36" s="595">
        <v>63145891605</v>
      </c>
      <c r="DY36" s="595">
        <v>462692586</v>
      </c>
      <c r="DZ36" s="595">
        <v>140694863</v>
      </c>
      <c r="EA36" s="595">
        <v>29166749</v>
      </c>
      <c r="EB36" s="430">
        <v>481251959</v>
      </c>
      <c r="EC36" s="595">
        <v>424972787</v>
      </c>
      <c r="ED36" s="595">
        <v>0</v>
      </c>
      <c r="EE36" s="595">
        <v>0</v>
      </c>
      <c r="EF36" s="595">
        <v>25388294141</v>
      </c>
      <c r="EG36" s="595" t="s">
        <v>1974</v>
      </c>
      <c r="EH36" s="595" t="s">
        <v>1964</v>
      </c>
      <c r="EI36" s="595">
        <v>0</v>
      </c>
      <c r="EJ36" s="595">
        <v>0</v>
      </c>
      <c r="EK36" s="595">
        <v>6</v>
      </c>
      <c r="EL36" s="595" t="s">
        <v>1975</v>
      </c>
      <c r="EM36" s="595">
        <v>0</v>
      </c>
      <c r="EN36" s="595">
        <v>1</v>
      </c>
      <c r="EO36" s="595">
        <v>2869889536</v>
      </c>
      <c r="EP36" s="595">
        <v>63137332779</v>
      </c>
      <c r="EQ36" s="595">
        <v>1195900233</v>
      </c>
      <c r="ER36" s="595">
        <v>370951802</v>
      </c>
      <c r="ES36" s="430">
        <v>957869534</v>
      </c>
      <c r="ET36" s="595">
        <v>5572064</v>
      </c>
      <c r="EU36" s="595">
        <v>17081158000</v>
      </c>
      <c r="EV36" s="595">
        <v>0</v>
      </c>
      <c r="EW36" s="595">
        <v>129000000</v>
      </c>
      <c r="EX36" s="595">
        <v>0</v>
      </c>
      <c r="EY36" s="595" t="s">
        <v>1974</v>
      </c>
      <c r="EZ36" s="595" t="s">
        <v>1964</v>
      </c>
      <c r="FA36" s="595">
        <v>0</v>
      </c>
      <c r="FB36" s="595">
        <v>0</v>
      </c>
      <c r="FC36" s="595">
        <v>6</v>
      </c>
      <c r="FD36" s="595" t="s">
        <v>1975</v>
      </c>
      <c r="FE36" s="595">
        <v>0</v>
      </c>
      <c r="FF36" s="595">
        <v>1</v>
      </c>
      <c r="FG36" s="595">
        <v>2870110496</v>
      </c>
      <c r="FH36" s="595">
        <v>63142190819</v>
      </c>
      <c r="FI36" s="595">
        <v>46683068</v>
      </c>
      <c r="FJ36" s="595">
        <v>6296543454</v>
      </c>
      <c r="FK36" s="595">
        <v>1883132099</v>
      </c>
      <c r="FL36" s="595">
        <v>666538168</v>
      </c>
      <c r="FM36" s="595">
        <v>7079888247</v>
      </c>
      <c r="FN36" s="595">
        <v>5882792857</v>
      </c>
      <c r="FO36" s="430">
        <v>295458701</v>
      </c>
      <c r="FP36" s="430">
        <v>799500675</v>
      </c>
      <c r="FQ36" s="595" t="s">
        <v>1974</v>
      </c>
      <c r="FR36" s="595" t="s">
        <v>1964</v>
      </c>
      <c r="FS36" s="595">
        <v>0</v>
      </c>
      <c r="FT36" s="595">
        <v>0</v>
      </c>
      <c r="FU36" s="595">
        <v>6</v>
      </c>
      <c r="FV36" s="595" t="s">
        <v>1975</v>
      </c>
      <c r="FW36" s="595">
        <v>0</v>
      </c>
      <c r="FX36" s="595">
        <v>1</v>
      </c>
      <c r="FY36" s="595">
        <v>2869945632</v>
      </c>
      <c r="FZ36" s="595">
        <v>63138578510</v>
      </c>
      <c r="GA36" s="595">
        <v>453234396</v>
      </c>
      <c r="GB36" s="595">
        <v>447871604</v>
      </c>
      <c r="GC36" s="595">
        <v>405003955</v>
      </c>
      <c r="GD36" s="595">
        <v>405003955</v>
      </c>
      <c r="GE36" s="595">
        <v>1581</v>
      </c>
      <c r="GF36" s="595">
        <v>1</v>
      </c>
      <c r="GG36" s="595">
        <v>469</v>
      </c>
      <c r="GH36" s="595">
        <v>400050</v>
      </c>
      <c r="GI36" s="595" t="s">
        <v>1974</v>
      </c>
      <c r="GJ36" s="595" t="s">
        <v>1964</v>
      </c>
      <c r="GK36" s="595">
        <v>0</v>
      </c>
      <c r="GL36" s="595">
        <v>0</v>
      </c>
      <c r="GM36" s="595">
        <v>6</v>
      </c>
      <c r="GN36" s="595" t="s">
        <v>1975</v>
      </c>
      <c r="GO36" s="595">
        <v>0</v>
      </c>
      <c r="GP36" s="595">
        <v>1</v>
      </c>
      <c r="GQ36" s="595">
        <v>2870114656</v>
      </c>
      <c r="GR36" s="595">
        <v>63142267406</v>
      </c>
      <c r="GS36" s="595">
        <v>1101835000</v>
      </c>
      <c r="GT36" s="595">
        <v>86003000</v>
      </c>
      <c r="GU36" s="595">
        <v>0</v>
      </c>
      <c r="GV36" s="595">
        <v>0</v>
      </c>
      <c r="GW36" s="595">
        <v>0</v>
      </c>
      <c r="GX36" s="595">
        <v>8</v>
      </c>
      <c r="GY36" s="595">
        <v>521367032</v>
      </c>
      <c r="GZ36" s="595">
        <v>400469197</v>
      </c>
      <c r="HA36" s="595" t="s">
        <v>1974</v>
      </c>
      <c r="HB36" s="595" t="s">
        <v>1964</v>
      </c>
      <c r="HC36" s="595">
        <v>0</v>
      </c>
      <c r="HD36" s="595">
        <v>0</v>
      </c>
      <c r="HE36" s="595">
        <v>6</v>
      </c>
      <c r="HF36" s="595" t="s">
        <v>1975</v>
      </c>
      <c r="HG36" s="595">
        <v>0</v>
      </c>
      <c r="HH36" s="595">
        <v>1</v>
      </c>
      <c r="HI36" s="595">
        <v>2869906304</v>
      </c>
      <c r="HJ36" s="595">
        <v>63137705756</v>
      </c>
      <c r="HK36" s="595">
        <v>0</v>
      </c>
      <c r="HL36" s="595">
        <v>0</v>
      </c>
      <c r="HM36" s="595">
        <v>0</v>
      </c>
      <c r="HN36" s="595">
        <v>1085738017</v>
      </c>
      <c r="HO36" s="595">
        <v>129004029</v>
      </c>
      <c r="HP36" s="595">
        <v>37627017</v>
      </c>
      <c r="HQ36" s="595">
        <v>258007029</v>
      </c>
      <c r="HR36" s="595">
        <v>0</v>
      </c>
      <c r="HS36" s="595" t="s">
        <v>1974</v>
      </c>
      <c r="HT36" s="595" t="s">
        <v>1964</v>
      </c>
      <c r="HU36" s="595">
        <v>0</v>
      </c>
      <c r="HV36" s="595">
        <v>0</v>
      </c>
      <c r="HW36" s="595">
        <v>6</v>
      </c>
      <c r="HX36" s="595" t="s">
        <v>1975</v>
      </c>
      <c r="HY36" s="595">
        <v>0</v>
      </c>
      <c r="HZ36" s="595">
        <v>1</v>
      </c>
      <c r="IA36" s="595">
        <v>2871054688</v>
      </c>
      <c r="IB36" s="595">
        <v>63162927952</v>
      </c>
      <c r="IC36" s="595">
        <v>16307664656</v>
      </c>
      <c r="ID36" s="595">
        <v>1325479085</v>
      </c>
      <c r="IE36" s="595">
        <v>0</v>
      </c>
      <c r="IF36" s="595">
        <v>16307646623</v>
      </c>
      <c r="IG36" s="595">
        <v>14365855</v>
      </c>
      <c r="IH36" s="595">
        <v>400475327</v>
      </c>
      <c r="II36" s="595">
        <v>0</v>
      </c>
      <c r="IJ36" s="595">
        <v>0</v>
      </c>
      <c r="IK36" s="595" t="s">
        <v>1974</v>
      </c>
      <c r="IL36" s="595" t="s">
        <v>1964</v>
      </c>
      <c r="IM36" s="595">
        <v>0</v>
      </c>
      <c r="IN36" s="595">
        <v>0</v>
      </c>
      <c r="IO36" s="595">
        <v>6</v>
      </c>
      <c r="IP36" s="595" t="s">
        <v>1975</v>
      </c>
      <c r="IQ36" s="595">
        <v>0</v>
      </c>
      <c r="IR36" s="595">
        <v>1</v>
      </c>
      <c r="IS36" s="595">
        <v>2870380704</v>
      </c>
      <c r="IT36" s="595">
        <v>63148135131</v>
      </c>
      <c r="IU36" s="595">
        <v>0</v>
      </c>
      <c r="IV36" s="595">
        <v>0</v>
      </c>
      <c r="IW36" s="595">
        <v>827734000</v>
      </c>
      <c r="IX36" s="595">
        <v>0</v>
      </c>
      <c r="IY36" s="595">
        <v>553630000</v>
      </c>
      <c r="IZ36" s="595">
        <v>257994017</v>
      </c>
      <c r="JA36" s="595">
        <v>0</v>
      </c>
      <c r="JB36" s="595">
        <v>0</v>
      </c>
      <c r="JC36" s="595" t="s">
        <v>1974</v>
      </c>
      <c r="JD36" s="595" t="s">
        <v>1964</v>
      </c>
      <c r="JE36" s="595">
        <v>0</v>
      </c>
      <c r="JF36" s="595">
        <v>0</v>
      </c>
      <c r="JG36" s="595">
        <v>6</v>
      </c>
      <c r="JH36" s="595" t="s">
        <v>1975</v>
      </c>
      <c r="JI36" s="595">
        <v>0</v>
      </c>
      <c r="JJ36" s="595">
        <v>1</v>
      </c>
      <c r="JK36" s="595">
        <v>2870506912</v>
      </c>
      <c r="JL36" s="595">
        <v>63150903870</v>
      </c>
      <c r="JM36" s="595">
        <v>448600824</v>
      </c>
      <c r="JN36" s="595">
        <v>0</v>
      </c>
      <c r="JO36" s="595">
        <v>0</v>
      </c>
      <c r="JP36" s="595">
        <v>252922645</v>
      </c>
      <c r="JQ36" s="595">
        <v>0</v>
      </c>
      <c r="JR36" s="595">
        <v>0</v>
      </c>
      <c r="JS36" s="595">
        <v>162651516</v>
      </c>
      <c r="JT36" s="595">
        <v>0</v>
      </c>
      <c r="JU36" s="595" t="s">
        <v>1974</v>
      </c>
      <c r="JV36" s="595" t="s">
        <v>1964</v>
      </c>
      <c r="JW36" s="595">
        <v>0</v>
      </c>
      <c r="JX36" s="595">
        <v>0</v>
      </c>
      <c r="JY36" s="595">
        <v>6</v>
      </c>
      <c r="JZ36" s="595" t="s">
        <v>1975</v>
      </c>
      <c r="KA36" s="595">
        <v>0</v>
      </c>
      <c r="KB36" s="595">
        <v>1</v>
      </c>
      <c r="KC36" s="595">
        <v>2871216704</v>
      </c>
      <c r="KD36" s="595">
        <v>63166470991</v>
      </c>
      <c r="KE36" s="595">
        <v>193500000</v>
      </c>
      <c r="KF36" s="595">
        <v>3903198368</v>
      </c>
      <c r="KG36" s="595">
        <v>1192110150</v>
      </c>
      <c r="KH36" s="595">
        <v>56000713946</v>
      </c>
      <c r="KI36" s="595">
        <v>14350088296</v>
      </c>
      <c r="KJ36" s="595">
        <v>3669818114</v>
      </c>
      <c r="KK36" s="595">
        <v>975837360</v>
      </c>
      <c r="KL36" s="595">
        <v>0</v>
      </c>
      <c r="KM36" s="595" t="s">
        <v>1974</v>
      </c>
      <c r="KN36" s="595" t="s">
        <v>1964</v>
      </c>
      <c r="KO36" s="595">
        <v>0</v>
      </c>
      <c r="KP36" s="595">
        <v>0</v>
      </c>
      <c r="KQ36" s="595">
        <v>6</v>
      </c>
      <c r="KR36" s="595" t="s">
        <v>1975</v>
      </c>
      <c r="KS36" s="595">
        <v>0</v>
      </c>
      <c r="KT36" s="595">
        <v>1</v>
      </c>
      <c r="KU36" s="595">
        <v>2869988320</v>
      </c>
      <c r="KV36" s="595">
        <v>63139484193</v>
      </c>
      <c r="KW36" s="595">
        <v>5585387978</v>
      </c>
      <c r="KX36" s="595">
        <v>42501913</v>
      </c>
      <c r="KY36" s="595">
        <v>9673451</v>
      </c>
      <c r="KZ36" s="595">
        <v>13496564217</v>
      </c>
      <c r="LA36" s="595">
        <v>2502426026</v>
      </c>
      <c r="LB36" s="595">
        <v>716299</v>
      </c>
      <c r="LC36" s="595">
        <v>11783</v>
      </c>
      <c r="LD36" s="595">
        <v>13919</v>
      </c>
      <c r="LE36" s="595" t="s">
        <v>1974</v>
      </c>
      <c r="LF36" s="595" t="s">
        <v>1964</v>
      </c>
      <c r="LG36" s="595">
        <v>0</v>
      </c>
      <c r="LH36" s="595">
        <v>0</v>
      </c>
      <c r="LI36" s="595">
        <v>6</v>
      </c>
      <c r="LJ36" s="595" t="s">
        <v>1975</v>
      </c>
      <c r="LK36" s="595">
        <v>0</v>
      </c>
      <c r="LL36" s="595">
        <v>1</v>
      </c>
      <c r="LM36" s="595">
        <v>2869929632</v>
      </c>
      <c r="LN36" s="595">
        <v>63138201310</v>
      </c>
      <c r="LO36" s="595">
        <v>5533139888</v>
      </c>
      <c r="LP36" s="595">
        <v>959</v>
      </c>
      <c r="LQ36" s="595">
        <v>0</v>
      </c>
      <c r="LR36" s="595">
        <v>2502516189</v>
      </c>
      <c r="LS36" s="595">
        <v>178</v>
      </c>
      <c r="LT36" s="595">
        <v>0</v>
      </c>
      <c r="LU36" s="595">
        <v>5532966378</v>
      </c>
      <c r="LV36" s="595">
        <v>31027</v>
      </c>
      <c r="MC36" s="252" t="s">
        <v>1776</v>
      </c>
      <c r="MD36" s="371"/>
      <c r="ME36" s="372"/>
      <c r="MF36" s="372"/>
      <c r="MG36" s="372"/>
      <c r="MH36" s="372"/>
      <c r="MI36" s="372"/>
      <c r="MJ36" s="372"/>
      <c r="MK36" s="372"/>
      <c r="ML36" s="372"/>
      <c r="MM36" s="372"/>
      <c r="MN36" s="372"/>
      <c r="MO36" s="372"/>
      <c r="MP36" s="372"/>
      <c r="MQ36" s="372"/>
      <c r="MR36" s="372"/>
      <c r="MS36" s="372"/>
      <c r="MT36" s="373"/>
      <c r="NA36" s="424">
        <f t="shared" si="100"/>
        <v>0</v>
      </c>
      <c r="NB36" s="424">
        <f t="shared" si="101"/>
        <v>6</v>
      </c>
      <c r="NC36" s="207">
        <f t="shared" si="102"/>
        <v>28.700513919999999</v>
      </c>
      <c r="ND36" s="208">
        <f t="shared" si="103"/>
        <v>2.3851012630229587</v>
      </c>
      <c r="NE36" s="209">
        <f t="shared" si="15"/>
        <v>3.3879432217198878E-2</v>
      </c>
      <c r="NF36" s="208">
        <f t="shared" si="16"/>
        <v>5.9850503672095927</v>
      </c>
      <c r="NG36" s="210"/>
      <c r="NH36" s="211">
        <f t="shared" si="104"/>
        <v>13496587585</v>
      </c>
      <c r="NI36" s="208">
        <f t="shared" si="17"/>
        <v>68453632000</v>
      </c>
      <c r="NJ36" s="212">
        <f t="shared" si="105"/>
        <v>0.80523458100464729</v>
      </c>
      <c r="NK36" s="213">
        <f t="shared" si="106"/>
        <v>0.9981155127020872</v>
      </c>
      <c r="NL36" s="214">
        <f t="shared" si="18"/>
        <v>1</v>
      </c>
      <c r="NM36" s="208">
        <f t="shared" si="107"/>
        <v>0.21375359733267751</v>
      </c>
      <c r="NN36" s="208">
        <f t="shared" si="19"/>
        <v>0.47025595508918333</v>
      </c>
      <c r="NO36" s="215">
        <f t="shared" si="20"/>
        <v>7.7313682102867376E-5</v>
      </c>
      <c r="NP36" s="216">
        <f t="shared" si="108"/>
        <v>0</v>
      </c>
      <c r="NQ36" s="215">
        <f t="shared" si="109"/>
        <v>0.1931582066812908</v>
      </c>
      <c r="NR36" s="215">
        <f t="shared" si="110"/>
        <v>2.5579953045388563E-2</v>
      </c>
      <c r="NS36" s="215">
        <f t="shared" si="21"/>
        <v>1.3256841623516313E-2</v>
      </c>
      <c r="NT36" s="215">
        <f t="shared" si="22"/>
        <v>3.887523743150675E-3</v>
      </c>
      <c r="NU36" s="215">
        <f t="shared" si="23"/>
        <v>5.0691646980178438E-2</v>
      </c>
      <c r="NV36" s="215">
        <f t="shared" si="111"/>
        <v>9.4065735443302838</v>
      </c>
      <c r="NW36" s="215">
        <f t="shared" si="24"/>
        <v>2.2408591516504894</v>
      </c>
      <c r="NX36" s="215">
        <f t="shared" si="25"/>
        <v>11.539462094952171</v>
      </c>
      <c r="NY36" s="215">
        <f t="shared" si="26"/>
        <v>2.5326089638614438E-3</v>
      </c>
      <c r="NZ36" s="215">
        <f t="shared" si="27"/>
        <v>1.2117380104682862</v>
      </c>
      <c r="OA36" s="215">
        <f t="shared" si="28"/>
        <v>0</v>
      </c>
      <c r="OB36" s="215">
        <f t="shared" si="29"/>
        <v>6.4944469727742149E-2</v>
      </c>
      <c r="OC36" s="215">
        <f t="shared" si="30"/>
        <v>0</v>
      </c>
      <c r="OD36" s="215">
        <f t="shared" si="31"/>
        <v>2.8002163752694629</v>
      </c>
      <c r="OE36" s="215">
        <f t="shared" si="32"/>
        <v>0.54355937942920063</v>
      </c>
      <c r="OF36" s="215">
        <f t="shared" si="33"/>
        <v>0.16860464253564844</v>
      </c>
      <c r="OG36" s="215">
        <f t="shared" si="34"/>
        <v>0.43536990386653568</v>
      </c>
      <c r="OH36" s="215">
        <f t="shared" si="35"/>
        <v>2.2530506889118965E-6</v>
      </c>
      <c r="OI36" s="215">
        <f t="shared" si="112"/>
        <v>28.700513919999999</v>
      </c>
      <c r="OJ36" s="218">
        <f t="shared" si="113"/>
        <v>0.11007232777911986</v>
      </c>
      <c r="OK36" s="218">
        <f t="shared" si="114"/>
        <v>7.7911673378127516E-2</v>
      </c>
      <c r="OL36" s="218">
        <f t="shared" si="115"/>
        <v>4.6792595753756151E-3</v>
      </c>
      <c r="OM36" s="218">
        <f t="shared" si="116"/>
        <v>1.2661909012498562E-2</v>
      </c>
      <c r="ON36" s="217">
        <f t="shared" si="36"/>
        <v>0.16825949203203805</v>
      </c>
      <c r="OO36" s="210"/>
      <c r="OP36" s="210"/>
      <c r="OQ36" s="218">
        <f t="shared" si="117"/>
        <v>0.11212611021519392</v>
      </c>
      <c r="OR36" s="218">
        <f t="shared" si="118"/>
        <v>9.316738587457786E-2</v>
      </c>
      <c r="OS36" s="218">
        <f t="shared" si="37"/>
        <v>1</v>
      </c>
      <c r="OT36" s="218">
        <f t="shared" si="38"/>
        <v>0.94738325752638863</v>
      </c>
      <c r="OU36" s="209">
        <f t="shared" si="39"/>
        <v>0.95373790005359382</v>
      </c>
      <c r="OV36" s="209">
        <f t="shared" si="40"/>
        <v>0.9190881137200978</v>
      </c>
      <c r="OW36" s="209">
        <f t="shared" si="119"/>
        <v>1.4873830163781576E-2</v>
      </c>
      <c r="OX36" s="219">
        <f t="shared" si="41"/>
        <v>3.4749524429511565E-8</v>
      </c>
      <c r="OY36" s="208">
        <f t="shared" si="120"/>
        <v>3929115946</v>
      </c>
      <c r="OZ36" s="208">
        <f t="shared" si="42"/>
        <v>467663314</v>
      </c>
      <c r="PA36" s="209">
        <f t="shared" si="121"/>
        <v>0.11902507343314729</v>
      </c>
      <c r="PB36" s="209">
        <f>IF(OR($CQ36="",$OZ36=""),"",IF($OZ36=0,0,
GuardLimitUpper(
  ($OZ36-$CQ36)/$OZ36,
  data_GuardLimitFlag,
  1)
))</f>
        <v>3.0851113542765513E-2</v>
      </c>
      <c r="PC36" s="209">
        <f t="shared" si="43"/>
        <v>0.95767957543918014</v>
      </c>
      <c r="PD36" s="209">
        <f t="shared" si="44"/>
        <v>1.1469311018054327E-2</v>
      </c>
      <c r="PE36" s="208">
        <f t="shared" si="122"/>
        <v>461746857</v>
      </c>
      <c r="PF36" s="209">
        <f t="shared" si="123"/>
        <v>0.11751927490713963</v>
      </c>
      <c r="PG36" s="209">
        <f t="shared" si="45"/>
        <v>0.12305755166889185</v>
      </c>
      <c r="PH36" s="209">
        <f t="shared" si="46"/>
        <v>0.87780952060134454</v>
      </c>
      <c r="PI36" s="209">
        <f t="shared" si="47"/>
        <v>0</v>
      </c>
      <c r="PJ36" s="220">
        <f t="shared" si="48"/>
        <v>4.023805919012195E-7</v>
      </c>
      <c r="PK36" s="220">
        <f t="shared" si="49"/>
        <v>2.5451017830564171E-10</v>
      </c>
      <c r="PL36" s="221">
        <f t="shared" si="124"/>
        <v>220366995</v>
      </c>
      <c r="PM36" s="221">
        <f t="shared" si="50"/>
        <v>0</v>
      </c>
      <c r="PN36" s="221">
        <f t="shared" si="125"/>
        <v>1322202000</v>
      </c>
      <c r="PO36" s="221">
        <f t="shared" si="51"/>
        <v>0</v>
      </c>
      <c r="PP36" s="221">
        <f t="shared" si="52"/>
        <v>1101835000</v>
      </c>
      <c r="PQ36" s="529">
        <f t="shared" si="126"/>
        <v>0</v>
      </c>
      <c r="PR36" s="221">
        <f t="shared" si="53"/>
        <v>0</v>
      </c>
      <c r="PS36" s="221">
        <f t="shared" si="54"/>
        <v>387076223</v>
      </c>
      <c r="PT36" s="221">
        <f t="shared" si="127"/>
        <v>21503995</v>
      </c>
      <c r="PU36" s="221">
        <f t="shared" si="55"/>
        <v>0</v>
      </c>
      <c r="PV36" s="221">
        <f t="shared" si="128"/>
        <v>661101000</v>
      </c>
      <c r="PW36" s="221">
        <f t="shared" si="56"/>
        <v>86003000</v>
      </c>
      <c r="PX36" s="221">
        <f t="shared" si="162"/>
        <v>0</v>
      </c>
      <c r="PY36" s="221">
        <f t="shared" si="57"/>
        <v>129027733</v>
      </c>
      <c r="PZ36" s="221">
        <f t="shared" si="58"/>
        <v>0</v>
      </c>
      <c r="QA36" s="221">
        <f t="shared" si="59"/>
        <v>0</v>
      </c>
      <c r="QB36" s="221">
        <f t="shared" si="60"/>
        <v>5362041</v>
      </c>
      <c r="QC36" s="221">
        <f t="shared" si="61"/>
        <v>8</v>
      </c>
      <c r="QD36" s="221">
        <f t="shared" si="129"/>
        <v>2719670000</v>
      </c>
      <c r="QE36" s="221">
        <f t="shared" si="130"/>
        <v>3085138000</v>
      </c>
      <c r="QF36" s="221">
        <f t="shared" si="131"/>
        <v>220367000</v>
      </c>
      <c r="QG36" s="222">
        <f t="shared" si="62"/>
        <v>0</v>
      </c>
      <c r="QH36" s="222">
        <f t="shared" si="63"/>
        <v>1085738017</v>
      </c>
      <c r="QI36" s="222">
        <f t="shared" si="64"/>
        <v>521367032</v>
      </c>
      <c r="QJ36" s="222">
        <f t="shared" si="65"/>
        <v>400469197</v>
      </c>
      <c r="QK36" s="222">
        <f t="shared" si="66"/>
        <v>37627017</v>
      </c>
      <c r="QL36" s="222">
        <f t="shared" si="132"/>
        <v>0</v>
      </c>
      <c r="QM36" s="222">
        <f>IF(OR($O$8="Lv2",$O$8="Lv3",$O$8="Lv4"),IF(OR($AS36="",COUNT($PL36:$QL36)=0),"",
GuardLimitLower(
  $AS36-SUM($PL36:$QL36),
  data_GuardLimitFlag,
  0)
),"")</f>
        <v>1491733327</v>
      </c>
      <c r="QN36" s="222">
        <f t="shared" si="133"/>
        <v>13496587585</v>
      </c>
      <c r="QO36" s="222">
        <f t="shared" si="134"/>
        <v>68453632000</v>
      </c>
      <c r="QP36" s="222">
        <f t="shared" si="135"/>
        <v>0</v>
      </c>
      <c r="QQ36" s="222">
        <f t="shared" si="136"/>
        <v>0</v>
      </c>
      <c r="QR36" s="222">
        <f t="shared" si="67"/>
        <v>2.3851012630229587</v>
      </c>
      <c r="QS36" s="209">
        <f t="shared" si="68"/>
        <v>3.6586690431585786E-2</v>
      </c>
      <c r="QT36" s="209">
        <f t="shared" si="69"/>
        <v>0.73801090637254185</v>
      </c>
      <c r="QU36" s="209">
        <f t="shared" si="70"/>
        <v>0.22540240319587232</v>
      </c>
      <c r="QV36" s="208">
        <f t="shared" si="71"/>
        <v>16307664656</v>
      </c>
      <c r="QW36" s="208">
        <f t="shared" si="72"/>
        <v>553630000</v>
      </c>
      <c r="QX36" s="208">
        <f t="shared" si="73"/>
        <v>257994017</v>
      </c>
      <c r="QY36" s="208">
        <f t="shared" si="74"/>
        <v>827734000</v>
      </c>
      <c r="QZ36" s="208">
        <f t="shared" si="75"/>
        <v>0</v>
      </c>
      <c r="RA36" s="209">
        <f t="shared" si="137"/>
        <v>0.99999889420095522</v>
      </c>
      <c r="RB36" s="209">
        <f t="shared" si="76"/>
        <v>3.587255925703569E-2</v>
      </c>
      <c r="RC36" s="209">
        <f t="shared" si="77"/>
        <v>0.51910878211777911</v>
      </c>
      <c r="RD36" s="209">
        <f t="shared" si="78"/>
        <v>0</v>
      </c>
      <c r="RE36" s="209">
        <f t="shared" si="79"/>
        <v>0</v>
      </c>
      <c r="RF36" s="209">
        <f t="shared" si="80"/>
        <v>0.29267526761376922</v>
      </c>
      <c r="RG36" s="209">
        <f t="shared" si="81"/>
        <v>0</v>
      </c>
      <c r="RH36" s="209">
        <f t="shared" si="82"/>
        <v>0</v>
      </c>
      <c r="RI36" s="209">
        <f t="shared" si="83"/>
        <v>0.1882159502684517</v>
      </c>
      <c r="RJ36" s="134"/>
      <c r="RK36" s="134"/>
      <c r="RL36" s="134"/>
      <c r="RM36" s="134"/>
      <c r="RN36" s="134"/>
      <c r="RO36" s="134"/>
      <c r="RP36" s="134"/>
      <c r="RQ36" s="134"/>
      <c r="RR36" s="222">
        <f t="shared" si="84"/>
        <v>1.7551026358764241</v>
      </c>
      <c r="RS36" s="224"/>
      <c r="RT36" s="224"/>
      <c r="RU36" s="208">
        <f t="shared" si="138"/>
        <v>28.700513919999999</v>
      </c>
      <c r="RV36" s="208">
        <f t="shared" si="139"/>
        <v>1</v>
      </c>
      <c r="RW36" s="208">
        <f t="shared" si="140"/>
        <v>1.0000623669130726</v>
      </c>
      <c r="RX36" s="208">
        <f t="shared" si="141"/>
        <v>1.0000397990571894</v>
      </c>
      <c r="RY36" s="208">
        <f t="shared" si="142"/>
        <v>0.9999528991267661</v>
      </c>
      <c r="RZ36" s="208">
        <f t="shared" si="85"/>
        <v>1.0000067828494663</v>
      </c>
      <c r="SA36" s="208">
        <f t="shared" si="86"/>
        <v>1.0000795684347106</v>
      </c>
      <c r="SB36" s="208">
        <f t="shared" si="87"/>
        <v>0.9999440171455477</v>
      </c>
      <c r="SC36" s="208">
        <f t="shared" si="88"/>
        <v>1.0000209568548961</v>
      </c>
      <c r="SD36" s="208">
        <f t="shared" si="89"/>
        <v>0.99996374653869113</v>
      </c>
      <c r="SE36" s="208">
        <f t="shared" si="90"/>
        <v>1.0000221698094045</v>
      </c>
      <c r="SF36" s="208">
        <f t="shared" si="91"/>
        <v>0.99994992420723794</v>
      </c>
      <c r="SG36" s="208">
        <f t="shared" si="92"/>
        <v>1.0003493833367161</v>
      </c>
      <c r="SH36" s="208">
        <f t="shared" si="93"/>
        <v>1.0001589506983966</v>
      </c>
      <c r="SI36" s="208">
        <f t="shared" si="94"/>
        <v>1.0001151005090358</v>
      </c>
      <c r="SJ36" s="208">
        <f t="shared" si="95"/>
        <v>1.0004054965821547</v>
      </c>
      <c r="SK36" s="208">
        <f t="shared" si="96"/>
        <v>0.9999780903865767</v>
      </c>
      <c r="SL36" s="208">
        <f t="shared" si="97"/>
        <v>0.99995777259480301</v>
      </c>
      <c r="SM36" s="222">
        <f t="shared" si="143"/>
        <v>1</v>
      </c>
      <c r="SN36" s="225">
        <f t="shared" si="98"/>
        <v>28.700513919999999</v>
      </c>
      <c r="SO36" s="209">
        <f t="shared" si="144"/>
        <v>0.99709162959859043</v>
      </c>
      <c r="SP36" s="209">
        <f t="shared" si="145"/>
        <v>0.99999994561588579</v>
      </c>
      <c r="SQ36" s="222">
        <f t="shared" si="146"/>
        <v>63140867585</v>
      </c>
      <c r="SR36" s="222">
        <f t="shared" si="147"/>
        <v>63144805486</v>
      </c>
      <c r="SS36" s="222">
        <f t="shared" si="148"/>
        <v>63143380532</v>
      </c>
      <c r="ST36" s="222">
        <f t="shared" si="149"/>
        <v>63137893595</v>
      </c>
      <c r="SU36" s="222">
        <f t="shared" si="150"/>
        <v>63141295860</v>
      </c>
      <c r="SV36" s="222">
        <f t="shared" si="151"/>
        <v>63145891605</v>
      </c>
      <c r="SW36" s="222">
        <f t="shared" si="152"/>
        <v>63137332779</v>
      </c>
      <c r="SX36" s="222">
        <f t="shared" si="153"/>
        <v>63142190819</v>
      </c>
      <c r="SY36" s="222">
        <f t="shared" si="154"/>
        <v>63138578510</v>
      </c>
      <c r="SZ36" s="222">
        <f t="shared" si="155"/>
        <v>63142267406</v>
      </c>
      <c r="TA36" s="222">
        <f t="shared" si="156"/>
        <v>63137705756</v>
      </c>
      <c r="TB36" s="222">
        <f t="shared" si="157"/>
        <v>63162927952</v>
      </c>
      <c r="TC36" s="222">
        <f t="shared" si="99"/>
        <v>63150903870</v>
      </c>
      <c r="TD36" s="222">
        <f t="shared" si="158"/>
        <v>63148135131</v>
      </c>
      <c r="TE36" s="222">
        <f t="shared" si="159"/>
        <v>63166470991</v>
      </c>
      <c r="TF36" s="222">
        <f t="shared" si="160"/>
        <v>63139484193</v>
      </c>
      <c r="TG36" s="222">
        <f t="shared" si="161"/>
        <v>63138201310</v>
      </c>
      <c r="VK36" s="2"/>
      <c r="WC36" s="239"/>
      <c r="WD36" s="239"/>
      <c r="WE36" s="239"/>
      <c r="WF36" s="239"/>
      <c r="WG36" s="239"/>
      <c r="WH36" s="239"/>
      <c r="WI36" s="239"/>
      <c r="WJ36" s="239"/>
      <c r="WK36" s="239"/>
      <c r="WL36" s="239"/>
      <c r="WM36" s="239"/>
      <c r="WN36" s="239"/>
      <c r="WO36" s="239"/>
      <c r="WP36" s="239"/>
      <c r="WQ36" s="239"/>
      <c r="WR36" s="239"/>
      <c r="WS36" s="239"/>
    </row>
    <row r="37" spans="28:617" ht="16.5" customHeight="1" x14ac:dyDescent="0.25">
      <c r="AB37" s="254">
        <v>7</v>
      </c>
      <c r="AC37" s="430" t="s">
        <v>1974</v>
      </c>
      <c r="AD37" s="430" t="s">
        <v>1964</v>
      </c>
      <c r="AE37" s="430">
        <v>0</v>
      </c>
      <c r="AF37" s="430">
        <v>0</v>
      </c>
      <c r="AG37" s="430">
        <v>7</v>
      </c>
      <c r="AH37" s="430" t="s">
        <v>1975</v>
      </c>
      <c r="AI37" s="430">
        <v>0</v>
      </c>
      <c r="AJ37" s="430">
        <v>1</v>
      </c>
      <c r="AK37" s="594">
        <v>2874479936</v>
      </c>
      <c r="AL37" s="594">
        <v>63238294643</v>
      </c>
      <c r="AM37" s="430">
        <v>17081158000</v>
      </c>
      <c r="AN37" s="430">
        <v>129000000</v>
      </c>
      <c r="AO37" s="430">
        <v>465880026</v>
      </c>
      <c r="AP37" s="430">
        <v>208259613</v>
      </c>
      <c r="AQ37" s="595">
        <v>3760914</v>
      </c>
      <c r="AR37" s="595">
        <v>741910</v>
      </c>
      <c r="AS37" s="594">
        <v>13496586301</v>
      </c>
      <c r="AT37" s="594">
        <v>10867919049</v>
      </c>
      <c r="AU37" s="430" t="s">
        <v>1974</v>
      </c>
      <c r="AV37" s="430" t="s">
        <v>1964</v>
      </c>
      <c r="AW37" s="430">
        <v>0</v>
      </c>
      <c r="AX37" s="430">
        <v>0</v>
      </c>
      <c r="AY37" s="430">
        <v>7</v>
      </c>
      <c r="AZ37" s="430" t="s">
        <v>1975</v>
      </c>
      <c r="BA37" s="430">
        <v>0</v>
      </c>
      <c r="BB37" s="430">
        <v>1</v>
      </c>
      <c r="BC37" s="430">
        <v>2874686304</v>
      </c>
      <c r="BD37" s="430">
        <v>63242745426</v>
      </c>
      <c r="BE37" s="430">
        <v>54565241445</v>
      </c>
      <c r="BF37" s="595">
        <v>6149495940</v>
      </c>
      <c r="BG37" s="430">
        <v>21450991467</v>
      </c>
      <c r="BH37" s="595">
        <v>160788</v>
      </c>
      <c r="BI37" s="430">
        <v>30298208350</v>
      </c>
      <c r="BJ37" s="430">
        <v>145504730</v>
      </c>
      <c r="BK37" s="430">
        <v>0</v>
      </c>
      <c r="BL37" s="430">
        <v>0</v>
      </c>
      <c r="BM37" s="430" t="s">
        <v>1974</v>
      </c>
      <c r="BN37" s="430" t="s">
        <v>1964</v>
      </c>
      <c r="BO37" s="430">
        <v>0</v>
      </c>
      <c r="BP37" s="430">
        <v>0</v>
      </c>
      <c r="BQ37" s="430">
        <v>7</v>
      </c>
      <c r="BR37" s="430" t="s">
        <v>1975</v>
      </c>
      <c r="BS37" s="430">
        <v>0</v>
      </c>
      <c r="BT37" s="430">
        <v>1</v>
      </c>
      <c r="BU37" s="430">
        <v>2874480544</v>
      </c>
      <c r="BV37" s="430">
        <v>63238086415</v>
      </c>
      <c r="BW37" s="594">
        <v>9918074443</v>
      </c>
      <c r="BX37" s="594">
        <v>11341952458</v>
      </c>
      <c r="BY37" s="430">
        <v>21174508038</v>
      </c>
      <c r="BZ37" s="430">
        <v>942563345</v>
      </c>
      <c r="CA37" s="430">
        <v>6951336302</v>
      </c>
      <c r="CB37" s="430">
        <v>119867045404</v>
      </c>
      <c r="CC37" s="430">
        <v>4918981671</v>
      </c>
      <c r="CD37" s="430">
        <v>74567275040</v>
      </c>
      <c r="CE37" s="430" t="s">
        <v>1974</v>
      </c>
      <c r="CF37" s="430" t="s">
        <v>1964</v>
      </c>
      <c r="CG37" s="430">
        <v>0</v>
      </c>
      <c r="CH37" s="430">
        <v>0</v>
      </c>
      <c r="CI37" s="430">
        <v>7</v>
      </c>
      <c r="CJ37" s="430" t="s">
        <v>1975</v>
      </c>
      <c r="CK37" s="430">
        <v>0</v>
      </c>
      <c r="CL37" s="430">
        <v>1</v>
      </c>
      <c r="CM37" s="430">
        <v>2874539840</v>
      </c>
      <c r="CN37" s="430">
        <v>63239662181</v>
      </c>
      <c r="CO37" s="430">
        <v>3749693</v>
      </c>
      <c r="CP37" s="430">
        <v>467704198</v>
      </c>
      <c r="CQ37" s="430">
        <v>452701917</v>
      </c>
      <c r="CR37" s="430">
        <v>466172748</v>
      </c>
      <c r="CS37" s="430">
        <v>61272361</v>
      </c>
      <c r="CT37" s="430">
        <v>1322202000</v>
      </c>
      <c r="CU37" s="430">
        <v>661101000</v>
      </c>
      <c r="CV37" s="430">
        <v>755457</v>
      </c>
      <c r="CW37" s="430" t="s">
        <v>1974</v>
      </c>
      <c r="CX37" s="430" t="s">
        <v>1964</v>
      </c>
      <c r="CY37" s="430">
        <v>0</v>
      </c>
      <c r="CZ37" s="430">
        <v>0</v>
      </c>
      <c r="DA37" s="430">
        <v>7</v>
      </c>
      <c r="DB37" s="430" t="s">
        <v>1975</v>
      </c>
      <c r="DC37" s="430">
        <v>0</v>
      </c>
      <c r="DD37" s="430">
        <v>1</v>
      </c>
      <c r="DE37" s="430">
        <v>2874482624</v>
      </c>
      <c r="DF37" s="430">
        <v>63238314604</v>
      </c>
      <c r="DG37" s="430">
        <v>6025175000</v>
      </c>
      <c r="DH37" s="430">
        <v>3085138000</v>
      </c>
      <c r="DI37" s="430">
        <v>220367000</v>
      </c>
      <c r="DJ37" s="430">
        <v>3031480075</v>
      </c>
      <c r="DK37" s="430">
        <v>897635653</v>
      </c>
      <c r="DL37" s="430">
        <v>2902411019</v>
      </c>
      <c r="DM37" s="430">
        <v>897612019</v>
      </c>
      <c r="DN37" s="430">
        <v>5362041</v>
      </c>
      <c r="DO37" s="595" t="s">
        <v>1974</v>
      </c>
      <c r="DP37" s="595" t="s">
        <v>1964</v>
      </c>
      <c r="DQ37" s="595">
        <v>0</v>
      </c>
      <c r="DR37" s="595">
        <v>0</v>
      </c>
      <c r="DS37" s="595">
        <v>7</v>
      </c>
      <c r="DT37" s="595" t="s">
        <v>1975</v>
      </c>
      <c r="DU37" s="595">
        <v>0</v>
      </c>
      <c r="DV37" s="595">
        <v>1</v>
      </c>
      <c r="DW37" s="595">
        <v>2874454880</v>
      </c>
      <c r="DX37" s="595">
        <v>63237737014</v>
      </c>
      <c r="DY37" s="595">
        <v>459154318</v>
      </c>
      <c r="DZ37" s="595">
        <v>181676189</v>
      </c>
      <c r="EA37" s="595">
        <v>30304643</v>
      </c>
      <c r="EB37" s="430">
        <v>548747153</v>
      </c>
      <c r="EC37" s="595">
        <v>420282475</v>
      </c>
      <c r="ED37" s="595">
        <v>0</v>
      </c>
      <c r="EE37" s="595">
        <v>0</v>
      </c>
      <c r="EF37" s="595">
        <v>25360585754</v>
      </c>
      <c r="EG37" s="595" t="s">
        <v>1974</v>
      </c>
      <c r="EH37" s="595" t="s">
        <v>1964</v>
      </c>
      <c r="EI37" s="595">
        <v>0</v>
      </c>
      <c r="EJ37" s="595">
        <v>0</v>
      </c>
      <c r="EK37" s="595">
        <v>7</v>
      </c>
      <c r="EL37" s="595" t="s">
        <v>1975</v>
      </c>
      <c r="EM37" s="595">
        <v>0</v>
      </c>
      <c r="EN37" s="595">
        <v>1</v>
      </c>
      <c r="EO37" s="595">
        <v>2874589824</v>
      </c>
      <c r="EP37" s="595">
        <v>63240732343</v>
      </c>
      <c r="EQ37" s="595">
        <v>1196338171</v>
      </c>
      <c r="ER37" s="595">
        <v>372226375</v>
      </c>
      <c r="ES37" s="430">
        <v>959454343</v>
      </c>
      <c r="ET37" s="595">
        <v>5702935</v>
      </c>
      <c r="EU37" s="595">
        <v>17081158000</v>
      </c>
      <c r="EV37" s="595">
        <v>0</v>
      </c>
      <c r="EW37" s="595">
        <v>129000000</v>
      </c>
      <c r="EX37" s="595">
        <v>0</v>
      </c>
      <c r="EY37" s="595" t="s">
        <v>1974</v>
      </c>
      <c r="EZ37" s="595" t="s">
        <v>1964</v>
      </c>
      <c r="FA37" s="595">
        <v>0</v>
      </c>
      <c r="FB37" s="595">
        <v>0</v>
      </c>
      <c r="FC37" s="595">
        <v>7</v>
      </c>
      <c r="FD37" s="595" t="s">
        <v>1975</v>
      </c>
      <c r="FE37" s="595">
        <v>0</v>
      </c>
      <c r="FF37" s="595">
        <v>1</v>
      </c>
      <c r="FG37" s="595">
        <v>2874466848</v>
      </c>
      <c r="FH37" s="595">
        <v>63238032243</v>
      </c>
      <c r="FI37" s="595">
        <v>46999417</v>
      </c>
      <c r="FJ37" s="595">
        <v>6306469850</v>
      </c>
      <c r="FK37" s="595">
        <v>1885809715</v>
      </c>
      <c r="FL37" s="595">
        <v>667419172</v>
      </c>
      <c r="FM37" s="595">
        <v>7080557927</v>
      </c>
      <c r="FN37" s="595">
        <v>5883196716</v>
      </c>
      <c r="FO37" s="430">
        <v>295652989</v>
      </c>
      <c r="FP37" s="430">
        <v>800525036</v>
      </c>
      <c r="FQ37" s="595" t="s">
        <v>1974</v>
      </c>
      <c r="FR37" s="595" t="s">
        <v>1964</v>
      </c>
      <c r="FS37" s="595">
        <v>0</v>
      </c>
      <c r="FT37" s="595">
        <v>0</v>
      </c>
      <c r="FU37" s="595">
        <v>7</v>
      </c>
      <c r="FV37" s="595" t="s">
        <v>1975</v>
      </c>
      <c r="FW37" s="595">
        <v>0</v>
      </c>
      <c r="FX37" s="595">
        <v>1</v>
      </c>
      <c r="FY37" s="595">
        <v>2875056096</v>
      </c>
      <c r="FZ37" s="595">
        <v>63250997457</v>
      </c>
      <c r="GA37" s="595">
        <v>452703172</v>
      </c>
      <c r="GB37" s="595">
        <v>447340412</v>
      </c>
      <c r="GC37" s="595">
        <v>405689201</v>
      </c>
      <c r="GD37" s="595">
        <v>405689201</v>
      </c>
      <c r="GE37" s="595">
        <v>1726</v>
      </c>
      <c r="GF37" s="595">
        <v>1</v>
      </c>
      <c r="GG37" s="595">
        <v>446</v>
      </c>
      <c r="GH37" s="595">
        <v>747524</v>
      </c>
      <c r="GI37" s="595" t="s">
        <v>1974</v>
      </c>
      <c r="GJ37" s="595" t="s">
        <v>1964</v>
      </c>
      <c r="GK37" s="595">
        <v>0</v>
      </c>
      <c r="GL37" s="595">
        <v>0</v>
      </c>
      <c r="GM37" s="595">
        <v>7</v>
      </c>
      <c r="GN37" s="595" t="s">
        <v>1975</v>
      </c>
      <c r="GO37" s="595">
        <v>0</v>
      </c>
      <c r="GP37" s="595">
        <v>1</v>
      </c>
      <c r="GQ37" s="595">
        <v>2874482848</v>
      </c>
      <c r="GR37" s="595">
        <v>63238392404</v>
      </c>
      <c r="GS37" s="595">
        <v>1101835000</v>
      </c>
      <c r="GT37" s="595">
        <v>86003000</v>
      </c>
      <c r="GU37" s="595">
        <v>0</v>
      </c>
      <c r="GV37" s="595">
        <v>0</v>
      </c>
      <c r="GW37" s="595">
        <v>0</v>
      </c>
      <c r="GX37" s="595">
        <v>8</v>
      </c>
      <c r="GY37" s="595">
        <v>521367032</v>
      </c>
      <c r="GZ37" s="595">
        <v>400468199</v>
      </c>
      <c r="HA37" s="595" t="s">
        <v>1974</v>
      </c>
      <c r="HB37" s="595" t="s">
        <v>1964</v>
      </c>
      <c r="HC37" s="595">
        <v>0</v>
      </c>
      <c r="HD37" s="595">
        <v>0</v>
      </c>
      <c r="HE37" s="595">
        <v>7</v>
      </c>
      <c r="HF37" s="595" t="s">
        <v>1975</v>
      </c>
      <c r="HG37" s="595">
        <v>0</v>
      </c>
      <c r="HH37" s="595">
        <v>1</v>
      </c>
      <c r="HI37" s="595">
        <v>2874505856</v>
      </c>
      <c r="HJ37" s="595">
        <v>63238901274</v>
      </c>
      <c r="HK37" s="595">
        <v>0</v>
      </c>
      <c r="HL37" s="595">
        <v>0</v>
      </c>
      <c r="HM37" s="595">
        <v>0</v>
      </c>
      <c r="HN37" s="595">
        <v>1085738001</v>
      </c>
      <c r="HO37" s="595">
        <v>129004009</v>
      </c>
      <c r="HP37" s="595">
        <v>37627017</v>
      </c>
      <c r="HQ37" s="595">
        <v>258007009</v>
      </c>
      <c r="HR37" s="595">
        <v>0</v>
      </c>
      <c r="HS37" s="595" t="s">
        <v>1974</v>
      </c>
      <c r="HT37" s="595" t="s">
        <v>1964</v>
      </c>
      <c r="HU37" s="595">
        <v>0</v>
      </c>
      <c r="HV37" s="595">
        <v>0</v>
      </c>
      <c r="HW37" s="595">
        <v>7</v>
      </c>
      <c r="HX37" s="595" t="s">
        <v>1975</v>
      </c>
      <c r="HY37" s="595">
        <v>0</v>
      </c>
      <c r="HZ37" s="595">
        <v>1</v>
      </c>
      <c r="IA37" s="595">
        <v>2876043168</v>
      </c>
      <c r="IB37" s="595">
        <v>63272704339</v>
      </c>
      <c r="IC37" s="595">
        <v>16307661625</v>
      </c>
      <c r="ID37" s="595">
        <v>1325531890</v>
      </c>
      <c r="IE37" s="595">
        <v>2</v>
      </c>
      <c r="IF37" s="595">
        <v>16307643600</v>
      </c>
      <c r="IG37" s="595">
        <v>14436739</v>
      </c>
      <c r="IH37" s="595">
        <v>400474738</v>
      </c>
      <c r="II37" s="595">
        <v>0</v>
      </c>
      <c r="IJ37" s="595">
        <v>0</v>
      </c>
      <c r="IK37" s="595" t="s">
        <v>1974</v>
      </c>
      <c r="IL37" s="595" t="s">
        <v>1964</v>
      </c>
      <c r="IM37" s="595">
        <v>0</v>
      </c>
      <c r="IN37" s="595">
        <v>0</v>
      </c>
      <c r="IO37" s="595">
        <v>7</v>
      </c>
      <c r="IP37" s="595" t="s">
        <v>1975</v>
      </c>
      <c r="IQ37" s="595">
        <v>0</v>
      </c>
      <c r="IR37" s="595">
        <v>1</v>
      </c>
      <c r="IS37" s="595">
        <v>2875526304</v>
      </c>
      <c r="IT37" s="595">
        <v>63261365437</v>
      </c>
      <c r="IU37" s="595">
        <v>0</v>
      </c>
      <c r="IV37" s="595">
        <v>0</v>
      </c>
      <c r="IW37" s="595">
        <v>827734000</v>
      </c>
      <c r="IX37" s="595">
        <v>0</v>
      </c>
      <c r="IY37" s="595">
        <v>553630000</v>
      </c>
      <c r="IZ37" s="595">
        <v>257994001</v>
      </c>
      <c r="JA37" s="595">
        <v>0</v>
      </c>
      <c r="JB37" s="595">
        <v>0</v>
      </c>
      <c r="JC37" s="595" t="s">
        <v>1974</v>
      </c>
      <c r="JD37" s="595" t="s">
        <v>1964</v>
      </c>
      <c r="JE37" s="595">
        <v>0</v>
      </c>
      <c r="JF37" s="595">
        <v>0</v>
      </c>
      <c r="JG37" s="595">
        <v>7</v>
      </c>
      <c r="JH37" s="595" t="s">
        <v>1975</v>
      </c>
      <c r="JI37" s="595">
        <v>0</v>
      </c>
      <c r="JJ37" s="595">
        <v>1</v>
      </c>
      <c r="JK37" s="595">
        <v>2875340064</v>
      </c>
      <c r="JL37" s="595">
        <v>63257260219</v>
      </c>
      <c r="JM37" s="595">
        <v>447864614</v>
      </c>
      <c r="JN37" s="595">
        <v>0</v>
      </c>
      <c r="JO37" s="595">
        <v>0</v>
      </c>
      <c r="JP37" s="595">
        <v>237648541</v>
      </c>
      <c r="JQ37" s="595">
        <v>0</v>
      </c>
      <c r="JR37" s="595">
        <v>0</v>
      </c>
      <c r="JS37" s="595">
        <v>162958551</v>
      </c>
      <c r="JT37" s="595">
        <v>0</v>
      </c>
      <c r="JU37" s="595" t="s">
        <v>1974</v>
      </c>
      <c r="JV37" s="595" t="s">
        <v>1964</v>
      </c>
      <c r="JW37" s="595">
        <v>0</v>
      </c>
      <c r="JX37" s="595">
        <v>0</v>
      </c>
      <c r="JY37" s="595">
        <v>7</v>
      </c>
      <c r="JZ37" s="595" t="s">
        <v>1975</v>
      </c>
      <c r="KA37" s="595">
        <v>0</v>
      </c>
      <c r="KB37" s="595">
        <v>1</v>
      </c>
      <c r="KC37" s="595">
        <v>2874389152</v>
      </c>
      <c r="KD37" s="595">
        <v>63236266133</v>
      </c>
      <c r="KE37" s="595">
        <v>193500000</v>
      </c>
      <c r="KF37" s="595">
        <v>3903199773</v>
      </c>
      <c r="KG37" s="595">
        <v>1192111457</v>
      </c>
      <c r="KH37" s="595">
        <v>55986966430</v>
      </c>
      <c r="KI37" s="595">
        <v>14362069636</v>
      </c>
      <c r="KJ37" s="595">
        <v>3668837348</v>
      </c>
      <c r="KK37" s="595">
        <v>976589664</v>
      </c>
      <c r="KL37" s="595">
        <v>0</v>
      </c>
      <c r="KM37" s="595" t="s">
        <v>1974</v>
      </c>
      <c r="KN37" s="595" t="s">
        <v>1964</v>
      </c>
      <c r="KO37" s="595">
        <v>0</v>
      </c>
      <c r="KP37" s="595">
        <v>0</v>
      </c>
      <c r="KQ37" s="595">
        <v>7</v>
      </c>
      <c r="KR37" s="595" t="s">
        <v>1975</v>
      </c>
      <c r="KS37" s="595">
        <v>0</v>
      </c>
      <c r="KT37" s="595">
        <v>1</v>
      </c>
      <c r="KU37" s="595">
        <v>2874644416</v>
      </c>
      <c r="KV37" s="595">
        <v>63241942626</v>
      </c>
      <c r="KW37" s="595">
        <v>5592692900</v>
      </c>
      <c r="KX37" s="595">
        <v>42545374</v>
      </c>
      <c r="KY37" s="595">
        <v>9686483</v>
      </c>
      <c r="KZ37" s="595">
        <v>13496559743</v>
      </c>
      <c r="LA37" s="595">
        <v>2505707099</v>
      </c>
      <c r="LB37" s="595">
        <v>719441</v>
      </c>
      <c r="LC37" s="595">
        <v>12362</v>
      </c>
      <c r="LD37" s="595">
        <v>14514</v>
      </c>
      <c r="LE37" s="595" t="s">
        <v>1974</v>
      </c>
      <c r="LF37" s="595" t="s">
        <v>1964</v>
      </c>
      <c r="LG37" s="595">
        <v>0</v>
      </c>
      <c r="LH37" s="595">
        <v>0</v>
      </c>
      <c r="LI37" s="595">
        <v>7</v>
      </c>
      <c r="LJ37" s="595" t="s">
        <v>1975</v>
      </c>
      <c r="LK37" s="595">
        <v>0</v>
      </c>
      <c r="LL37" s="595">
        <v>1</v>
      </c>
      <c r="LM37" s="595">
        <v>2874382496</v>
      </c>
      <c r="LN37" s="595">
        <v>63236193718</v>
      </c>
      <c r="LO37" s="595">
        <v>5540212259</v>
      </c>
      <c r="LP37" s="595">
        <v>959</v>
      </c>
      <c r="LQ37" s="595">
        <v>0</v>
      </c>
      <c r="LR37" s="595">
        <v>2505709288</v>
      </c>
      <c r="LS37" s="595">
        <v>178</v>
      </c>
      <c r="LT37" s="595">
        <v>0</v>
      </c>
      <c r="LU37" s="595">
        <v>5540036789</v>
      </c>
      <c r="LV37" s="595">
        <v>31025</v>
      </c>
      <c r="MC37" s="252" t="s">
        <v>512</v>
      </c>
      <c r="MD37" s="371"/>
      <c r="ME37" s="372"/>
      <c r="MF37" s="372"/>
      <c r="MG37" s="372"/>
      <c r="MH37" s="372"/>
      <c r="MI37" s="372"/>
      <c r="MJ37" s="372"/>
      <c r="MK37" s="372"/>
      <c r="ML37" s="372"/>
      <c r="MM37" s="372"/>
      <c r="MN37" s="372"/>
      <c r="MO37" s="372"/>
      <c r="MP37" s="372"/>
      <c r="MQ37" s="372"/>
      <c r="MR37" s="372"/>
      <c r="MS37" s="372"/>
      <c r="MT37" s="373"/>
      <c r="NA37" s="424">
        <f t="shared" si="100"/>
        <v>0</v>
      </c>
      <c r="NB37" s="424">
        <f t="shared" si="101"/>
        <v>7</v>
      </c>
      <c r="NC37" s="207">
        <f t="shared" si="102"/>
        <v>28.744799359999998</v>
      </c>
      <c r="ND37" s="208">
        <f t="shared" si="103"/>
        <v>2.3814266762723371</v>
      </c>
      <c r="NE37" s="209">
        <f t="shared" si="15"/>
        <v>3.3827236147089004E-2</v>
      </c>
      <c r="NF37" s="208">
        <f t="shared" si="16"/>
        <v>5.9637579129722624</v>
      </c>
      <c r="NG37" s="210"/>
      <c r="NH37" s="211">
        <f t="shared" si="104"/>
        <v>13496586301</v>
      </c>
      <c r="NI37" s="208">
        <f t="shared" si="17"/>
        <v>68453632000</v>
      </c>
      <c r="NJ37" s="212">
        <f t="shared" si="105"/>
        <v>0.80523465761077417</v>
      </c>
      <c r="NK37" s="213">
        <f t="shared" si="106"/>
        <v>0.9981155127020872</v>
      </c>
      <c r="NL37" s="214">
        <f t="shared" si="18"/>
        <v>1</v>
      </c>
      <c r="NM37" s="208">
        <f t="shared" si="107"/>
        <v>0.21342426099869488</v>
      </c>
      <c r="NN37" s="208">
        <f t="shared" si="19"/>
        <v>0.46953141442974405</v>
      </c>
      <c r="NO37" s="215">
        <f t="shared" si="20"/>
        <v>7.3080616098547543E-5</v>
      </c>
      <c r="NP37" s="216">
        <f t="shared" si="108"/>
        <v>0</v>
      </c>
      <c r="NQ37" s="215">
        <f t="shared" si="109"/>
        <v>0.19102484145845713</v>
      </c>
      <c r="NR37" s="215">
        <f t="shared" si="110"/>
        <v>5.8389169683941124E-2</v>
      </c>
      <c r="NS37" s="215">
        <f t="shared" si="21"/>
        <v>1.3773925797239446E-2</v>
      </c>
      <c r="NT37" s="215">
        <f t="shared" si="22"/>
        <v>3.8939240132315625E-3</v>
      </c>
      <c r="NU37" s="215">
        <f t="shared" si="23"/>
        <v>6.8800693095688925E-2</v>
      </c>
      <c r="NV37" s="215">
        <f t="shared" si="111"/>
        <v>9.4138495269957048</v>
      </c>
      <c r="NW37" s="215">
        <f t="shared" si="24"/>
        <v>2.2442253238910226</v>
      </c>
      <c r="NX37" s="215">
        <f t="shared" si="25"/>
        <v>11.526775826071399</v>
      </c>
      <c r="NY37" s="215">
        <f t="shared" si="26"/>
        <v>2.592071568587023E-3</v>
      </c>
      <c r="NZ37" s="215">
        <f t="shared" si="27"/>
        <v>1.2112079745775435</v>
      </c>
      <c r="OA37" s="215">
        <f t="shared" si="28"/>
        <v>0</v>
      </c>
      <c r="OB37" s="215">
        <f t="shared" si="29"/>
        <v>6.6134135094987279E-2</v>
      </c>
      <c r="OC37" s="215">
        <f t="shared" si="30"/>
        <v>0</v>
      </c>
      <c r="OD37" s="215">
        <f t="shared" si="31"/>
        <v>2.7950403760897378</v>
      </c>
      <c r="OE37" s="215">
        <f t="shared" si="32"/>
        <v>0.54375407741180637</v>
      </c>
      <c r="OF37" s="215">
        <f t="shared" si="33"/>
        <v>0.16918260574874366</v>
      </c>
      <c r="OG37" s="215">
        <f t="shared" si="34"/>
        <v>0.43608673846846258</v>
      </c>
      <c r="OH37" s="215">
        <f t="shared" si="35"/>
        <v>0</v>
      </c>
      <c r="OI37" s="215">
        <f t="shared" si="112"/>
        <v>28.744799359999998</v>
      </c>
      <c r="OJ37" s="218">
        <f t="shared" si="113"/>
        <v>0.10992325505205595</v>
      </c>
      <c r="OK37" s="218">
        <f t="shared" si="114"/>
        <v>7.7785112577872434E-2</v>
      </c>
      <c r="OL37" s="218">
        <f t="shared" si="115"/>
        <v>4.6752401761003034E-3</v>
      </c>
      <c r="OM37" s="218">
        <f t="shared" si="116"/>
        <v>1.265891754702112E-2</v>
      </c>
      <c r="ON37" s="217">
        <f t="shared" si="36"/>
        <v>0.16809511566717131</v>
      </c>
      <c r="OO37" s="210"/>
      <c r="OP37" s="210"/>
      <c r="OQ37" s="218">
        <f t="shared" si="117"/>
        <v>0.11196676550263418</v>
      </c>
      <c r="OR37" s="218">
        <f t="shared" si="118"/>
        <v>9.3032570864841041E-2</v>
      </c>
      <c r="OS37" s="218">
        <f t="shared" si="37"/>
        <v>1</v>
      </c>
      <c r="OT37" s="218">
        <f t="shared" si="38"/>
        <v>0.94744298753456369</v>
      </c>
      <c r="OU37" s="209">
        <f t="shared" si="39"/>
        <v>0.9537586624772334</v>
      </c>
      <c r="OV37" s="209">
        <f t="shared" si="40"/>
        <v>0.91914688977293946</v>
      </c>
      <c r="OW37" s="209">
        <f t="shared" si="119"/>
        <v>1.4904994733939721E-2</v>
      </c>
      <c r="OX37" s="219">
        <f t="shared" si="41"/>
        <v>3.3045393112994406E-8</v>
      </c>
      <c r="OY37" s="208">
        <f t="shared" si="120"/>
        <v>3929115728</v>
      </c>
      <c r="OZ37" s="208">
        <f t="shared" si="42"/>
        <v>467704198</v>
      </c>
      <c r="PA37" s="209">
        <f t="shared" si="121"/>
        <v>0.11903548543174904</v>
      </c>
      <c r="PB37" s="209">
        <f>IF(OR($CQ37="",$OZ37=""),"",IF($OZ37=0,0,
GuardLimitUpper(
  ($OZ37-$CQ37)/$OZ37,
  data_GuardLimitFlag,
  1)
))</f>
        <v>3.2076430068733314E-2</v>
      </c>
      <c r="PC37" s="209">
        <f t="shared" si="43"/>
        <v>0.95646011712727885</v>
      </c>
      <c r="PD37" s="209">
        <f t="shared" si="44"/>
        <v>1.1463452803987875E-2</v>
      </c>
      <c r="PE37" s="208">
        <f t="shared" si="122"/>
        <v>461377202</v>
      </c>
      <c r="PF37" s="209">
        <f t="shared" si="123"/>
        <v>0.11742520046230616</v>
      </c>
      <c r="PG37" s="209">
        <f t="shared" si="45"/>
        <v>0.12438292513123363</v>
      </c>
      <c r="PH37" s="209">
        <f t="shared" si="46"/>
        <v>0.8772334675876472</v>
      </c>
      <c r="PI37" s="209">
        <f t="shared" si="47"/>
        <v>0</v>
      </c>
      <c r="PJ37" s="220">
        <f t="shared" si="48"/>
        <v>4.3928459212846073E-7</v>
      </c>
      <c r="PK37" s="220">
        <f t="shared" si="49"/>
        <v>2.5451019242668637E-10</v>
      </c>
      <c r="PL37" s="221">
        <f t="shared" si="124"/>
        <v>220367010</v>
      </c>
      <c r="PM37" s="221">
        <f t="shared" si="50"/>
        <v>0</v>
      </c>
      <c r="PN37" s="221">
        <f t="shared" si="125"/>
        <v>1322202000</v>
      </c>
      <c r="PO37" s="221">
        <f t="shared" si="51"/>
        <v>0</v>
      </c>
      <c r="PP37" s="221">
        <f t="shared" si="52"/>
        <v>1101835000</v>
      </c>
      <c r="PQ37" s="529">
        <f t="shared" si="126"/>
        <v>0</v>
      </c>
      <c r="PR37" s="221">
        <f t="shared" si="53"/>
        <v>0</v>
      </c>
      <c r="PS37" s="221">
        <f t="shared" si="54"/>
        <v>387076065</v>
      </c>
      <c r="PT37" s="221">
        <f t="shared" si="127"/>
        <v>21504010</v>
      </c>
      <c r="PU37" s="221">
        <f t="shared" si="55"/>
        <v>0</v>
      </c>
      <c r="PV37" s="221">
        <f t="shared" si="128"/>
        <v>661101000</v>
      </c>
      <c r="PW37" s="221">
        <f t="shared" si="56"/>
        <v>86003000</v>
      </c>
      <c r="PX37" s="221">
        <f t="shared" si="162"/>
        <v>0</v>
      </c>
      <c r="PY37" s="221">
        <f t="shared" si="57"/>
        <v>129027643</v>
      </c>
      <c r="PZ37" s="221">
        <f t="shared" si="58"/>
        <v>0</v>
      </c>
      <c r="QA37" s="221">
        <f t="shared" si="59"/>
        <v>0</v>
      </c>
      <c r="QB37" s="221">
        <f t="shared" si="60"/>
        <v>5362041</v>
      </c>
      <c r="QC37" s="221">
        <f t="shared" si="61"/>
        <v>8</v>
      </c>
      <c r="QD37" s="221">
        <f t="shared" si="129"/>
        <v>2719670000</v>
      </c>
      <c r="QE37" s="221">
        <f t="shared" si="130"/>
        <v>3085138000</v>
      </c>
      <c r="QF37" s="221">
        <f t="shared" si="131"/>
        <v>220367000</v>
      </c>
      <c r="QG37" s="222">
        <f t="shared" si="62"/>
        <v>0</v>
      </c>
      <c r="QH37" s="222">
        <f t="shared" si="63"/>
        <v>1085738001</v>
      </c>
      <c r="QI37" s="222">
        <f t="shared" si="64"/>
        <v>521367032</v>
      </c>
      <c r="QJ37" s="222">
        <f t="shared" si="65"/>
        <v>400468199</v>
      </c>
      <c r="QK37" s="222">
        <f t="shared" si="66"/>
        <v>37627017</v>
      </c>
      <c r="QL37" s="222">
        <f t="shared" si="132"/>
        <v>0</v>
      </c>
      <c r="QM37" s="222">
        <f>IF(OR($O$8="Lv2",$O$8="Lv3",$O$8="Lv4"),IF(OR($AS37="",COUNT($PL37:$QL37)=0),"",
GuardLimitLower(
  $AS37-SUM($PL37:$QL37),
  data_GuardLimitFlag,
  0)
),"")</f>
        <v>1491733275</v>
      </c>
      <c r="QN37" s="222">
        <f t="shared" si="133"/>
        <v>13496586301</v>
      </c>
      <c r="QO37" s="222">
        <f t="shared" si="134"/>
        <v>68453632000</v>
      </c>
      <c r="QP37" s="222">
        <f t="shared" si="135"/>
        <v>0</v>
      </c>
      <c r="QQ37" s="222">
        <f t="shared" si="136"/>
        <v>0</v>
      </c>
      <c r="QR37" s="222">
        <f t="shared" si="67"/>
        <v>2.3814266762723371</v>
      </c>
      <c r="QS37" s="209">
        <f t="shared" si="68"/>
        <v>3.6586671670639302E-2</v>
      </c>
      <c r="QT37" s="209">
        <f t="shared" si="69"/>
        <v>0.73801079358999921</v>
      </c>
      <c r="QU37" s="209">
        <f t="shared" si="70"/>
        <v>0.22540253473936145</v>
      </c>
      <c r="QV37" s="208">
        <f t="shared" si="71"/>
        <v>16307661625</v>
      </c>
      <c r="QW37" s="208">
        <f t="shared" si="72"/>
        <v>553630000</v>
      </c>
      <c r="QX37" s="208">
        <f t="shared" si="73"/>
        <v>257994001</v>
      </c>
      <c r="QY37" s="208">
        <f t="shared" si="74"/>
        <v>827734000</v>
      </c>
      <c r="QZ37" s="208">
        <f t="shared" si="75"/>
        <v>0</v>
      </c>
      <c r="RA37" s="209">
        <f t="shared" si="137"/>
        <v>0.99999889469131664</v>
      </c>
      <c r="RB37" s="209">
        <f t="shared" si="76"/>
        <v>3.6049651473074894E-2</v>
      </c>
      <c r="RC37" s="209">
        <f t="shared" si="77"/>
        <v>0.52784861396427052</v>
      </c>
      <c r="RD37" s="209">
        <f t="shared" si="78"/>
        <v>0</v>
      </c>
      <c r="RE37" s="209">
        <f t="shared" si="79"/>
        <v>0</v>
      </c>
      <c r="RF37" s="209">
        <f t="shared" si="80"/>
        <v>0.28009011888016921</v>
      </c>
      <c r="RG37" s="209">
        <f t="shared" si="81"/>
        <v>0</v>
      </c>
      <c r="RH37" s="209">
        <f t="shared" si="82"/>
        <v>0</v>
      </c>
      <c r="RI37" s="209">
        <f t="shared" si="83"/>
        <v>0.19206126715556029</v>
      </c>
      <c r="RJ37" s="134"/>
      <c r="RK37" s="134"/>
      <c r="RL37" s="134"/>
      <c r="RM37" s="134"/>
      <c r="RN37" s="134"/>
      <c r="RO37" s="134"/>
      <c r="RP37" s="134"/>
      <c r="RQ37" s="134"/>
      <c r="RR37" s="222">
        <f t="shared" si="84"/>
        <v>1.7551612786766031</v>
      </c>
      <c r="RS37" s="224"/>
      <c r="RT37" s="224"/>
      <c r="RU37" s="208">
        <f t="shared" si="138"/>
        <v>28.744799359999998</v>
      </c>
      <c r="RV37" s="208">
        <f t="shared" si="139"/>
        <v>1</v>
      </c>
      <c r="RW37" s="208">
        <f t="shared" si="140"/>
        <v>1.0000703811357521</v>
      </c>
      <c r="RX37" s="208">
        <f t="shared" si="141"/>
        <v>0.99999670724833467</v>
      </c>
      <c r="RY37" s="208">
        <f t="shared" si="142"/>
        <v>1.0000216251562082</v>
      </c>
      <c r="RZ37" s="208">
        <f t="shared" si="85"/>
        <v>1.000000315647348</v>
      </c>
      <c r="SA37" s="208">
        <f t="shared" si="86"/>
        <v>0.99999118209934112</v>
      </c>
      <c r="SB37" s="208">
        <f t="shared" si="87"/>
        <v>1.0000385478453169</v>
      </c>
      <c r="SC37" s="208">
        <f t="shared" si="88"/>
        <v>0.99999585061549368</v>
      </c>
      <c r="SD37" s="208">
        <f t="shared" si="89"/>
        <v>1.0002008721783489</v>
      </c>
      <c r="SE37" s="208">
        <f t="shared" si="90"/>
        <v>1.000001545914553</v>
      </c>
      <c r="SF37" s="208">
        <f t="shared" si="91"/>
        <v>1.0000095927792396</v>
      </c>
      <c r="SG37" s="208">
        <f t="shared" si="92"/>
        <v>1.0005441275131508</v>
      </c>
      <c r="SH37" s="208">
        <f t="shared" si="93"/>
        <v>1.00029990650613</v>
      </c>
      <c r="SI37" s="208">
        <f t="shared" si="94"/>
        <v>1.0003648231523359</v>
      </c>
      <c r="SJ37" s="208">
        <f t="shared" si="95"/>
        <v>0.99996792275927981</v>
      </c>
      <c r="SK37" s="208">
        <f t="shared" si="96"/>
        <v>1.0000576862962638</v>
      </c>
      <c r="SL37" s="208">
        <f t="shared" si="97"/>
        <v>0.9999667776461737</v>
      </c>
      <c r="SM37" s="222">
        <f t="shared" si="143"/>
        <v>1</v>
      </c>
      <c r="SN37" s="225">
        <f t="shared" si="98"/>
        <v>28.744799359999998</v>
      </c>
      <c r="SO37" s="209">
        <f t="shared" si="144"/>
        <v>0.99863016098726776</v>
      </c>
      <c r="SP37" s="209">
        <f t="shared" si="145"/>
        <v>0.99999985048073248</v>
      </c>
      <c r="SQ37" s="222">
        <f t="shared" si="146"/>
        <v>63238294643</v>
      </c>
      <c r="SR37" s="222">
        <f t="shared" si="147"/>
        <v>63242745426</v>
      </c>
      <c r="SS37" s="222">
        <f t="shared" si="148"/>
        <v>63238086415</v>
      </c>
      <c r="ST37" s="222">
        <f t="shared" si="149"/>
        <v>63239662181</v>
      </c>
      <c r="SU37" s="222">
        <f t="shared" si="150"/>
        <v>63238314604</v>
      </c>
      <c r="SV37" s="222">
        <f t="shared" si="151"/>
        <v>63237737014</v>
      </c>
      <c r="SW37" s="222">
        <f t="shared" si="152"/>
        <v>63240732343</v>
      </c>
      <c r="SX37" s="222">
        <f t="shared" si="153"/>
        <v>63238032243</v>
      </c>
      <c r="SY37" s="222">
        <f t="shared" si="154"/>
        <v>63250997457</v>
      </c>
      <c r="SZ37" s="222">
        <f t="shared" si="155"/>
        <v>63238392404</v>
      </c>
      <c r="TA37" s="222">
        <f t="shared" si="156"/>
        <v>63238901274</v>
      </c>
      <c r="TB37" s="222">
        <f t="shared" si="157"/>
        <v>63272704339</v>
      </c>
      <c r="TC37" s="222">
        <f t="shared" si="99"/>
        <v>63257260219</v>
      </c>
      <c r="TD37" s="222">
        <f t="shared" si="158"/>
        <v>63261365437</v>
      </c>
      <c r="TE37" s="222">
        <f t="shared" si="159"/>
        <v>63236266133</v>
      </c>
      <c r="TF37" s="222">
        <f t="shared" si="160"/>
        <v>63241942626</v>
      </c>
      <c r="TG37" s="222">
        <f t="shared" si="161"/>
        <v>63236193718</v>
      </c>
      <c r="TQ37" s="252" t="s">
        <v>1753</v>
      </c>
      <c r="UC37" s="252" t="s">
        <v>1753</v>
      </c>
      <c r="VK37" s="2"/>
      <c r="WC37" s="239"/>
      <c r="WD37" s="239"/>
      <c r="WE37" s="239"/>
      <c r="WF37" s="239"/>
      <c r="WG37" s="239"/>
      <c r="WH37" s="239"/>
      <c r="WI37" s="239"/>
      <c r="WJ37" s="239"/>
      <c r="WK37" s="239"/>
      <c r="WL37" s="239"/>
      <c r="WM37" s="239"/>
      <c r="WN37" s="239"/>
      <c r="WO37" s="239"/>
      <c r="WP37" s="239"/>
      <c r="WQ37" s="239"/>
      <c r="WR37" s="239"/>
      <c r="WS37" s="239"/>
    </row>
    <row r="38" spans="28:617" ht="15.75" customHeight="1" x14ac:dyDescent="0.25">
      <c r="AB38" s="254">
        <v>8</v>
      </c>
      <c r="AC38" s="430" t="s">
        <v>1974</v>
      </c>
      <c r="AD38" s="430" t="s">
        <v>1964</v>
      </c>
      <c r="AE38" s="430">
        <v>0</v>
      </c>
      <c r="AF38" s="430">
        <v>0</v>
      </c>
      <c r="AG38" s="430">
        <v>8</v>
      </c>
      <c r="AH38" s="430" t="s">
        <v>1975</v>
      </c>
      <c r="AI38" s="430">
        <v>0</v>
      </c>
      <c r="AJ38" s="430">
        <v>1</v>
      </c>
      <c r="AK38" s="594">
        <v>2875510560</v>
      </c>
      <c r="AL38" s="594">
        <v>63260984835</v>
      </c>
      <c r="AM38" s="430">
        <v>17081158000</v>
      </c>
      <c r="AN38" s="430">
        <v>129000000</v>
      </c>
      <c r="AO38" s="430">
        <v>466978430</v>
      </c>
      <c r="AP38" s="430">
        <v>208316565</v>
      </c>
      <c r="AQ38" s="595">
        <v>3754029</v>
      </c>
      <c r="AR38" s="595">
        <v>825786</v>
      </c>
      <c r="AS38" s="594">
        <v>13496583435</v>
      </c>
      <c r="AT38" s="594">
        <v>10867919049</v>
      </c>
      <c r="AU38" s="430" t="s">
        <v>1974</v>
      </c>
      <c r="AV38" s="430" t="s">
        <v>1964</v>
      </c>
      <c r="AW38" s="430">
        <v>0</v>
      </c>
      <c r="AX38" s="430">
        <v>0</v>
      </c>
      <c r="AY38" s="430">
        <v>8</v>
      </c>
      <c r="AZ38" s="430" t="s">
        <v>1975</v>
      </c>
      <c r="BA38" s="430">
        <v>0</v>
      </c>
      <c r="BB38" s="430">
        <v>1</v>
      </c>
      <c r="BC38" s="430">
        <v>2876155712</v>
      </c>
      <c r="BD38" s="430">
        <v>63275100353</v>
      </c>
      <c r="BE38" s="430">
        <v>54597343153</v>
      </c>
      <c r="BF38" s="595">
        <v>6149869990</v>
      </c>
      <c r="BG38" s="430">
        <v>21480307810</v>
      </c>
      <c r="BH38" s="595">
        <v>270910</v>
      </c>
      <c r="BI38" s="430">
        <v>30301476806</v>
      </c>
      <c r="BJ38" s="430">
        <v>145182856</v>
      </c>
      <c r="BK38" s="430">
        <v>0</v>
      </c>
      <c r="BL38" s="430">
        <v>0</v>
      </c>
      <c r="BM38" s="430" t="s">
        <v>1974</v>
      </c>
      <c r="BN38" s="430" t="s">
        <v>1964</v>
      </c>
      <c r="BO38" s="430">
        <v>0</v>
      </c>
      <c r="BP38" s="430">
        <v>0</v>
      </c>
      <c r="BQ38" s="430">
        <v>8</v>
      </c>
      <c r="BR38" s="430" t="s">
        <v>1975</v>
      </c>
      <c r="BS38" s="430">
        <v>0</v>
      </c>
      <c r="BT38" s="430">
        <v>1</v>
      </c>
      <c r="BU38" s="430">
        <v>2875959552</v>
      </c>
      <c r="BV38" s="430">
        <v>63270588950</v>
      </c>
      <c r="BW38" s="594">
        <v>9918016728</v>
      </c>
      <c r="BX38" s="594">
        <v>11345568145</v>
      </c>
      <c r="BY38" s="430">
        <v>21179710955</v>
      </c>
      <c r="BZ38" s="430">
        <v>942885278</v>
      </c>
      <c r="CA38" s="430">
        <v>6951488897</v>
      </c>
      <c r="CB38" s="430">
        <v>119878021924</v>
      </c>
      <c r="CC38" s="430">
        <v>4918974651</v>
      </c>
      <c r="CD38" s="430">
        <v>74566091340</v>
      </c>
      <c r="CE38" s="430" t="s">
        <v>1974</v>
      </c>
      <c r="CF38" s="430" t="s">
        <v>1964</v>
      </c>
      <c r="CG38" s="430">
        <v>0</v>
      </c>
      <c r="CH38" s="430">
        <v>0</v>
      </c>
      <c r="CI38" s="430">
        <v>8</v>
      </c>
      <c r="CJ38" s="430" t="s">
        <v>1975</v>
      </c>
      <c r="CK38" s="430">
        <v>0</v>
      </c>
      <c r="CL38" s="430">
        <v>1</v>
      </c>
      <c r="CM38" s="430">
        <v>2875727840</v>
      </c>
      <c r="CN38" s="430">
        <v>63265783928</v>
      </c>
      <c r="CO38" s="430">
        <v>3729374</v>
      </c>
      <c r="CP38" s="430">
        <v>467760897</v>
      </c>
      <c r="CQ38" s="430">
        <v>452563843</v>
      </c>
      <c r="CR38" s="430">
        <v>466641972</v>
      </c>
      <c r="CS38" s="430">
        <v>51201117</v>
      </c>
      <c r="CT38" s="430">
        <v>1322202000</v>
      </c>
      <c r="CU38" s="430">
        <v>661101000</v>
      </c>
      <c r="CV38" s="430">
        <v>823222</v>
      </c>
      <c r="CW38" s="430" t="s">
        <v>1974</v>
      </c>
      <c r="CX38" s="430" t="s">
        <v>1964</v>
      </c>
      <c r="CY38" s="430">
        <v>0</v>
      </c>
      <c r="CZ38" s="430">
        <v>0</v>
      </c>
      <c r="DA38" s="430">
        <v>8</v>
      </c>
      <c r="DB38" s="430" t="s">
        <v>1975</v>
      </c>
      <c r="DC38" s="430">
        <v>0</v>
      </c>
      <c r="DD38" s="430">
        <v>1</v>
      </c>
      <c r="DE38" s="430">
        <v>2875719168</v>
      </c>
      <c r="DF38" s="430">
        <v>63265536842</v>
      </c>
      <c r="DG38" s="430">
        <v>6025175000</v>
      </c>
      <c r="DH38" s="430">
        <v>3085138000</v>
      </c>
      <c r="DI38" s="430">
        <v>220367000</v>
      </c>
      <c r="DJ38" s="430">
        <v>3031479145</v>
      </c>
      <c r="DK38" s="430">
        <v>897635373</v>
      </c>
      <c r="DL38" s="430">
        <v>2902411009</v>
      </c>
      <c r="DM38" s="430">
        <v>897612009</v>
      </c>
      <c r="DN38" s="430">
        <v>5362041</v>
      </c>
      <c r="DO38" s="595" t="s">
        <v>1974</v>
      </c>
      <c r="DP38" s="595" t="s">
        <v>1964</v>
      </c>
      <c r="DQ38" s="595">
        <v>0</v>
      </c>
      <c r="DR38" s="595">
        <v>0</v>
      </c>
      <c r="DS38" s="595">
        <v>8</v>
      </c>
      <c r="DT38" s="595" t="s">
        <v>1975</v>
      </c>
      <c r="DU38" s="595">
        <v>0</v>
      </c>
      <c r="DV38" s="595">
        <v>1</v>
      </c>
      <c r="DW38" s="595">
        <v>2875918976</v>
      </c>
      <c r="DX38" s="595">
        <v>63269988946</v>
      </c>
      <c r="DY38" s="595">
        <v>460918131</v>
      </c>
      <c r="DZ38" s="595">
        <v>199242597</v>
      </c>
      <c r="EA38" s="595">
        <v>30101106</v>
      </c>
      <c r="EB38" s="430">
        <v>566979281</v>
      </c>
      <c r="EC38" s="595">
        <v>422346265</v>
      </c>
      <c r="ED38" s="595">
        <v>0</v>
      </c>
      <c r="EE38" s="595">
        <v>0</v>
      </c>
      <c r="EF38" s="595">
        <v>25363616356</v>
      </c>
      <c r="EG38" s="595" t="s">
        <v>1974</v>
      </c>
      <c r="EH38" s="595" t="s">
        <v>1964</v>
      </c>
      <c r="EI38" s="595">
        <v>0</v>
      </c>
      <c r="EJ38" s="595">
        <v>0</v>
      </c>
      <c r="EK38" s="595">
        <v>8</v>
      </c>
      <c r="EL38" s="595" t="s">
        <v>1975</v>
      </c>
      <c r="EM38" s="595">
        <v>0</v>
      </c>
      <c r="EN38" s="595">
        <v>1</v>
      </c>
      <c r="EO38" s="595">
        <v>2876276224</v>
      </c>
      <c r="EP38" s="595">
        <v>63277826434</v>
      </c>
      <c r="EQ38" s="595">
        <v>1196632460</v>
      </c>
      <c r="ER38" s="595">
        <v>371530252</v>
      </c>
      <c r="ES38" s="430">
        <v>959721737</v>
      </c>
      <c r="ET38" s="595">
        <v>5660487</v>
      </c>
      <c r="EU38" s="595">
        <v>17081158000</v>
      </c>
      <c r="EV38" s="595">
        <v>0</v>
      </c>
      <c r="EW38" s="595">
        <v>129000000</v>
      </c>
      <c r="EX38" s="595">
        <v>0</v>
      </c>
      <c r="EY38" s="595" t="s">
        <v>1974</v>
      </c>
      <c r="EZ38" s="595" t="s">
        <v>1964</v>
      </c>
      <c r="FA38" s="595">
        <v>0</v>
      </c>
      <c r="FB38" s="595">
        <v>0</v>
      </c>
      <c r="FC38" s="595">
        <v>8</v>
      </c>
      <c r="FD38" s="595" t="s">
        <v>1975</v>
      </c>
      <c r="FE38" s="595">
        <v>0</v>
      </c>
      <c r="FF38" s="595">
        <v>1</v>
      </c>
      <c r="FG38" s="595">
        <v>2875870304</v>
      </c>
      <c r="FH38" s="595">
        <v>63268902174</v>
      </c>
      <c r="FI38" s="595">
        <v>46866271</v>
      </c>
      <c r="FJ38" s="595">
        <v>6309740930</v>
      </c>
      <c r="FK38" s="595">
        <v>1886565549</v>
      </c>
      <c r="FL38" s="595">
        <v>667625578</v>
      </c>
      <c r="FM38" s="595">
        <v>7080638243</v>
      </c>
      <c r="FN38" s="595">
        <v>5883281831</v>
      </c>
      <c r="FO38" s="430">
        <v>295753620</v>
      </c>
      <c r="FP38" s="430">
        <v>800091621</v>
      </c>
      <c r="FQ38" s="595" t="s">
        <v>1974</v>
      </c>
      <c r="FR38" s="595" t="s">
        <v>1964</v>
      </c>
      <c r="FS38" s="595">
        <v>0</v>
      </c>
      <c r="FT38" s="595">
        <v>0</v>
      </c>
      <c r="FU38" s="595">
        <v>8</v>
      </c>
      <c r="FV38" s="595" t="s">
        <v>1975</v>
      </c>
      <c r="FW38" s="595">
        <v>0</v>
      </c>
      <c r="FX38" s="595">
        <v>1</v>
      </c>
      <c r="FY38" s="595">
        <v>2876046368</v>
      </c>
      <c r="FZ38" s="595">
        <v>63272796532</v>
      </c>
      <c r="GA38" s="595">
        <v>452561371</v>
      </c>
      <c r="GB38" s="595">
        <v>447198624</v>
      </c>
      <c r="GC38" s="595">
        <v>415418997</v>
      </c>
      <c r="GD38" s="595">
        <v>415418997</v>
      </c>
      <c r="GE38" s="595">
        <v>1590</v>
      </c>
      <c r="GF38" s="595">
        <v>1</v>
      </c>
      <c r="GG38" s="595">
        <v>419</v>
      </c>
      <c r="GH38" s="595">
        <v>823824</v>
      </c>
      <c r="GI38" s="595" t="s">
        <v>1974</v>
      </c>
      <c r="GJ38" s="595" t="s">
        <v>1964</v>
      </c>
      <c r="GK38" s="595">
        <v>0</v>
      </c>
      <c r="GL38" s="595">
        <v>0</v>
      </c>
      <c r="GM38" s="595">
        <v>8</v>
      </c>
      <c r="GN38" s="595" t="s">
        <v>1975</v>
      </c>
      <c r="GO38" s="595">
        <v>0</v>
      </c>
      <c r="GP38" s="595">
        <v>1</v>
      </c>
      <c r="GQ38" s="595">
        <v>2875706592</v>
      </c>
      <c r="GR38" s="595">
        <v>63265304725</v>
      </c>
      <c r="GS38" s="595">
        <v>1101835000</v>
      </c>
      <c r="GT38" s="595">
        <v>86003000</v>
      </c>
      <c r="GU38" s="595">
        <v>0</v>
      </c>
      <c r="GV38" s="595">
        <v>0</v>
      </c>
      <c r="GW38" s="595">
        <v>0</v>
      </c>
      <c r="GX38" s="595">
        <v>8</v>
      </c>
      <c r="GY38" s="595">
        <v>521367032</v>
      </c>
      <c r="GZ38" s="595">
        <v>400468687</v>
      </c>
      <c r="HA38" s="595" t="s">
        <v>1974</v>
      </c>
      <c r="HB38" s="595" t="s">
        <v>1964</v>
      </c>
      <c r="HC38" s="595">
        <v>0</v>
      </c>
      <c r="HD38" s="595">
        <v>0</v>
      </c>
      <c r="HE38" s="595">
        <v>8</v>
      </c>
      <c r="HF38" s="595" t="s">
        <v>1975</v>
      </c>
      <c r="HG38" s="595">
        <v>0</v>
      </c>
      <c r="HH38" s="595">
        <v>1</v>
      </c>
      <c r="HI38" s="595">
        <v>2876010656</v>
      </c>
      <c r="HJ38" s="595">
        <v>63272012784</v>
      </c>
      <c r="HK38" s="595">
        <v>0</v>
      </c>
      <c r="HL38" s="595">
        <v>0</v>
      </c>
      <c r="HM38" s="595">
        <v>0</v>
      </c>
      <c r="HN38" s="595">
        <v>1085738001</v>
      </c>
      <c r="HO38" s="595">
        <v>129004009</v>
      </c>
      <c r="HP38" s="595">
        <v>37627017</v>
      </c>
      <c r="HQ38" s="595">
        <v>258007009</v>
      </c>
      <c r="HR38" s="595">
        <v>0</v>
      </c>
      <c r="HS38" s="595" t="s">
        <v>1974</v>
      </c>
      <c r="HT38" s="595" t="s">
        <v>1964</v>
      </c>
      <c r="HU38" s="595">
        <v>0</v>
      </c>
      <c r="HV38" s="595">
        <v>0</v>
      </c>
      <c r="HW38" s="595">
        <v>8</v>
      </c>
      <c r="HX38" s="595" t="s">
        <v>1975</v>
      </c>
      <c r="HY38" s="595">
        <v>0</v>
      </c>
      <c r="HZ38" s="595">
        <v>1</v>
      </c>
      <c r="IA38" s="595">
        <v>2877219232</v>
      </c>
      <c r="IB38" s="595">
        <v>63298570901</v>
      </c>
      <c r="IC38" s="595">
        <v>16307661086</v>
      </c>
      <c r="ID38" s="595">
        <v>1325517570</v>
      </c>
      <c r="IE38" s="595">
        <v>0</v>
      </c>
      <c r="IF38" s="595">
        <v>16307643061</v>
      </c>
      <c r="IG38" s="595">
        <v>14548083</v>
      </c>
      <c r="IH38" s="595">
        <v>400474528</v>
      </c>
      <c r="II38" s="595">
        <v>0</v>
      </c>
      <c r="IJ38" s="595">
        <v>0</v>
      </c>
      <c r="IK38" s="595" t="s">
        <v>1974</v>
      </c>
      <c r="IL38" s="595" t="s">
        <v>1964</v>
      </c>
      <c r="IM38" s="595">
        <v>0</v>
      </c>
      <c r="IN38" s="595">
        <v>0</v>
      </c>
      <c r="IO38" s="595">
        <v>8</v>
      </c>
      <c r="IP38" s="595" t="s">
        <v>1975</v>
      </c>
      <c r="IQ38" s="595">
        <v>0</v>
      </c>
      <c r="IR38" s="595">
        <v>1</v>
      </c>
      <c r="IS38" s="595">
        <v>2876455424</v>
      </c>
      <c r="IT38" s="595">
        <v>63281808066</v>
      </c>
      <c r="IU38" s="595">
        <v>0</v>
      </c>
      <c r="IV38" s="595">
        <v>0</v>
      </c>
      <c r="IW38" s="595">
        <v>827734000</v>
      </c>
      <c r="IX38" s="595">
        <v>0</v>
      </c>
      <c r="IY38" s="595">
        <v>553630000</v>
      </c>
      <c r="IZ38" s="595">
        <v>257994001</v>
      </c>
      <c r="JA38" s="595">
        <v>0</v>
      </c>
      <c r="JB38" s="595">
        <v>0</v>
      </c>
      <c r="JC38" s="595" t="s">
        <v>1974</v>
      </c>
      <c r="JD38" s="595" t="s">
        <v>1964</v>
      </c>
      <c r="JE38" s="595">
        <v>0</v>
      </c>
      <c r="JF38" s="595">
        <v>0</v>
      </c>
      <c r="JG38" s="595">
        <v>8</v>
      </c>
      <c r="JH38" s="595" t="s">
        <v>1975</v>
      </c>
      <c r="JI38" s="595">
        <v>0</v>
      </c>
      <c r="JJ38" s="595">
        <v>1</v>
      </c>
      <c r="JK38" s="595">
        <v>2876694560</v>
      </c>
      <c r="JL38" s="595">
        <v>63287048063</v>
      </c>
      <c r="JM38" s="595">
        <v>447662171</v>
      </c>
      <c r="JN38" s="595">
        <v>0</v>
      </c>
      <c r="JO38" s="595">
        <v>0</v>
      </c>
      <c r="JP38" s="595">
        <v>259342804</v>
      </c>
      <c r="JQ38" s="595">
        <v>0</v>
      </c>
      <c r="JR38" s="595">
        <v>0</v>
      </c>
      <c r="JS38" s="595">
        <v>162911440</v>
      </c>
      <c r="JT38" s="595">
        <v>0</v>
      </c>
      <c r="JU38" s="595" t="s">
        <v>1974</v>
      </c>
      <c r="JV38" s="595" t="s">
        <v>1964</v>
      </c>
      <c r="JW38" s="595">
        <v>0</v>
      </c>
      <c r="JX38" s="595">
        <v>0</v>
      </c>
      <c r="JY38" s="595">
        <v>8</v>
      </c>
      <c r="JZ38" s="595" t="s">
        <v>1975</v>
      </c>
      <c r="KA38" s="595">
        <v>0</v>
      </c>
      <c r="KB38" s="595">
        <v>1</v>
      </c>
      <c r="KC38" s="595">
        <v>2876321472</v>
      </c>
      <c r="KD38" s="595">
        <v>63278770951</v>
      </c>
      <c r="KE38" s="595">
        <v>193500000</v>
      </c>
      <c r="KF38" s="595">
        <v>3903198415</v>
      </c>
      <c r="KG38" s="595">
        <v>1192110257</v>
      </c>
      <c r="KH38" s="595">
        <v>55982713334</v>
      </c>
      <c r="KI38" s="595">
        <v>14372759762</v>
      </c>
      <c r="KJ38" s="595">
        <v>3668606291</v>
      </c>
      <c r="KK38" s="595">
        <v>977314243</v>
      </c>
      <c r="KL38" s="595">
        <v>0</v>
      </c>
      <c r="KM38" s="595" t="s">
        <v>1974</v>
      </c>
      <c r="KN38" s="595" t="s">
        <v>1964</v>
      </c>
      <c r="KO38" s="595">
        <v>0</v>
      </c>
      <c r="KP38" s="595">
        <v>0</v>
      </c>
      <c r="KQ38" s="595">
        <v>8</v>
      </c>
      <c r="KR38" s="595" t="s">
        <v>1975</v>
      </c>
      <c r="KS38" s="595">
        <v>0</v>
      </c>
      <c r="KT38" s="595">
        <v>1</v>
      </c>
      <c r="KU38" s="595">
        <v>2875749056</v>
      </c>
      <c r="KV38" s="595">
        <v>63266212464</v>
      </c>
      <c r="KW38" s="595">
        <v>5593609917</v>
      </c>
      <c r="KX38" s="595">
        <v>42551067</v>
      </c>
      <c r="KY38" s="595">
        <v>9688360</v>
      </c>
      <c r="KZ38" s="595">
        <v>13496562375</v>
      </c>
      <c r="LA38" s="595">
        <v>2506122050</v>
      </c>
      <c r="LB38" s="595">
        <v>719732</v>
      </c>
      <c r="LC38" s="595">
        <v>12772</v>
      </c>
      <c r="LD38" s="595">
        <v>15485</v>
      </c>
      <c r="LE38" s="595" t="s">
        <v>1974</v>
      </c>
      <c r="LF38" s="595" t="s">
        <v>1964</v>
      </c>
      <c r="LG38" s="595">
        <v>0</v>
      </c>
      <c r="LH38" s="595">
        <v>0</v>
      </c>
      <c r="LI38" s="595">
        <v>8</v>
      </c>
      <c r="LJ38" s="595" t="s">
        <v>1975</v>
      </c>
      <c r="LK38" s="595">
        <v>0</v>
      </c>
      <c r="LL38" s="595">
        <v>1</v>
      </c>
      <c r="LM38" s="595">
        <v>2875897376</v>
      </c>
      <c r="LN38" s="595">
        <v>63269492014</v>
      </c>
      <c r="LO38" s="595">
        <v>5541574984</v>
      </c>
      <c r="LP38" s="595">
        <v>959</v>
      </c>
      <c r="LQ38" s="595">
        <v>0</v>
      </c>
      <c r="LR38" s="595">
        <v>2506336591</v>
      </c>
      <c r="LS38" s="595">
        <v>178</v>
      </c>
      <c r="LT38" s="595">
        <v>0</v>
      </c>
      <c r="LU38" s="595">
        <v>5541398743</v>
      </c>
      <c r="LV38" s="595">
        <v>31028</v>
      </c>
      <c r="MC38" s="252" t="s">
        <v>1184</v>
      </c>
      <c r="MD38" s="371"/>
      <c r="ME38" s="372"/>
      <c r="MF38" s="372"/>
      <c r="MG38" s="372"/>
      <c r="MH38" s="372"/>
      <c r="MI38" s="372"/>
      <c r="MJ38" s="372"/>
      <c r="MK38" s="372"/>
      <c r="ML38" s="372"/>
      <c r="MM38" s="372"/>
      <c r="MN38" s="372"/>
      <c r="MO38" s="372"/>
      <c r="MP38" s="372"/>
      <c r="MQ38" s="372"/>
      <c r="MR38" s="372"/>
      <c r="MS38" s="372"/>
      <c r="MT38" s="373"/>
      <c r="NA38" s="424">
        <f t="shared" si="100"/>
        <v>0</v>
      </c>
      <c r="NB38" s="424">
        <f t="shared" si="101"/>
        <v>8</v>
      </c>
      <c r="NC38" s="207">
        <f t="shared" si="102"/>
        <v>28.7551056</v>
      </c>
      <c r="ND38" s="208">
        <f t="shared" si="103"/>
        <v>2.3805731389837081</v>
      </c>
      <c r="NE38" s="209">
        <f t="shared" si="15"/>
        <v>3.3815111983153796E-2</v>
      </c>
      <c r="NF38" s="208">
        <f t="shared" si="16"/>
        <v>5.9712208492115568</v>
      </c>
      <c r="NG38" s="210"/>
      <c r="NH38" s="211">
        <f t="shared" si="104"/>
        <v>13496583435</v>
      </c>
      <c r="NI38" s="208">
        <f t="shared" si="17"/>
        <v>68453632000</v>
      </c>
      <c r="NJ38" s="212">
        <f t="shared" si="105"/>
        <v>0.80523482860238405</v>
      </c>
      <c r="NK38" s="213">
        <f t="shared" si="106"/>
        <v>0.9981155127020872</v>
      </c>
      <c r="NL38" s="214">
        <f t="shared" si="18"/>
        <v>1</v>
      </c>
      <c r="NM38" s="208">
        <f t="shared" si="107"/>
        <v>0.21334766555092946</v>
      </c>
      <c r="NN38" s="208">
        <f t="shared" si="19"/>
        <v>0.46936302800432073</v>
      </c>
      <c r="NO38" s="215">
        <f t="shared" si="20"/>
        <v>1.2311392024092868E-4</v>
      </c>
      <c r="NP38" s="216">
        <f t="shared" si="108"/>
        <v>0</v>
      </c>
      <c r="NQ38" s="215">
        <f t="shared" si="109"/>
        <v>0.19193349962446618</v>
      </c>
      <c r="NR38" s="215">
        <f t="shared" si="110"/>
        <v>6.5727871234096041E-2</v>
      </c>
      <c r="NS38" s="215">
        <f t="shared" si="21"/>
        <v>1.3679322148491158E-2</v>
      </c>
      <c r="NT38" s="215">
        <f t="shared" si="22"/>
        <v>3.8495015725519507E-3</v>
      </c>
      <c r="NU38" s="215">
        <f t="shared" si="23"/>
        <v>7.6865645536915425E-2</v>
      </c>
      <c r="NV38" s="215">
        <f t="shared" si="111"/>
        <v>9.409457391874934</v>
      </c>
      <c r="NW38" s="215">
        <f t="shared" si="24"/>
        <v>2.2439900985646015</v>
      </c>
      <c r="NX38" s="215">
        <f t="shared" si="25"/>
        <v>11.526389727489196</v>
      </c>
      <c r="NY38" s="215">
        <f t="shared" si="26"/>
        <v>2.5723847220213859E-3</v>
      </c>
      <c r="NZ38" s="215">
        <f t="shared" si="27"/>
        <v>1.2109687123358561</v>
      </c>
      <c r="OA38" s="215">
        <f t="shared" si="28"/>
        <v>0</v>
      </c>
      <c r="OB38" s="215">
        <f t="shared" si="29"/>
        <v>6.5977743730147406E-2</v>
      </c>
      <c r="OC38" s="215">
        <f t="shared" si="30"/>
        <v>0</v>
      </c>
      <c r="OD38" s="215">
        <f t="shared" si="31"/>
        <v>2.794782781886755</v>
      </c>
      <c r="OE38" s="215">
        <f t="shared" si="32"/>
        <v>0.54380463341385066</v>
      </c>
      <c r="OF38" s="215">
        <f t="shared" si="33"/>
        <v>0.16884037433767721</v>
      </c>
      <c r="OG38" s="215">
        <f t="shared" si="34"/>
        <v>0.4361415428832584</v>
      </c>
      <c r="OH38" s="215">
        <f t="shared" si="35"/>
        <v>1.254724941069743E-6</v>
      </c>
      <c r="OI38" s="215">
        <f t="shared" si="112"/>
        <v>28.7551056</v>
      </c>
      <c r="OJ38" s="218">
        <f t="shared" si="113"/>
        <v>0.10986919850696285</v>
      </c>
      <c r="OK38" s="218">
        <f t="shared" si="114"/>
        <v>7.7745042880622658E-2</v>
      </c>
      <c r="OL38" s="218">
        <f t="shared" si="115"/>
        <v>4.6745495786639129E-3</v>
      </c>
      <c r="OM38" s="218">
        <f t="shared" si="116"/>
        <v>1.2645890690494597E-2</v>
      </c>
      <c r="ON38" s="217">
        <f t="shared" si="36"/>
        <v>0.16803688116293408</v>
      </c>
      <c r="OO38" s="210"/>
      <c r="OP38" s="210"/>
      <c r="OQ38" s="218">
        <f t="shared" si="117"/>
        <v>0.11191340452734691</v>
      </c>
      <c r="OR38" s="218">
        <f t="shared" si="118"/>
        <v>9.2988524043296925E-2</v>
      </c>
      <c r="OS38" s="218">
        <f t="shared" si="37"/>
        <v>1</v>
      </c>
      <c r="OT38" s="218">
        <f t="shared" si="38"/>
        <v>0.94742929968191048</v>
      </c>
      <c r="OU38" s="209">
        <f t="shared" si="39"/>
        <v>0.95374627469802808</v>
      </c>
      <c r="OV38" s="209">
        <f t="shared" si="40"/>
        <v>0.91914907774960153</v>
      </c>
      <c r="OW38" s="209">
        <f t="shared" si="119"/>
        <v>1.4902426129542137E-2</v>
      </c>
      <c r="OX38" s="219">
        <f t="shared" si="41"/>
        <v>3.1044893844276821E-8</v>
      </c>
      <c r="OY38" s="208">
        <f t="shared" si="120"/>
        <v>3929114518</v>
      </c>
      <c r="OZ38" s="208">
        <f t="shared" si="42"/>
        <v>467760897</v>
      </c>
      <c r="PA38" s="209">
        <f t="shared" si="121"/>
        <v>0.11904995256745531</v>
      </c>
      <c r="PB38" s="209">
        <f>IF(OR($CQ38="",$OZ38=""),"",IF($OZ38=0,0,
GuardLimitUpper(
  ($OZ38-$CQ38)/$OZ38,
  data_GuardLimitFlag,
  1)
))</f>
        <v>3.2488936329365725E-2</v>
      </c>
      <c r="PC38" s="209">
        <f t="shared" si="43"/>
        <v>0.9560410604394749</v>
      </c>
      <c r="PD38" s="209">
        <f t="shared" si="44"/>
        <v>1.1470003231159358E-2</v>
      </c>
      <c r="PE38" s="208">
        <f t="shared" si="122"/>
        <v>462398615</v>
      </c>
      <c r="PF38" s="209">
        <f t="shared" si="123"/>
        <v>0.11768519672350257</v>
      </c>
      <c r="PG38" s="209">
        <f t="shared" si="45"/>
        <v>0.10273780994958748</v>
      </c>
      <c r="PH38" s="209">
        <f t="shared" si="46"/>
        <v>0.89904510064511955</v>
      </c>
      <c r="PI38" s="209">
        <f t="shared" si="47"/>
        <v>0</v>
      </c>
      <c r="PJ38" s="220">
        <f t="shared" si="48"/>
        <v>4.0467133057993502E-7</v>
      </c>
      <c r="PK38" s="220">
        <f t="shared" si="49"/>
        <v>2.5451027080499056E-10</v>
      </c>
      <c r="PL38" s="221">
        <f t="shared" si="124"/>
        <v>220367000</v>
      </c>
      <c r="PM38" s="221">
        <f t="shared" si="50"/>
        <v>0</v>
      </c>
      <c r="PN38" s="221">
        <f t="shared" si="125"/>
        <v>1322202000</v>
      </c>
      <c r="PO38" s="221">
        <f t="shared" si="51"/>
        <v>0</v>
      </c>
      <c r="PP38" s="221">
        <f t="shared" si="52"/>
        <v>1101835000</v>
      </c>
      <c r="PQ38" s="529">
        <f t="shared" si="126"/>
        <v>0</v>
      </c>
      <c r="PR38" s="221">
        <f t="shared" si="53"/>
        <v>0</v>
      </c>
      <c r="PS38" s="221">
        <f t="shared" si="54"/>
        <v>387075145</v>
      </c>
      <c r="PT38" s="221">
        <f t="shared" si="127"/>
        <v>21504000</v>
      </c>
      <c r="PU38" s="221">
        <f t="shared" si="55"/>
        <v>0</v>
      </c>
      <c r="PV38" s="221">
        <f t="shared" si="128"/>
        <v>661101000</v>
      </c>
      <c r="PW38" s="221">
        <f t="shared" si="56"/>
        <v>86003000</v>
      </c>
      <c r="PX38" s="221">
        <f t="shared" si="162"/>
        <v>0</v>
      </c>
      <c r="PY38" s="221">
        <f t="shared" si="57"/>
        <v>129027373</v>
      </c>
      <c r="PZ38" s="221">
        <f t="shared" si="58"/>
        <v>0</v>
      </c>
      <c r="QA38" s="221">
        <f t="shared" si="59"/>
        <v>0</v>
      </c>
      <c r="QB38" s="221">
        <f t="shared" si="60"/>
        <v>5362041</v>
      </c>
      <c r="QC38" s="221">
        <f t="shared" si="61"/>
        <v>8</v>
      </c>
      <c r="QD38" s="221">
        <f t="shared" si="129"/>
        <v>2719670000</v>
      </c>
      <c r="QE38" s="221">
        <f t="shared" si="130"/>
        <v>3085138000</v>
      </c>
      <c r="QF38" s="221">
        <f t="shared" si="131"/>
        <v>220367000</v>
      </c>
      <c r="QG38" s="222">
        <f t="shared" si="62"/>
        <v>0</v>
      </c>
      <c r="QH38" s="222">
        <f t="shared" si="63"/>
        <v>1085738001</v>
      </c>
      <c r="QI38" s="222">
        <f t="shared" si="64"/>
        <v>521367032</v>
      </c>
      <c r="QJ38" s="222">
        <f t="shared" si="65"/>
        <v>400468687</v>
      </c>
      <c r="QK38" s="222">
        <f t="shared" si="66"/>
        <v>37627017</v>
      </c>
      <c r="QL38" s="222">
        <f t="shared" si="132"/>
        <v>0</v>
      </c>
      <c r="QM38" s="222">
        <f>IF(OR($O$8="Lv2",$O$8="Lv3",$O$8="Lv4"),IF(OR($AS38="",COUNT($PL38:$QL38)=0),"",
GuardLimitLower(
  $AS38-SUM($PL38:$QL38),
  data_GuardLimitFlag,
  0)
),"")</f>
        <v>1491731131</v>
      </c>
      <c r="QN38" s="222">
        <f t="shared" si="133"/>
        <v>13496583435</v>
      </c>
      <c r="QO38" s="222">
        <f t="shared" si="134"/>
        <v>68453632000</v>
      </c>
      <c r="QP38" s="222">
        <f t="shared" si="135"/>
        <v>0</v>
      </c>
      <c r="QQ38" s="222">
        <f t="shared" si="136"/>
        <v>0</v>
      </c>
      <c r="QR38" s="222">
        <f t="shared" si="67"/>
        <v>2.3805731389837081</v>
      </c>
      <c r="QS38" s="209">
        <f t="shared" si="68"/>
        <v>3.6586689366251292E-2</v>
      </c>
      <c r="QT38" s="209">
        <f t="shared" si="69"/>
        <v>0.73801089376976425</v>
      </c>
      <c r="QU38" s="209">
        <f t="shared" si="70"/>
        <v>0.22540241686398446</v>
      </c>
      <c r="QV38" s="208">
        <f t="shared" si="71"/>
        <v>16307661086</v>
      </c>
      <c r="QW38" s="208">
        <f t="shared" si="72"/>
        <v>553630000</v>
      </c>
      <c r="QX38" s="208">
        <f t="shared" si="73"/>
        <v>257994001</v>
      </c>
      <c r="QY38" s="208">
        <f t="shared" si="74"/>
        <v>827734000</v>
      </c>
      <c r="QZ38" s="208">
        <f t="shared" si="75"/>
        <v>0</v>
      </c>
      <c r="RA38" s="209">
        <f t="shared" si="137"/>
        <v>0.99999889469128012</v>
      </c>
      <c r="RB38" s="209">
        <f t="shared" si="76"/>
        <v>3.6327641766408569E-2</v>
      </c>
      <c r="RC38" s="209">
        <f t="shared" si="77"/>
        <v>0.51460365993898394</v>
      </c>
      <c r="RD38" s="209">
        <f t="shared" si="78"/>
        <v>0</v>
      </c>
      <c r="RE38" s="209">
        <f t="shared" si="79"/>
        <v>0</v>
      </c>
      <c r="RF38" s="209">
        <f t="shared" si="80"/>
        <v>0.2981238191717534</v>
      </c>
      <c r="RG38" s="209">
        <f t="shared" si="81"/>
        <v>0</v>
      </c>
      <c r="RH38" s="209">
        <f t="shared" si="82"/>
        <v>0</v>
      </c>
      <c r="RI38" s="209">
        <f t="shared" si="83"/>
        <v>0.18727252088926269</v>
      </c>
      <c r="RJ38" s="134"/>
      <c r="RK38" s="134"/>
      <c r="RL38" s="134"/>
      <c r="RM38" s="134"/>
      <c r="RN38" s="134"/>
      <c r="RO38" s="134"/>
      <c r="RP38" s="134"/>
      <c r="RQ38" s="134"/>
      <c r="RR38" s="222">
        <f t="shared" si="84"/>
        <v>1.7554422557919593</v>
      </c>
      <c r="RS38" s="224"/>
      <c r="RT38" s="224"/>
      <c r="RU38" s="208">
        <f t="shared" si="138"/>
        <v>28.7551056</v>
      </c>
      <c r="RV38" s="208">
        <f t="shared" si="139"/>
        <v>1</v>
      </c>
      <c r="RW38" s="208">
        <f t="shared" si="140"/>
        <v>1.000223131493081</v>
      </c>
      <c r="RX38" s="208">
        <f t="shared" si="141"/>
        <v>1.000151817348798</v>
      </c>
      <c r="RY38" s="208">
        <f t="shared" si="142"/>
        <v>1.0000758618129724</v>
      </c>
      <c r="RZ38" s="208">
        <f t="shared" si="85"/>
        <v>1.0000719559932851</v>
      </c>
      <c r="SA38" s="208">
        <f t="shared" si="86"/>
        <v>1.0001423327667676</v>
      </c>
      <c r="SB38" s="208">
        <f t="shared" si="87"/>
        <v>1.0002662241039075</v>
      </c>
      <c r="SC38" s="208">
        <f t="shared" si="88"/>
        <v>1.0001251535843245</v>
      </c>
      <c r="SD38" s="208">
        <f t="shared" si="89"/>
        <v>1.0001867137704354</v>
      </c>
      <c r="SE38" s="208">
        <f t="shared" si="90"/>
        <v>1.0000682867965345</v>
      </c>
      <c r="SF38" s="208">
        <f t="shared" si="91"/>
        <v>1.0001743246493675</v>
      </c>
      <c r="SG38" s="208">
        <f t="shared" si="92"/>
        <v>1.0005941429160174</v>
      </c>
      <c r="SH38" s="208">
        <f t="shared" si="93"/>
        <v>1.0004119952932755</v>
      </c>
      <c r="SI38" s="208">
        <f t="shared" si="94"/>
        <v>1.0003291638765079</v>
      </c>
      <c r="SJ38" s="208">
        <f t="shared" si="95"/>
        <v>1.0002811545859804</v>
      </c>
      <c r="SK38" s="208">
        <f t="shared" si="96"/>
        <v>1.0000826359092201</v>
      </c>
      <c r="SL38" s="208">
        <f t="shared" si="97"/>
        <v>1.0001344774986065</v>
      </c>
      <c r="SM38" s="222">
        <f t="shared" si="143"/>
        <v>1</v>
      </c>
      <c r="SN38" s="225">
        <f t="shared" si="98"/>
        <v>28.7551056</v>
      </c>
      <c r="SO38" s="209">
        <f t="shared" si="144"/>
        <v>0.99898821261189297</v>
      </c>
      <c r="SP38" s="209">
        <f t="shared" si="145"/>
        <v>0.99999963813077164</v>
      </c>
      <c r="SQ38" s="222">
        <f t="shared" si="146"/>
        <v>63260984835</v>
      </c>
      <c r="SR38" s="222">
        <f t="shared" si="147"/>
        <v>63275100353</v>
      </c>
      <c r="SS38" s="222">
        <f t="shared" si="148"/>
        <v>63270588950</v>
      </c>
      <c r="ST38" s="222">
        <f t="shared" si="149"/>
        <v>63265783928</v>
      </c>
      <c r="SU38" s="222">
        <f t="shared" si="150"/>
        <v>63265536842</v>
      </c>
      <c r="SV38" s="222">
        <f t="shared" si="151"/>
        <v>63269988946</v>
      </c>
      <c r="SW38" s="222">
        <f t="shared" si="152"/>
        <v>63277826434</v>
      </c>
      <c r="SX38" s="222">
        <f t="shared" si="153"/>
        <v>63268902174</v>
      </c>
      <c r="SY38" s="222">
        <f t="shared" si="154"/>
        <v>63272796532</v>
      </c>
      <c r="SZ38" s="222">
        <f t="shared" si="155"/>
        <v>63265304725</v>
      </c>
      <c r="TA38" s="222">
        <f t="shared" si="156"/>
        <v>63272012784</v>
      </c>
      <c r="TB38" s="222">
        <f t="shared" si="157"/>
        <v>63298570901</v>
      </c>
      <c r="TC38" s="222">
        <f t="shared" si="99"/>
        <v>63287048063</v>
      </c>
      <c r="TD38" s="222">
        <f t="shared" si="158"/>
        <v>63281808066</v>
      </c>
      <c r="TE38" s="222">
        <f t="shared" si="159"/>
        <v>63278770951</v>
      </c>
      <c r="TF38" s="222">
        <f t="shared" si="160"/>
        <v>63266212464</v>
      </c>
      <c r="TG38" s="222">
        <f t="shared" si="161"/>
        <v>63269492014</v>
      </c>
      <c r="TQ38" s="304"/>
      <c r="TR38" s="378"/>
      <c r="TS38" s="810" t="s">
        <v>1369</v>
      </c>
      <c r="TT38" s="810" t="s">
        <v>1737</v>
      </c>
      <c r="TU38" s="810" t="s">
        <v>458</v>
      </c>
      <c r="TV38" s="810" t="s">
        <v>459</v>
      </c>
      <c r="TW38" s="810" t="s">
        <v>946</v>
      </c>
      <c r="TX38" s="810" t="s">
        <v>1409</v>
      </c>
      <c r="TY38" s="810" t="s">
        <v>1699</v>
      </c>
      <c r="TZ38" s="810" t="s">
        <v>1410</v>
      </c>
      <c r="UA38" s="810" t="s">
        <v>1411</v>
      </c>
      <c r="UC38" s="379"/>
      <c r="UD38" s="378"/>
      <c r="UE38" s="810" t="s">
        <v>1735</v>
      </c>
      <c r="UF38" s="810" t="s">
        <v>1736</v>
      </c>
      <c r="UG38" s="810" t="s">
        <v>1370</v>
      </c>
      <c r="UH38" s="810" t="s">
        <v>1734</v>
      </c>
      <c r="UI38" s="810" t="s">
        <v>1731</v>
      </c>
      <c r="UJ38" s="810" t="s">
        <v>1732</v>
      </c>
      <c r="UK38" s="810" t="s">
        <v>1733</v>
      </c>
      <c r="UL38" s="810" t="s">
        <v>1934</v>
      </c>
      <c r="UM38" s="810" t="s">
        <v>1423</v>
      </c>
      <c r="UN38" s="810" t="s">
        <v>1315</v>
      </c>
      <c r="UO38" s="810" t="s">
        <v>1424</v>
      </c>
      <c r="UP38" s="810" t="s">
        <v>1425</v>
      </c>
      <c r="UQ38" s="810" t="s">
        <v>1426</v>
      </c>
      <c r="UR38" s="810" t="s">
        <v>1409</v>
      </c>
      <c r="US38" s="810" t="s">
        <v>1412</v>
      </c>
      <c r="UT38" s="810" t="s">
        <v>1410</v>
      </c>
      <c r="UU38" s="810" t="s">
        <v>292</v>
      </c>
      <c r="UV38" s="810" t="s">
        <v>293</v>
      </c>
      <c r="UW38" s="810" t="s">
        <v>294</v>
      </c>
      <c r="UX38" s="810" t="s">
        <v>1411</v>
      </c>
      <c r="VK38" s="2"/>
      <c r="WC38" s="239"/>
      <c r="WD38" s="239"/>
      <c r="WE38" s="239"/>
      <c r="WF38" s="239"/>
      <c r="WG38" s="239"/>
      <c r="WH38" s="239"/>
      <c r="WI38" s="239"/>
      <c r="WJ38" s="239"/>
      <c r="WK38" s="239"/>
      <c r="WL38" s="239"/>
      <c r="WM38" s="239"/>
      <c r="WN38" s="239"/>
      <c r="WO38" s="239"/>
      <c r="WP38" s="239"/>
      <c r="WQ38" s="239"/>
      <c r="WR38" s="239"/>
      <c r="WS38" s="239"/>
    </row>
    <row r="39" spans="28:617" x14ac:dyDescent="0.25">
      <c r="AB39" s="254">
        <v>9</v>
      </c>
      <c r="AC39" s="430" t="s">
        <v>1974</v>
      </c>
      <c r="AD39" s="430" t="s">
        <v>1964</v>
      </c>
      <c r="AE39" s="430">
        <v>0</v>
      </c>
      <c r="AF39" s="430">
        <v>0</v>
      </c>
      <c r="AG39" s="430">
        <v>9</v>
      </c>
      <c r="AH39" s="430" t="s">
        <v>1975</v>
      </c>
      <c r="AI39" s="430">
        <v>0</v>
      </c>
      <c r="AJ39" s="430">
        <v>1</v>
      </c>
      <c r="AK39" s="594">
        <v>2873029600</v>
      </c>
      <c r="AL39" s="594">
        <v>63206403170</v>
      </c>
      <c r="AM39" s="430">
        <v>17081158000</v>
      </c>
      <c r="AN39" s="430">
        <v>129000000</v>
      </c>
      <c r="AO39" s="430">
        <v>465702981</v>
      </c>
      <c r="AP39" s="430">
        <v>210838269</v>
      </c>
      <c r="AQ39" s="595">
        <v>3275991</v>
      </c>
      <c r="AR39" s="595">
        <v>619705</v>
      </c>
      <c r="AS39" s="594">
        <v>13496583525</v>
      </c>
      <c r="AT39" s="594">
        <v>10867919049</v>
      </c>
      <c r="AU39" s="430" t="s">
        <v>1974</v>
      </c>
      <c r="AV39" s="430" t="s">
        <v>1964</v>
      </c>
      <c r="AW39" s="430">
        <v>0</v>
      </c>
      <c r="AX39" s="430">
        <v>0</v>
      </c>
      <c r="AY39" s="430">
        <v>9</v>
      </c>
      <c r="AZ39" s="430" t="s">
        <v>1975</v>
      </c>
      <c r="BA39" s="430">
        <v>0</v>
      </c>
      <c r="BB39" s="430">
        <v>1</v>
      </c>
      <c r="BC39" s="430">
        <v>2872779104</v>
      </c>
      <c r="BD39" s="430">
        <v>63200816670</v>
      </c>
      <c r="BE39" s="430">
        <v>54521117710</v>
      </c>
      <c r="BF39" s="595">
        <v>6152715200</v>
      </c>
      <c r="BG39" s="430">
        <v>21400034390</v>
      </c>
      <c r="BH39" s="595">
        <v>373354</v>
      </c>
      <c r="BI39" s="430">
        <v>30307071102</v>
      </c>
      <c r="BJ39" s="430">
        <v>143317490</v>
      </c>
      <c r="BK39" s="430">
        <v>0</v>
      </c>
      <c r="BL39" s="430">
        <v>0</v>
      </c>
      <c r="BM39" s="430" t="s">
        <v>1974</v>
      </c>
      <c r="BN39" s="430" t="s">
        <v>1964</v>
      </c>
      <c r="BO39" s="430">
        <v>0</v>
      </c>
      <c r="BP39" s="430">
        <v>0</v>
      </c>
      <c r="BQ39" s="430">
        <v>9</v>
      </c>
      <c r="BR39" s="430" t="s">
        <v>1975</v>
      </c>
      <c r="BS39" s="430">
        <v>0</v>
      </c>
      <c r="BT39" s="430">
        <v>1</v>
      </c>
      <c r="BU39" s="430">
        <v>2872900608</v>
      </c>
      <c r="BV39" s="430">
        <v>63203293123</v>
      </c>
      <c r="BW39" s="594">
        <v>9917925037</v>
      </c>
      <c r="BX39" s="594">
        <v>11340937739</v>
      </c>
      <c r="BY39" s="430">
        <v>21165943863</v>
      </c>
      <c r="BZ39" s="430">
        <v>943281207</v>
      </c>
      <c r="CA39" s="430">
        <v>6950889328</v>
      </c>
      <c r="CB39" s="430">
        <v>119911800226</v>
      </c>
      <c r="CC39" s="430">
        <v>4920348015</v>
      </c>
      <c r="CD39" s="430">
        <v>74585112840</v>
      </c>
      <c r="CE39" s="430" t="s">
        <v>1974</v>
      </c>
      <c r="CF39" s="430" t="s">
        <v>1964</v>
      </c>
      <c r="CG39" s="430">
        <v>0</v>
      </c>
      <c r="CH39" s="430">
        <v>0</v>
      </c>
      <c r="CI39" s="430">
        <v>9</v>
      </c>
      <c r="CJ39" s="430" t="s">
        <v>1975</v>
      </c>
      <c r="CK39" s="430">
        <v>0</v>
      </c>
      <c r="CL39" s="430">
        <v>1</v>
      </c>
      <c r="CM39" s="430">
        <v>2872277760</v>
      </c>
      <c r="CN39" s="430">
        <v>63189870910</v>
      </c>
      <c r="CO39" s="430">
        <v>3234732</v>
      </c>
      <c r="CP39" s="430">
        <v>467964761</v>
      </c>
      <c r="CQ39" s="430">
        <v>452983594</v>
      </c>
      <c r="CR39" s="430">
        <v>465682633</v>
      </c>
      <c r="CS39" s="430">
        <v>63207104</v>
      </c>
      <c r="CT39" s="430">
        <v>1322202000</v>
      </c>
      <c r="CU39" s="430">
        <v>661101000</v>
      </c>
      <c r="CV39" s="430">
        <v>628810</v>
      </c>
      <c r="CW39" s="430" t="s">
        <v>1974</v>
      </c>
      <c r="CX39" s="430" t="s">
        <v>1964</v>
      </c>
      <c r="CY39" s="430">
        <v>0</v>
      </c>
      <c r="CZ39" s="430">
        <v>0</v>
      </c>
      <c r="DA39" s="430">
        <v>9</v>
      </c>
      <c r="DB39" s="430" t="s">
        <v>1975</v>
      </c>
      <c r="DC39" s="430">
        <v>0</v>
      </c>
      <c r="DD39" s="430">
        <v>1</v>
      </c>
      <c r="DE39" s="430">
        <v>2872918912</v>
      </c>
      <c r="DF39" s="430">
        <v>63203916183</v>
      </c>
      <c r="DG39" s="430">
        <v>6025175000</v>
      </c>
      <c r="DH39" s="430">
        <v>3085138000</v>
      </c>
      <c r="DI39" s="430">
        <v>220367000</v>
      </c>
      <c r="DJ39" s="430">
        <v>3031480065</v>
      </c>
      <c r="DK39" s="430">
        <v>897635644</v>
      </c>
      <c r="DL39" s="430">
        <v>2902411019</v>
      </c>
      <c r="DM39" s="430">
        <v>897612019</v>
      </c>
      <c r="DN39" s="430">
        <v>5362041</v>
      </c>
      <c r="DO39" s="595" t="s">
        <v>1974</v>
      </c>
      <c r="DP39" s="595" t="s">
        <v>1964</v>
      </c>
      <c r="DQ39" s="595">
        <v>0</v>
      </c>
      <c r="DR39" s="595">
        <v>0</v>
      </c>
      <c r="DS39" s="595">
        <v>9</v>
      </c>
      <c r="DT39" s="595" t="s">
        <v>1975</v>
      </c>
      <c r="DU39" s="595">
        <v>0</v>
      </c>
      <c r="DV39" s="595">
        <v>1</v>
      </c>
      <c r="DW39" s="595">
        <v>2872557088</v>
      </c>
      <c r="DX39" s="595">
        <v>63196000255</v>
      </c>
      <c r="DY39" s="595">
        <v>460754366</v>
      </c>
      <c r="DZ39" s="595">
        <v>172123645</v>
      </c>
      <c r="EA39" s="595">
        <v>30601523</v>
      </c>
      <c r="EB39" s="430">
        <v>511998033</v>
      </c>
      <c r="EC39" s="595">
        <v>421639142</v>
      </c>
      <c r="ED39" s="595">
        <v>0</v>
      </c>
      <c r="EE39" s="595">
        <v>0</v>
      </c>
      <c r="EF39" s="595">
        <v>25371737788</v>
      </c>
      <c r="EG39" s="595" t="s">
        <v>1974</v>
      </c>
      <c r="EH39" s="595" t="s">
        <v>1964</v>
      </c>
      <c r="EI39" s="595">
        <v>0</v>
      </c>
      <c r="EJ39" s="595">
        <v>0</v>
      </c>
      <c r="EK39" s="595">
        <v>9</v>
      </c>
      <c r="EL39" s="595" t="s">
        <v>1975</v>
      </c>
      <c r="EM39" s="595">
        <v>0</v>
      </c>
      <c r="EN39" s="595">
        <v>1</v>
      </c>
      <c r="EO39" s="595">
        <v>2872445792</v>
      </c>
      <c r="EP39" s="595">
        <v>63193578248</v>
      </c>
      <c r="EQ39" s="595">
        <v>1195681943</v>
      </c>
      <c r="ER39" s="595">
        <v>372311186</v>
      </c>
      <c r="ES39" s="430">
        <v>958955505</v>
      </c>
      <c r="ET39" s="595">
        <v>5566911</v>
      </c>
      <c r="EU39" s="595">
        <v>17081158000</v>
      </c>
      <c r="EV39" s="595">
        <v>0</v>
      </c>
      <c r="EW39" s="595">
        <v>129000000</v>
      </c>
      <c r="EX39" s="595">
        <v>0</v>
      </c>
      <c r="EY39" s="595" t="s">
        <v>1974</v>
      </c>
      <c r="EZ39" s="595" t="s">
        <v>1964</v>
      </c>
      <c r="FA39" s="595">
        <v>0</v>
      </c>
      <c r="FB39" s="595">
        <v>0</v>
      </c>
      <c r="FC39" s="595">
        <v>9</v>
      </c>
      <c r="FD39" s="595" t="s">
        <v>1975</v>
      </c>
      <c r="FE39" s="595">
        <v>0</v>
      </c>
      <c r="FF39" s="595">
        <v>1</v>
      </c>
      <c r="FG39" s="595">
        <v>2872523328</v>
      </c>
      <c r="FH39" s="595">
        <v>63195255756</v>
      </c>
      <c r="FI39" s="595">
        <v>46721776</v>
      </c>
      <c r="FJ39" s="595">
        <v>6302091835</v>
      </c>
      <c r="FK39" s="595">
        <v>1884647918</v>
      </c>
      <c r="FL39" s="595">
        <v>667049556</v>
      </c>
      <c r="FM39" s="595">
        <v>7080310090</v>
      </c>
      <c r="FN39" s="595">
        <v>5883106429</v>
      </c>
      <c r="FO39" s="430">
        <v>295779364</v>
      </c>
      <c r="FP39" s="430">
        <v>799828443</v>
      </c>
      <c r="FQ39" s="595" t="s">
        <v>1974</v>
      </c>
      <c r="FR39" s="595" t="s">
        <v>1964</v>
      </c>
      <c r="FS39" s="595">
        <v>0</v>
      </c>
      <c r="FT39" s="595">
        <v>0</v>
      </c>
      <c r="FU39" s="595">
        <v>9</v>
      </c>
      <c r="FV39" s="595" t="s">
        <v>1975</v>
      </c>
      <c r="FW39" s="595">
        <v>0</v>
      </c>
      <c r="FX39" s="595">
        <v>1</v>
      </c>
      <c r="FY39" s="595">
        <v>2872484192</v>
      </c>
      <c r="FZ39" s="595">
        <v>63194430026</v>
      </c>
      <c r="GA39" s="595">
        <v>452983182</v>
      </c>
      <c r="GB39" s="595">
        <v>447620447</v>
      </c>
      <c r="GC39" s="595">
        <v>402136176</v>
      </c>
      <c r="GD39" s="595">
        <v>402136176</v>
      </c>
      <c r="GE39" s="595">
        <v>1511</v>
      </c>
      <c r="GF39" s="595">
        <v>1</v>
      </c>
      <c r="GG39" s="595">
        <v>414</v>
      </c>
      <c r="GH39" s="595">
        <v>651834</v>
      </c>
      <c r="GI39" s="595" t="s">
        <v>1974</v>
      </c>
      <c r="GJ39" s="595" t="s">
        <v>1964</v>
      </c>
      <c r="GK39" s="595">
        <v>0</v>
      </c>
      <c r="GL39" s="595">
        <v>0</v>
      </c>
      <c r="GM39" s="595">
        <v>9</v>
      </c>
      <c r="GN39" s="595" t="s">
        <v>1975</v>
      </c>
      <c r="GO39" s="595">
        <v>0</v>
      </c>
      <c r="GP39" s="595">
        <v>1</v>
      </c>
      <c r="GQ39" s="595">
        <v>2872358976</v>
      </c>
      <c r="GR39" s="595">
        <v>63191680472</v>
      </c>
      <c r="GS39" s="595">
        <v>1101835000</v>
      </c>
      <c r="GT39" s="595">
        <v>86003000</v>
      </c>
      <c r="GU39" s="595">
        <v>0</v>
      </c>
      <c r="GV39" s="595">
        <v>0</v>
      </c>
      <c r="GW39" s="595">
        <v>0</v>
      </c>
      <c r="GX39" s="595">
        <v>8</v>
      </c>
      <c r="GY39" s="595">
        <v>521367032</v>
      </c>
      <c r="GZ39" s="595">
        <v>400468231</v>
      </c>
      <c r="HA39" s="595" t="s">
        <v>1974</v>
      </c>
      <c r="HB39" s="595" t="s">
        <v>1964</v>
      </c>
      <c r="HC39" s="595">
        <v>0</v>
      </c>
      <c r="HD39" s="595">
        <v>0</v>
      </c>
      <c r="HE39" s="595">
        <v>9</v>
      </c>
      <c r="HF39" s="595" t="s">
        <v>1975</v>
      </c>
      <c r="HG39" s="595">
        <v>0</v>
      </c>
      <c r="HH39" s="595">
        <v>1</v>
      </c>
      <c r="HI39" s="595">
        <v>2872547456</v>
      </c>
      <c r="HJ39" s="595">
        <v>63195806961</v>
      </c>
      <c r="HK39" s="595">
        <v>0</v>
      </c>
      <c r="HL39" s="595">
        <v>0</v>
      </c>
      <c r="HM39" s="595">
        <v>0</v>
      </c>
      <c r="HN39" s="595">
        <v>1085738009</v>
      </c>
      <c r="HO39" s="595">
        <v>129004019</v>
      </c>
      <c r="HP39" s="595">
        <v>37627017</v>
      </c>
      <c r="HQ39" s="595">
        <v>258007019</v>
      </c>
      <c r="HR39" s="595">
        <v>0</v>
      </c>
      <c r="HS39" s="595" t="s">
        <v>1974</v>
      </c>
      <c r="HT39" s="595" t="s">
        <v>1964</v>
      </c>
      <c r="HU39" s="595">
        <v>0</v>
      </c>
      <c r="HV39" s="595">
        <v>0</v>
      </c>
      <c r="HW39" s="595">
        <v>9</v>
      </c>
      <c r="HX39" s="595" t="s">
        <v>1975</v>
      </c>
      <c r="HY39" s="595">
        <v>0</v>
      </c>
      <c r="HZ39" s="595">
        <v>1</v>
      </c>
      <c r="IA39" s="595">
        <v>2874396576</v>
      </c>
      <c r="IB39" s="595">
        <v>63236455176</v>
      </c>
      <c r="IC39" s="595">
        <v>16307664286</v>
      </c>
      <c r="ID39" s="595">
        <v>1325448293</v>
      </c>
      <c r="IE39" s="595">
        <v>0</v>
      </c>
      <c r="IF39" s="595">
        <v>16307646242</v>
      </c>
      <c r="IG39" s="595">
        <v>14371226</v>
      </c>
      <c r="IH39" s="595">
        <v>400475167</v>
      </c>
      <c r="II39" s="595">
        <v>0</v>
      </c>
      <c r="IJ39" s="595">
        <v>0</v>
      </c>
      <c r="IK39" s="595" t="s">
        <v>1974</v>
      </c>
      <c r="IL39" s="595" t="s">
        <v>1964</v>
      </c>
      <c r="IM39" s="595">
        <v>0</v>
      </c>
      <c r="IN39" s="595">
        <v>0</v>
      </c>
      <c r="IO39" s="595">
        <v>9</v>
      </c>
      <c r="IP39" s="595" t="s">
        <v>1975</v>
      </c>
      <c r="IQ39" s="595">
        <v>0</v>
      </c>
      <c r="IR39" s="595">
        <v>1</v>
      </c>
      <c r="IS39" s="595">
        <v>2873952864</v>
      </c>
      <c r="IT39" s="595">
        <v>63226736982</v>
      </c>
      <c r="IU39" s="595">
        <v>0</v>
      </c>
      <c r="IV39" s="595">
        <v>0</v>
      </c>
      <c r="IW39" s="595">
        <v>827734000</v>
      </c>
      <c r="IX39" s="595">
        <v>0</v>
      </c>
      <c r="IY39" s="595">
        <v>553630000</v>
      </c>
      <c r="IZ39" s="595">
        <v>257994009</v>
      </c>
      <c r="JA39" s="595">
        <v>0</v>
      </c>
      <c r="JB39" s="595">
        <v>0</v>
      </c>
      <c r="JC39" s="595" t="s">
        <v>1974</v>
      </c>
      <c r="JD39" s="595" t="s">
        <v>1964</v>
      </c>
      <c r="JE39" s="595">
        <v>0</v>
      </c>
      <c r="JF39" s="595">
        <v>0</v>
      </c>
      <c r="JG39" s="595">
        <v>9</v>
      </c>
      <c r="JH39" s="595" t="s">
        <v>1975</v>
      </c>
      <c r="JI39" s="595">
        <v>0</v>
      </c>
      <c r="JJ39" s="595">
        <v>1</v>
      </c>
      <c r="JK39" s="595">
        <v>2873931744</v>
      </c>
      <c r="JL39" s="595">
        <v>63226278701</v>
      </c>
      <c r="JM39" s="595">
        <v>448124628</v>
      </c>
      <c r="JN39" s="595">
        <v>0</v>
      </c>
      <c r="JO39" s="595">
        <v>0</v>
      </c>
      <c r="JP39" s="595">
        <v>232175524</v>
      </c>
      <c r="JQ39" s="595">
        <v>0</v>
      </c>
      <c r="JR39" s="595">
        <v>0</v>
      </c>
      <c r="JS39" s="595">
        <v>162763516</v>
      </c>
      <c r="JT39" s="595">
        <v>0</v>
      </c>
      <c r="JU39" s="595" t="s">
        <v>1974</v>
      </c>
      <c r="JV39" s="595" t="s">
        <v>1964</v>
      </c>
      <c r="JW39" s="595">
        <v>0</v>
      </c>
      <c r="JX39" s="595">
        <v>0</v>
      </c>
      <c r="JY39" s="595">
        <v>9</v>
      </c>
      <c r="JZ39" s="595" t="s">
        <v>1975</v>
      </c>
      <c r="KA39" s="595">
        <v>0</v>
      </c>
      <c r="KB39" s="595">
        <v>1</v>
      </c>
      <c r="KC39" s="595">
        <v>2873648256</v>
      </c>
      <c r="KD39" s="595">
        <v>63219965578</v>
      </c>
      <c r="KE39" s="595">
        <v>193500000</v>
      </c>
      <c r="KF39" s="595">
        <v>3903198661</v>
      </c>
      <c r="KG39" s="595">
        <v>1192110485</v>
      </c>
      <c r="KH39" s="595">
        <v>55983043530</v>
      </c>
      <c r="KI39" s="595">
        <v>14365071644</v>
      </c>
      <c r="KJ39" s="595">
        <v>3668767363</v>
      </c>
      <c r="KK39" s="595">
        <v>976741152</v>
      </c>
      <c r="KL39" s="595">
        <v>0</v>
      </c>
      <c r="KM39" s="595" t="s">
        <v>1974</v>
      </c>
      <c r="KN39" s="595" t="s">
        <v>1964</v>
      </c>
      <c r="KO39" s="595">
        <v>0</v>
      </c>
      <c r="KP39" s="595">
        <v>0</v>
      </c>
      <c r="KQ39" s="595">
        <v>9</v>
      </c>
      <c r="KR39" s="595" t="s">
        <v>1975</v>
      </c>
      <c r="KS39" s="595">
        <v>0</v>
      </c>
      <c r="KT39" s="595">
        <v>1</v>
      </c>
      <c r="KU39" s="595">
        <v>2872224192</v>
      </c>
      <c r="KV39" s="595">
        <v>63188682612</v>
      </c>
      <c r="KW39" s="595">
        <v>5589264716</v>
      </c>
      <c r="KX39" s="595">
        <v>42530007</v>
      </c>
      <c r="KY39" s="595">
        <v>9680232</v>
      </c>
      <c r="KZ39" s="595">
        <v>13496559633</v>
      </c>
      <c r="LA39" s="595">
        <v>2504164844</v>
      </c>
      <c r="LB39" s="595">
        <v>716743</v>
      </c>
      <c r="LC39" s="595">
        <v>11960</v>
      </c>
      <c r="LD39" s="595">
        <v>14108</v>
      </c>
      <c r="LE39" s="595" t="s">
        <v>1974</v>
      </c>
      <c r="LF39" s="595" t="s">
        <v>1964</v>
      </c>
      <c r="LG39" s="595">
        <v>0</v>
      </c>
      <c r="LH39" s="595">
        <v>0</v>
      </c>
      <c r="LI39" s="595">
        <v>9</v>
      </c>
      <c r="LJ39" s="595" t="s">
        <v>1975</v>
      </c>
      <c r="LK39" s="595">
        <v>0</v>
      </c>
      <c r="LL39" s="595">
        <v>1</v>
      </c>
      <c r="LM39" s="595">
        <v>2872637760</v>
      </c>
      <c r="LN39" s="595">
        <v>63197811192</v>
      </c>
      <c r="LO39" s="595">
        <v>5537735272</v>
      </c>
      <c r="LP39" s="595">
        <v>959</v>
      </c>
      <c r="LQ39" s="595">
        <v>0</v>
      </c>
      <c r="LR39" s="595">
        <v>2504592437</v>
      </c>
      <c r="LS39" s="595">
        <v>178</v>
      </c>
      <c r="LT39" s="595">
        <v>0</v>
      </c>
      <c r="LU39" s="595">
        <v>5537560645</v>
      </c>
      <c r="LV39" s="595">
        <v>31025</v>
      </c>
      <c r="MC39" s="252" t="s">
        <v>1185</v>
      </c>
      <c r="MD39" s="371"/>
      <c r="ME39" s="372"/>
      <c r="MF39" s="372"/>
      <c r="MG39" s="372"/>
      <c r="MH39" s="372"/>
      <c r="MI39" s="372"/>
      <c r="MJ39" s="372"/>
      <c r="MK39" s="372"/>
      <c r="ML39" s="372"/>
      <c r="MM39" s="372"/>
      <c r="MN39" s="372"/>
      <c r="MO39" s="372"/>
      <c r="MP39" s="372"/>
      <c r="MQ39" s="372"/>
      <c r="MR39" s="372"/>
      <c r="MS39" s="372"/>
      <c r="MT39" s="373"/>
      <c r="NA39" s="424">
        <f t="shared" si="100"/>
        <v>0</v>
      </c>
      <c r="NB39" s="424">
        <f t="shared" si="101"/>
        <v>9</v>
      </c>
      <c r="NC39" s="207">
        <f t="shared" si="102"/>
        <v>28.730295999999999</v>
      </c>
      <c r="ND39" s="208">
        <f t="shared" si="103"/>
        <v>2.3826288458705753</v>
      </c>
      <c r="NE39" s="209">
        <f t="shared" si="15"/>
        <v>3.3844312496864384E-2</v>
      </c>
      <c r="NF39" s="208">
        <f t="shared" si="16"/>
        <v>5.99357771406184</v>
      </c>
      <c r="NG39" s="210"/>
      <c r="NH39" s="211">
        <f t="shared" si="104"/>
        <v>13496583525</v>
      </c>
      <c r="NI39" s="208">
        <f t="shared" si="17"/>
        <v>68453632000</v>
      </c>
      <c r="NJ39" s="212">
        <f t="shared" si="105"/>
        <v>0.80523482323279294</v>
      </c>
      <c r="NK39" s="213">
        <f t="shared" si="106"/>
        <v>0.9981155127020872</v>
      </c>
      <c r="NL39" s="214">
        <f t="shared" si="18"/>
        <v>1</v>
      </c>
      <c r="NM39" s="208">
        <f t="shared" si="107"/>
        <v>0.2135319025937859</v>
      </c>
      <c r="NN39" s="208">
        <f t="shared" si="19"/>
        <v>0.46976834227534586</v>
      </c>
      <c r="NO39" s="215">
        <f t="shared" si="20"/>
        <v>1.6972203047299641E-4</v>
      </c>
      <c r="NP39" s="216">
        <f t="shared" si="108"/>
        <v>0</v>
      </c>
      <c r="NQ39" s="215">
        <f t="shared" si="109"/>
        <v>0.19167184845249297</v>
      </c>
      <c r="NR39" s="215">
        <f t="shared" si="110"/>
        <v>4.1076014859377862E-2</v>
      </c>
      <c r="NS39" s="215">
        <f t="shared" si="21"/>
        <v>1.3911067295719615E-2</v>
      </c>
      <c r="NT39" s="215">
        <f t="shared" si="22"/>
        <v>3.8702213463897004E-3</v>
      </c>
      <c r="NU39" s="215">
        <f t="shared" si="23"/>
        <v>6.4334175883175526E-2</v>
      </c>
      <c r="NV39" s="215">
        <f t="shared" si="111"/>
        <v>9.413153306412875</v>
      </c>
      <c r="NW39" s="215">
        <f t="shared" si="24"/>
        <v>2.2435404230652471</v>
      </c>
      <c r="NX39" s="215">
        <f t="shared" si="25"/>
        <v>11.533672744922542</v>
      </c>
      <c r="NY39" s="215">
        <f t="shared" si="26"/>
        <v>2.5306476919557818E-3</v>
      </c>
      <c r="NZ39" s="215">
        <f t="shared" si="27"/>
        <v>1.2115335702076433</v>
      </c>
      <c r="OA39" s="215">
        <f t="shared" si="28"/>
        <v>0</v>
      </c>
      <c r="OB39" s="215">
        <f t="shared" si="29"/>
        <v>6.5150327584794485E-2</v>
      </c>
      <c r="OC39" s="215">
        <f t="shared" si="30"/>
        <v>0</v>
      </c>
      <c r="OD39" s="215">
        <f t="shared" si="31"/>
        <v>2.7969469100801603</v>
      </c>
      <c r="OE39" s="215">
        <f t="shared" si="32"/>
        <v>0.54354196597828752</v>
      </c>
      <c r="OF39" s="215">
        <f t="shared" si="33"/>
        <v>0.16924798035036301</v>
      </c>
      <c r="OG39" s="215">
        <f t="shared" si="34"/>
        <v>0.43592910600089368</v>
      </c>
      <c r="OH39" s="215">
        <f t="shared" si="35"/>
        <v>1.5967837608260449E-5</v>
      </c>
      <c r="OI39" s="215">
        <f t="shared" si="112"/>
        <v>28.730295999999999</v>
      </c>
      <c r="OJ39" s="218">
        <f t="shared" si="113"/>
        <v>0.10997669558883374</v>
      </c>
      <c r="OK39" s="218">
        <f t="shared" si="114"/>
        <v>7.784955137423781E-2</v>
      </c>
      <c r="OL39" s="218">
        <f t="shared" si="115"/>
        <v>4.6804045724890917E-3</v>
      </c>
      <c r="OM39" s="218">
        <f t="shared" si="116"/>
        <v>1.2656463423269891E-2</v>
      </c>
      <c r="ON39" s="217">
        <f t="shared" si="36"/>
        <v>0.16817844233707968</v>
      </c>
      <c r="OO39" s="210"/>
      <c r="OP39" s="210"/>
      <c r="OQ39" s="218">
        <f t="shared" si="117"/>
        <v>0.11203863336414725</v>
      </c>
      <c r="OR39" s="218">
        <f t="shared" si="118"/>
        <v>9.3094115351237183E-2</v>
      </c>
      <c r="OS39" s="218">
        <f t="shared" si="37"/>
        <v>1</v>
      </c>
      <c r="OT39" s="218">
        <f t="shared" si="38"/>
        <v>0.94740647171478576</v>
      </c>
      <c r="OU39" s="209">
        <f t="shared" si="39"/>
        <v>0.95371002694590856</v>
      </c>
      <c r="OV39" s="209">
        <f t="shared" si="40"/>
        <v>0.91919642774506549</v>
      </c>
      <c r="OW39" s="209">
        <f t="shared" si="119"/>
        <v>1.4924557889163772E-2</v>
      </c>
      <c r="OX39" s="219">
        <f t="shared" si="41"/>
        <v>3.0674429512708846E-8</v>
      </c>
      <c r="OY39" s="208">
        <f t="shared" si="120"/>
        <v>3929115709</v>
      </c>
      <c r="OZ39" s="208">
        <f t="shared" si="42"/>
        <v>467964761</v>
      </c>
      <c r="PA39" s="209">
        <f t="shared" si="121"/>
        <v>0.11910180194695813</v>
      </c>
      <c r="PB39" s="209">
        <f>IF(OR($CQ39="",$OZ39=""),"",IF($OZ39=0,0,
GuardLimitUpper(
  ($OZ39-$CQ39)/$OZ39,
  data_GuardLimitFlag,
  1)
))</f>
        <v>3.2013451115392853E-2</v>
      </c>
      <c r="PC39" s="209">
        <f t="shared" si="43"/>
        <v>0.95652597012534457</v>
      </c>
      <c r="PD39" s="209">
        <f t="shared" si="44"/>
        <v>1.1460578759262601E-2</v>
      </c>
      <c r="PE39" s="208">
        <f t="shared" si="122"/>
        <v>461807285</v>
      </c>
      <c r="PF39" s="209">
        <f t="shared" si="123"/>
        <v>0.11753466153775723</v>
      </c>
      <c r="PG39" s="209">
        <f t="shared" si="45"/>
        <v>0.12996315836462183</v>
      </c>
      <c r="PH39" s="209">
        <f t="shared" si="46"/>
        <v>0.87144939882703709</v>
      </c>
      <c r="PI39" s="209">
        <f t="shared" si="47"/>
        <v>0</v>
      </c>
      <c r="PJ39" s="220">
        <f t="shared" si="48"/>
        <v>3.845649026163612E-7</v>
      </c>
      <c r="PK39" s="220">
        <f t="shared" si="49"/>
        <v>2.5451019365741972E-10</v>
      </c>
      <c r="PL39" s="221">
        <f t="shared" si="124"/>
        <v>220367000</v>
      </c>
      <c r="PM39" s="221">
        <f t="shared" si="50"/>
        <v>0</v>
      </c>
      <c r="PN39" s="221">
        <f t="shared" si="125"/>
        <v>1322202000</v>
      </c>
      <c r="PO39" s="221">
        <f t="shared" si="51"/>
        <v>0</v>
      </c>
      <c r="PP39" s="221">
        <f t="shared" si="52"/>
        <v>1101835000</v>
      </c>
      <c r="PQ39" s="529">
        <f t="shared" si="126"/>
        <v>0</v>
      </c>
      <c r="PR39" s="221">
        <f t="shared" si="53"/>
        <v>0</v>
      </c>
      <c r="PS39" s="221">
        <f t="shared" si="54"/>
        <v>387076065</v>
      </c>
      <c r="PT39" s="221">
        <f t="shared" si="127"/>
        <v>21504000</v>
      </c>
      <c r="PU39" s="221">
        <f t="shared" si="55"/>
        <v>0</v>
      </c>
      <c r="PV39" s="221">
        <f t="shared" si="128"/>
        <v>661101000</v>
      </c>
      <c r="PW39" s="221">
        <f t="shared" si="56"/>
        <v>86003000</v>
      </c>
      <c r="PX39" s="221">
        <f t="shared" si="162"/>
        <v>0</v>
      </c>
      <c r="PY39" s="221">
        <f t="shared" si="57"/>
        <v>129027644</v>
      </c>
      <c r="PZ39" s="221">
        <f t="shared" si="58"/>
        <v>0</v>
      </c>
      <c r="QA39" s="221">
        <f t="shared" si="59"/>
        <v>0</v>
      </c>
      <c r="QB39" s="221">
        <f t="shared" si="60"/>
        <v>5362041</v>
      </c>
      <c r="QC39" s="221">
        <f t="shared" si="61"/>
        <v>8</v>
      </c>
      <c r="QD39" s="221">
        <f t="shared" si="129"/>
        <v>2719670000</v>
      </c>
      <c r="QE39" s="221">
        <f t="shared" si="130"/>
        <v>3085138000</v>
      </c>
      <c r="QF39" s="221">
        <f t="shared" si="131"/>
        <v>220367000</v>
      </c>
      <c r="QG39" s="222">
        <f t="shared" si="62"/>
        <v>0</v>
      </c>
      <c r="QH39" s="222">
        <f t="shared" si="63"/>
        <v>1085738009</v>
      </c>
      <c r="QI39" s="222">
        <f t="shared" si="64"/>
        <v>521367032</v>
      </c>
      <c r="QJ39" s="222">
        <f t="shared" si="65"/>
        <v>400468231</v>
      </c>
      <c r="QK39" s="222">
        <f t="shared" si="66"/>
        <v>37627017</v>
      </c>
      <c r="QL39" s="222">
        <f t="shared" si="132"/>
        <v>0</v>
      </c>
      <c r="QM39" s="222">
        <f>IF(OR($O$8="Lv2",$O$8="Lv3",$O$8="Lv4"),IF(OR($AS39="",COUNT($PL39:$QL39)=0),"",
GuardLimitLower(
  $AS39-SUM($PL39:$QL39),
  data_GuardLimitFlag,
  0)
),"")</f>
        <v>1491730478</v>
      </c>
      <c r="QN39" s="222">
        <f t="shared" si="133"/>
        <v>13496583525</v>
      </c>
      <c r="QO39" s="222">
        <f t="shared" si="134"/>
        <v>68453632000</v>
      </c>
      <c r="QP39" s="222">
        <f t="shared" si="135"/>
        <v>0</v>
      </c>
      <c r="QQ39" s="222">
        <f t="shared" si="136"/>
        <v>0</v>
      </c>
      <c r="QR39" s="222">
        <f t="shared" si="67"/>
        <v>2.3826288458705753</v>
      </c>
      <c r="QS39" s="209">
        <f t="shared" si="68"/>
        <v>3.6586686087235108E-2</v>
      </c>
      <c r="QT39" s="209">
        <f t="shared" si="69"/>
        <v>0.73801087414017263</v>
      </c>
      <c r="QU39" s="209">
        <f t="shared" si="70"/>
        <v>0.22540243977259225</v>
      </c>
      <c r="QV39" s="208">
        <f t="shared" si="71"/>
        <v>16307664286</v>
      </c>
      <c r="QW39" s="208">
        <f t="shared" si="72"/>
        <v>553630000</v>
      </c>
      <c r="QX39" s="208">
        <f t="shared" si="73"/>
        <v>257994009</v>
      </c>
      <c r="QY39" s="208">
        <f t="shared" si="74"/>
        <v>827734000</v>
      </c>
      <c r="QZ39" s="208">
        <f t="shared" si="75"/>
        <v>0</v>
      </c>
      <c r="RA39" s="209">
        <f t="shared" si="137"/>
        <v>0.99999889352640059</v>
      </c>
      <c r="RB39" s="209">
        <f t="shared" si="76"/>
        <v>3.5886057588423288E-2</v>
      </c>
      <c r="RC39" s="209">
        <f t="shared" si="77"/>
        <v>0.53154304355575666</v>
      </c>
      <c r="RD39" s="209">
        <f t="shared" si="78"/>
        <v>0</v>
      </c>
      <c r="RE39" s="209">
        <f t="shared" si="79"/>
        <v>0</v>
      </c>
      <c r="RF39" s="209">
        <f t="shared" si="80"/>
        <v>0.27539500611002488</v>
      </c>
      <c r="RG39" s="209">
        <f t="shared" si="81"/>
        <v>0</v>
      </c>
      <c r="RH39" s="209">
        <f t="shared" si="82"/>
        <v>0</v>
      </c>
      <c r="RI39" s="209">
        <f t="shared" si="83"/>
        <v>0.19306195033421841</v>
      </c>
      <c r="RJ39" s="134"/>
      <c r="RK39" s="134"/>
      <c r="RL39" s="134"/>
      <c r="RM39" s="134"/>
      <c r="RN39" s="134"/>
      <c r="RO39" s="134"/>
      <c r="RP39" s="134"/>
      <c r="RQ39" s="134"/>
      <c r="RR39" s="222">
        <f t="shared" si="84"/>
        <v>1.75482823706376</v>
      </c>
      <c r="RS39" s="224"/>
      <c r="RT39" s="224"/>
      <c r="RU39" s="208">
        <f t="shared" si="138"/>
        <v>28.730295999999999</v>
      </c>
      <c r="RV39" s="208">
        <f t="shared" si="139"/>
        <v>1</v>
      </c>
      <c r="RW39" s="208">
        <f t="shared" si="140"/>
        <v>0.99991161496747449</v>
      </c>
      <c r="RX39" s="208">
        <f t="shared" si="141"/>
        <v>0.99995079538078391</v>
      </c>
      <c r="RY39" s="208">
        <f t="shared" si="142"/>
        <v>0.999738440107792</v>
      </c>
      <c r="RZ39" s="208">
        <f t="shared" si="85"/>
        <v>0.99996065292636083</v>
      </c>
      <c r="SA39" s="208">
        <f t="shared" si="86"/>
        <v>0.99983541358979056</v>
      </c>
      <c r="SB39" s="208">
        <f t="shared" si="87"/>
        <v>0.99979709457654942</v>
      </c>
      <c r="SC39" s="208">
        <f t="shared" si="88"/>
        <v>0.99982363473570834</v>
      </c>
      <c r="SD39" s="208">
        <f t="shared" si="89"/>
        <v>0.99981057071120161</v>
      </c>
      <c r="SE39" s="208">
        <f t="shared" si="90"/>
        <v>0.99976706951730188</v>
      </c>
      <c r="SF39" s="208">
        <f t="shared" si="91"/>
        <v>0.99983235545026194</v>
      </c>
      <c r="SG39" s="208">
        <f t="shared" si="92"/>
        <v>1.0004754582525313</v>
      </c>
      <c r="SH39" s="208">
        <f t="shared" si="93"/>
        <v>1.000314454390745</v>
      </c>
      <c r="SI39" s="208">
        <f t="shared" si="94"/>
        <v>1.0003217049377942</v>
      </c>
      <c r="SJ39" s="208">
        <f t="shared" si="95"/>
        <v>1.0002145733235843</v>
      </c>
      <c r="SK39" s="208">
        <f t="shared" si="96"/>
        <v>0.99971963982901635</v>
      </c>
      <c r="SL39" s="208">
        <f t="shared" si="97"/>
        <v>0.99986406475342549</v>
      </c>
      <c r="SM39" s="222">
        <f t="shared" si="143"/>
        <v>1</v>
      </c>
      <c r="SN39" s="225">
        <f t="shared" si="98"/>
        <v>28.730295999999999</v>
      </c>
      <c r="SO39" s="209">
        <f t="shared" si="144"/>
        <v>0.99812629618201154</v>
      </c>
      <c r="SP39" s="209">
        <f t="shared" si="145"/>
        <v>0.99999964479912351</v>
      </c>
      <c r="SQ39" s="222">
        <f t="shared" si="146"/>
        <v>63206403170</v>
      </c>
      <c r="SR39" s="222">
        <f t="shared" si="147"/>
        <v>63200816670</v>
      </c>
      <c r="SS39" s="222">
        <f t="shared" si="148"/>
        <v>63203293123</v>
      </c>
      <c r="ST39" s="222">
        <f t="shared" si="149"/>
        <v>63189870910</v>
      </c>
      <c r="SU39" s="222">
        <f t="shared" si="150"/>
        <v>63203916183</v>
      </c>
      <c r="SV39" s="222">
        <f t="shared" si="151"/>
        <v>63196000255</v>
      </c>
      <c r="SW39" s="222">
        <f t="shared" si="152"/>
        <v>63193578248</v>
      </c>
      <c r="SX39" s="222">
        <f t="shared" si="153"/>
        <v>63195255756</v>
      </c>
      <c r="SY39" s="222">
        <f t="shared" si="154"/>
        <v>63194430026</v>
      </c>
      <c r="SZ39" s="222">
        <f t="shared" si="155"/>
        <v>63191680472</v>
      </c>
      <c r="TA39" s="222">
        <f t="shared" si="156"/>
        <v>63195806961</v>
      </c>
      <c r="TB39" s="222">
        <f t="shared" si="157"/>
        <v>63236455176</v>
      </c>
      <c r="TC39" s="222">
        <f t="shared" si="99"/>
        <v>63226278701</v>
      </c>
      <c r="TD39" s="222">
        <f t="shared" si="158"/>
        <v>63226736982</v>
      </c>
      <c r="TE39" s="222">
        <f t="shared" si="159"/>
        <v>63219965578</v>
      </c>
      <c r="TF39" s="222">
        <f t="shared" si="160"/>
        <v>63188682612</v>
      </c>
      <c r="TG39" s="222">
        <f t="shared" si="161"/>
        <v>63197811192</v>
      </c>
      <c r="TQ39" s="380"/>
      <c r="TR39" s="381"/>
      <c r="TS39" s="810"/>
      <c r="TT39" s="810"/>
      <c r="TU39" s="810"/>
      <c r="TV39" s="810"/>
      <c r="TW39" s="810"/>
      <c r="TX39" s="810"/>
      <c r="TY39" s="810"/>
      <c r="TZ39" s="810"/>
      <c r="UA39" s="810"/>
      <c r="UC39" s="382"/>
      <c r="UD39" s="383"/>
      <c r="UE39" s="810"/>
      <c r="UF39" s="810"/>
      <c r="UG39" s="810"/>
      <c r="UH39" s="810"/>
      <c r="UI39" s="810"/>
      <c r="UJ39" s="810"/>
      <c r="UK39" s="810"/>
      <c r="UL39" s="810"/>
      <c r="UM39" s="810"/>
      <c r="UN39" s="810"/>
      <c r="UO39" s="810"/>
      <c r="UP39" s="810"/>
      <c r="UQ39" s="810"/>
      <c r="UR39" s="810"/>
      <c r="US39" s="810"/>
      <c r="UT39" s="810"/>
      <c r="UU39" s="810"/>
      <c r="UV39" s="810"/>
      <c r="UW39" s="810"/>
      <c r="UX39" s="810"/>
      <c r="VK39" s="2"/>
      <c r="WC39" s="239"/>
      <c r="WD39" s="239"/>
      <c r="WE39" s="239"/>
      <c r="WF39" s="239"/>
      <c r="WG39" s="239"/>
      <c r="WH39" s="239"/>
      <c r="WI39" s="239"/>
      <c r="WJ39" s="239"/>
      <c r="WK39" s="239"/>
      <c r="WL39" s="239"/>
      <c r="WM39" s="239"/>
      <c r="WN39" s="239"/>
      <c r="WO39" s="239"/>
      <c r="WP39" s="239"/>
      <c r="WQ39" s="239"/>
      <c r="WR39" s="239"/>
      <c r="WS39" s="239"/>
    </row>
    <row r="40" spans="28:617" x14ac:dyDescent="0.25">
      <c r="AB40" s="254">
        <v>10</v>
      </c>
      <c r="AC40" s="430" t="s">
        <v>1974</v>
      </c>
      <c r="AD40" s="430" t="s">
        <v>1964</v>
      </c>
      <c r="AE40" s="430">
        <v>0</v>
      </c>
      <c r="AF40" s="430">
        <v>0</v>
      </c>
      <c r="AG40" s="430">
        <v>10</v>
      </c>
      <c r="AH40" s="430" t="s">
        <v>1975</v>
      </c>
      <c r="AI40" s="430">
        <v>0</v>
      </c>
      <c r="AJ40" s="430">
        <v>1</v>
      </c>
      <c r="AK40" s="594">
        <v>2877558752</v>
      </c>
      <c r="AL40" s="594">
        <v>63306024337</v>
      </c>
      <c r="AM40" s="430">
        <v>17081158000</v>
      </c>
      <c r="AN40" s="430">
        <v>129000000</v>
      </c>
      <c r="AO40" s="430">
        <v>466827782</v>
      </c>
      <c r="AP40" s="430">
        <v>205190259</v>
      </c>
      <c r="AQ40" s="595">
        <v>3697455</v>
      </c>
      <c r="AR40" s="595">
        <v>1010257</v>
      </c>
      <c r="AS40" s="594">
        <v>13496585764</v>
      </c>
      <c r="AT40" s="594">
        <v>10867919049</v>
      </c>
      <c r="AU40" s="430" t="s">
        <v>1974</v>
      </c>
      <c r="AV40" s="430" t="s">
        <v>1964</v>
      </c>
      <c r="AW40" s="430">
        <v>0</v>
      </c>
      <c r="AX40" s="430">
        <v>0</v>
      </c>
      <c r="AY40" s="430">
        <v>10</v>
      </c>
      <c r="AZ40" s="430" t="s">
        <v>1975</v>
      </c>
      <c r="BA40" s="430">
        <v>0</v>
      </c>
      <c r="BB40" s="430">
        <v>1</v>
      </c>
      <c r="BC40" s="430">
        <v>2877276800</v>
      </c>
      <c r="BD40" s="430">
        <v>63299740760</v>
      </c>
      <c r="BE40" s="430">
        <v>54623504963</v>
      </c>
      <c r="BF40" s="595">
        <v>6148666826</v>
      </c>
      <c r="BG40" s="430">
        <v>21521914296</v>
      </c>
      <c r="BH40" s="595">
        <v>374051</v>
      </c>
      <c r="BI40" s="430">
        <v>30288612265</v>
      </c>
      <c r="BJ40" s="430">
        <v>143567017</v>
      </c>
      <c r="BK40" s="430">
        <v>0</v>
      </c>
      <c r="BL40" s="430">
        <v>0</v>
      </c>
      <c r="BM40" s="430" t="s">
        <v>1974</v>
      </c>
      <c r="BN40" s="430" t="s">
        <v>1964</v>
      </c>
      <c r="BO40" s="430">
        <v>0</v>
      </c>
      <c r="BP40" s="430">
        <v>0</v>
      </c>
      <c r="BQ40" s="430">
        <v>10</v>
      </c>
      <c r="BR40" s="430" t="s">
        <v>1975</v>
      </c>
      <c r="BS40" s="430">
        <v>0</v>
      </c>
      <c r="BT40" s="430">
        <v>1</v>
      </c>
      <c r="BU40" s="430">
        <v>2877687616</v>
      </c>
      <c r="BV40" s="430">
        <v>63308632085</v>
      </c>
      <c r="BW40" s="594">
        <v>9917890863</v>
      </c>
      <c r="BX40" s="594">
        <v>11347171777</v>
      </c>
      <c r="BY40" s="430">
        <v>21183568756</v>
      </c>
      <c r="BZ40" s="430">
        <v>942652349</v>
      </c>
      <c r="CA40" s="430">
        <v>6950704532</v>
      </c>
      <c r="CB40" s="430">
        <v>119899594360</v>
      </c>
      <c r="CC40" s="430">
        <v>4919532865</v>
      </c>
      <c r="CD40" s="430">
        <v>74573413076</v>
      </c>
      <c r="CE40" s="430" t="s">
        <v>1974</v>
      </c>
      <c r="CF40" s="430" t="s">
        <v>1964</v>
      </c>
      <c r="CG40" s="430">
        <v>0</v>
      </c>
      <c r="CH40" s="430">
        <v>0</v>
      </c>
      <c r="CI40" s="430">
        <v>10</v>
      </c>
      <c r="CJ40" s="430" t="s">
        <v>1975</v>
      </c>
      <c r="CK40" s="430">
        <v>0</v>
      </c>
      <c r="CL40" s="430">
        <v>1</v>
      </c>
      <c r="CM40" s="430">
        <v>2877302752</v>
      </c>
      <c r="CN40" s="430">
        <v>63300430033</v>
      </c>
      <c r="CO40" s="430">
        <v>3656614</v>
      </c>
      <c r="CP40" s="430">
        <v>467778910</v>
      </c>
      <c r="CQ40" s="430">
        <v>452247374</v>
      </c>
      <c r="CR40" s="430">
        <v>466256857</v>
      </c>
      <c r="CS40" s="430">
        <v>64671943</v>
      </c>
      <c r="CT40" s="430">
        <v>1322202000</v>
      </c>
      <c r="CU40" s="430">
        <v>661101000</v>
      </c>
      <c r="CV40" s="430">
        <v>1010025</v>
      </c>
      <c r="CW40" s="430" t="s">
        <v>1974</v>
      </c>
      <c r="CX40" s="430" t="s">
        <v>1964</v>
      </c>
      <c r="CY40" s="430">
        <v>0</v>
      </c>
      <c r="CZ40" s="430">
        <v>0</v>
      </c>
      <c r="DA40" s="430">
        <v>10</v>
      </c>
      <c r="DB40" s="430" t="s">
        <v>1975</v>
      </c>
      <c r="DC40" s="430">
        <v>0</v>
      </c>
      <c r="DD40" s="430">
        <v>1</v>
      </c>
      <c r="DE40" s="430">
        <v>2877462112</v>
      </c>
      <c r="DF40" s="430">
        <v>63303861935</v>
      </c>
      <c r="DG40" s="430">
        <v>6025175000</v>
      </c>
      <c r="DH40" s="430">
        <v>3085138000</v>
      </c>
      <c r="DI40" s="430">
        <v>220367000</v>
      </c>
      <c r="DJ40" s="430">
        <v>3031480077</v>
      </c>
      <c r="DK40" s="430">
        <v>897635653</v>
      </c>
      <c r="DL40" s="430">
        <v>2902411019</v>
      </c>
      <c r="DM40" s="430">
        <v>897612019</v>
      </c>
      <c r="DN40" s="430">
        <v>5362041</v>
      </c>
      <c r="DO40" s="595" t="s">
        <v>1974</v>
      </c>
      <c r="DP40" s="595" t="s">
        <v>1964</v>
      </c>
      <c r="DQ40" s="595">
        <v>0</v>
      </c>
      <c r="DR40" s="595">
        <v>0</v>
      </c>
      <c r="DS40" s="595">
        <v>10</v>
      </c>
      <c r="DT40" s="595" t="s">
        <v>1975</v>
      </c>
      <c r="DU40" s="595">
        <v>0</v>
      </c>
      <c r="DV40" s="595">
        <v>1</v>
      </c>
      <c r="DW40" s="595">
        <v>2877267392</v>
      </c>
      <c r="DX40" s="595">
        <v>63299645155</v>
      </c>
      <c r="DY40" s="595">
        <v>458603662</v>
      </c>
      <c r="DZ40" s="595">
        <v>209543811</v>
      </c>
      <c r="EA40" s="595">
        <v>29872914</v>
      </c>
      <c r="EB40" s="430">
        <v>597174196</v>
      </c>
      <c r="EC40" s="595">
        <v>420196892</v>
      </c>
      <c r="ED40" s="595">
        <v>0</v>
      </c>
      <c r="EE40" s="595">
        <v>0</v>
      </c>
      <c r="EF40" s="595">
        <v>25353416442</v>
      </c>
      <c r="EG40" s="595" t="s">
        <v>1974</v>
      </c>
      <c r="EH40" s="595" t="s">
        <v>1964</v>
      </c>
      <c r="EI40" s="595">
        <v>0</v>
      </c>
      <c r="EJ40" s="595">
        <v>0</v>
      </c>
      <c r="EK40" s="595">
        <v>10</v>
      </c>
      <c r="EL40" s="595" t="s">
        <v>1975</v>
      </c>
      <c r="EM40" s="595">
        <v>0</v>
      </c>
      <c r="EN40" s="595">
        <v>1</v>
      </c>
      <c r="EO40" s="595">
        <v>2877837984</v>
      </c>
      <c r="EP40" s="595">
        <v>63312177593</v>
      </c>
      <c r="EQ40" s="595">
        <v>1194995994</v>
      </c>
      <c r="ER40" s="595">
        <v>372416356</v>
      </c>
      <c r="ES40" s="430">
        <v>960068004</v>
      </c>
      <c r="ET40" s="595">
        <v>5573895</v>
      </c>
      <c r="EU40" s="595">
        <v>17081158000</v>
      </c>
      <c r="EV40" s="595">
        <v>0</v>
      </c>
      <c r="EW40" s="595">
        <v>129000000</v>
      </c>
      <c r="EX40" s="595">
        <v>0</v>
      </c>
      <c r="EY40" s="595" t="s">
        <v>1974</v>
      </c>
      <c r="EZ40" s="595" t="s">
        <v>1964</v>
      </c>
      <c r="FA40" s="595">
        <v>0</v>
      </c>
      <c r="FB40" s="595">
        <v>0</v>
      </c>
      <c r="FC40" s="595">
        <v>10</v>
      </c>
      <c r="FD40" s="595" t="s">
        <v>1975</v>
      </c>
      <c r="FE40" s="595">
        <v>0</v>
      </c>
      <c r="FF40" s="595">
        <v>1</v>
      </c>
      <c r="FG40" s="595">
        <v>2877255520</v>
      </c>
      <c r="FH40" s="595">
        <v>63299368475</v>
      </c>
      <c r="FI40" s="595">
        <v>46767169</v>
      </c>
      <c r="FJ40" s="595">
        <v>6312867045</v>
      </c>
      <c r="FK40" s="595">
        <v>1887264217</v>
      </c>
      <c r="FL40" s="595">
        <v>667796361</v>
      </c>
      <c r="FM40" s="595">
        <v>7079944599</v>
      </c>
      <c r="FN40" s="595">
        <v>5882937430</v>
      </c>
      <c r="FO40" s="430">
        <v>295661981</v>
      </c>
      <c r="FP40" s="430">
        <v>799847148</v>
      </c>
      <c r="FQ40" s="595" t="s">
        <v>1974</v>
      </c>
      <c r="FR40" s="595" t="s">
        <v>1964</v>
      </c>
      <c r="FS40" s="595">
        <v>0</v>
      </c>
      <c r="FT40" s="595">
        <v>0</v>
      </c>
      <c r="FU40" s="595">
        <v>10</v>
      </c>
      <c r="FV40" s="595" t="s">
        <v>1975</v>
      </c>
      <c r="FW40" s="595">
        <v>0</v>
      </c>
      <c r="FX40" s="595">
        <v>1</v>
      </c>
      <c r="FY40" s="595">
        <v>2877555616</v>
      </c>
      <c r="FZ40" s="595">
        <v>63305970096</v>
      </c>
      <c r="GA40" s="595">
        <v>452247710</v>
      </c>
      <c r="GB40" s="595">
        <v>446884949</v>
      </c>
      <c r="GC40" s="595">
        <v>401832998</v>
      </c>
      <c r="GD40" s="595">
        <v>401832998</v>
      </c>
      <c r="GE40" s="595">
        <v>1722</v>
      </c>
      <c r="GF40" s="595">
        <v>2</v>
      </c>
      <c r="GG40" s="595">
        <v>451</v>
      </c>
      <c r="GH40" s="595">
        <v>1008520</v>
      </c>
      <c r="GI40" s="595" t="s">
        <v>1974</v>
      </c>
      <c r="GJ40" s="595" t="s">
        <v>1964</v>
      </c>
      <c r="GK40" s="595">
        <v>0</v>
      </c>
      <c r="GL40" s="595">
        <v>0</v>
      </c>
      <c r="GM40" s="595">
        <v>10</v>
      </c>
      <c r="GN40" s="595" t="s">
        <v>1975</v>
      </c>
      <c r="GO40" s="595">
        <v>0</v>
      </c>
      <c r="GP40" s="595">
        <v>1</v>
      </c>
      <c r="GQ40" s="595">
        <v>2877299232</v>
      </c>
      <c r="GR40" s="595">
        <v>63300361251</v>
      </c>
      <c r="GS40" s="595">
        <v>1101835000</v>
      </c>
      <c r="GT40" s="595">
        <v>86003000</v>
      </c>
      <c r="GU40" s="595">
        <v>0</v>
      </c>
      <c r="GV40" s="595">
        <v>0</v>
      </c>
      <c r="GW40" s="595">
        <v>0</v>
      </c>
      <c r="GX40" s="595">
        <v>8</v>
      </c>
      <c r="GY40" s="595">
        <v>521367032</v>
      </c>
      <c r="GZ40" s="595">
        <v>400468068</v>
      </c>
      <c r="HA40" s="595" t="s">
        <v>1974</v>
      </c>
      <c r="HB40" s="595" t="s">
        <v>1964</v>
      </c>
      <c r="HC40" s="595">
        <v>0</v>
      </c>
      <c r="HD40" s="595">
        <v>0</v>
      </c>
      <c r="HE40" s="595">
        <v>10</v>
      </c>
      <c r="HF40" s="595" t="s">
        <v>1975</v>
      </c>
      <c r="HG40" s="595">
        <v>0</v>
      </c>
      <c r="HH40" s="595">
        <v>1</v>
      </c>
      <c r="HI40" s="595">
        <v>2877771392</v>
      </c>
      <c r="HJ40" s="595">
        <v>63310736293</v>
      </c>
      <c r="HK40" s="595">
        <v>0</v>
      </c>
      <c r="HL40" s="595">
        <v>0</v>
      </c>
      <c r="HM40" s="595">
        <v>0</v>
      </c>
      <c r="HN40" s="595">
        <v>1085738009</v>
      </c>
      <c r="HO40" s="595">
        <v>129004019</v>
      </c>
      <c r="HP40" s="595">
        <v>37627017</v>
      </c>
      <c r="HQ40" s="595">
        <v>258007019</v>
      </c>
      <c r="HR40" s="595">
        <v>0</v>
      </c>
      <c r="HS40" s="595" t="s">
        <v>1974</v>
      </c>
      <c r="HT40" s="595" t="s">
        <v>1964</v>
      </c>
      <c r="HU40" s="595">
        <v>0</v>
      </c>
      <c r="HV40" s="595">
        <v>0</v>
      </c>
      <c r="HW40" s="595">
        <v>10</v>
      </c>
      <c r="HX40" s="595" t="s">
        <v>1975</v>
      </c>
      <c r="HY40" s="595">
        <v>0</v>
      </c>
      <c r="HZ40" s="595">
        <v>1</v>
      </c>
      <c r="IA40" s="595">
        <v>2879199360</v>
      </c>
      <c r="IB40" s="595">
        <v>63342140670</v>
      </c>
      <c r="IC40" s="595">
        <v>16307664271</v>
      </c>
      <c r="ID40" s="595">
        <v>1325438959</v>
      </c>
      <c r="IE40" s="595">
        <v>0</v>
      </c>
      <c r="IF40" s="595">
        <v>16307646227</v>
      </c>
      <c r="IG40" s="595">
        <v>14287832</v>
      </c>
      <c r="IH40" s="595">
        <v>400475161</v>
      </c>
      <c r="II40" s="595">
        <v>0</v>
      </c>
      <c r="IJ40" s="595">
        <v>0</v>
      </c>
      <c r="IK40" s="595" t="s">
        <v>1974</v>
      </c>
      <c r="IL40" s="595" t="s">
        <v>1964</v>
      </c>
      <c r="IM40" s="595">
        <v>0</v>
      </c>
      <c r="IN40" s="595">
        <v>0</v>
      </c>
      <c r="IO40" s="595">
        <v>10</v>
      </c>
      <c r="IP40" s="595" t="s">
        <v>1975</v>
      </c>
      <c r="IQ40" s="595">
        <v>0</v>
      </c>
      <c r="IR40" s="595">
        <v>1</v>
      </c>
      <c r="IS40" s="595">
        <v>2878429632</v>
      </c>
      <c r="IT40" s="595">
        <v>63325226871</v>
      </c>
      <c r="IU40" s="595">
        <v>0</v>
      </c>
      <c r="IV40" s="595">
        <v>0</v>
      </c>
      <c r="IW40" s="595">
        <v>827734000</v>
      </c>
      <c r="IX40" s="595">
        <v>0</v>
      </c>
      <c r="IY40" s="595">
        <v>553630000</v>
      </c>
      <c r="IZ40" s="595">
        <v>257994009</v>
      </c>
      <c r="JA40" s="595">
        <v>0</v>
      </c>
      <c r="JB40" s="595">
        <v>0</v>
      </c>
      <c r="JC40" s="595" t="s">
        <v>1974</v>
      </c>
      <c r="JD40" s="595" t="s">
        <v>1964</v>
      </c>
      <c r="JE40" s="595">
        <v>0</v>
      </c>
      <c r="JF40" s="595">
        <v>0</v>
      </c>
      <c r="JG40" s="595">
        <v>10</v>
      </c>
      <c r="JH40" s="595" t="s">
        <v>1975</v>
      </c>
      <c r="JI40" s="595">
        <v>0</v>
      </c>
      <c r="JJ40" s="595">
        <v>1</v>
      </c>
      <c r="JK40" s="595">
        <v>2877929984</v>
      </c>
      <c r="JL40" s="595">
        <v>63314229584</v>
      </c>
      <c r="JM40" s="595">
        <v>447675094</v>
      </c>
      <c r="JN40" s="595">
        <v>0</v>
      </c>
      <c r="JO40" s="595">
        <v>0</v>
      </c>
      <c r="JP40" s="595">
        <v>265560118</v>
      </c>
      <c r="JQ40" s="595">
        <v>0</v>
      </c>
      <c r="JR40" s="595">
        <v>0</v>
      </c>
      <c r="JS40" s="595">
        <v>163376776</v>
      </c>
      <c r="JT40" s="595">
        <v>0</v>
      </c>
      <c r="JU40" s="595" t="s">
        <v>1974</v>
      </c>
      <c r="JV40" s="595" t="s">
        <v>1964</v>
      </c>
      <c r="JW40" s="595">
        <v>0</v>
      </c>
      <c r="JX40" s="595">
        <v>0</v>
      </c>
      <c r="JY40" s="595">
        <v>10</v>
      </c>
      <c r="JZ40" s="595" t="s">
        <v>1975</v>
      </c>
      <c r="KA40" s="595">
        <v>0</v>
      </c>
      <c r="KB40" s="595">
        <v>1</v>
      </c>
      <c r="KC40" s="595">
        <v>2877858240</v>
      </c>
      <c r="KD40" s="595">
        <v>63312561216</v>
      </c>
      <c r="KE40" s="595">
        <v>193500000</v>
      </c>
      <c r="KF40" s="595">
        <v>3903208434</v>
      </c>
      <c r="KG40" s="595">
        <v>1192120530</v>
      </c>
      <c r="KH40" s="595">
        <v>55966006704</v>
      </c>
      <c r="KI40" s="595">
        <v>14384768030</v>
      </c>
      <c r="KJ40" s="595">
        <v>3667504189</v>
      </c>
      <c r="KK40" s="595">
        <v>978134016</v>
      </c>
      <c r="KL40" s="595">
        <v>0</v>
      </c>
      <c r="KM40" s="595" t="s">
        <v>1974</v>
      </c>
      <c r="KN40" s="595" t="s">
        <v>1964</v>
      </c>
      <c r="KO40" s="595">
        <v>0</v>
      </c>
      <c r="KP40" s="595">
        <v>0</v>
      </c>
      <c r="KQ40" s="595">
        <v>10</v>
      </c>
      <c r="KR40" s="595" t="s">
        <v>1975</v>
      </c>
      <c r="KS40" s="595">
        <v>0</v>
      </c>
      <c r="KT40" s="595">
        <v>1</v>
      </c>
      <c r="KU40" s="595">
        <v>2877384576</v>
      </c>
      <c r="KV40" s="595">
        <v>63302194522</v>
      </c>
      <c r="KW40" s="595">
        <v>5594624379</v>
      </c>
      <c r="KX40" s="595">
        <v>42554595</v>
      </c>
      <c r="KY40" s="595">
        <v>9690357</v>
      </c>
      <c r="KZ40" s="595">
        <v>13496562396</v>
      </c>
      <c r="LA40" s="595">
        <v>2506580999</v>
      </c>
      <c r="LB40" s="595">
        <v>719988</v>
      </c>
      <c r="LC40" s="595">
        <v>13489</v>
      </c>
      <c r="LD40" s="595">
        <v>15488</v>
      </c>
      <c r="LE40" s="595" t="s">
        <v>1974</v>
      </c>
      <c r="LF40" s="595" t="s">
        <v>1964</v>
      </c>
      <c r="LG40" s="595">
        <v>0</v>
      </c>
      <c r="LH40" s="595">
        <v>0</v>
      </c>
      <c r="LI40" s="595">
        <v>10</v>
      </c>
      <c r="LJ40" s="595" t="s">
        <v>1975</v>
      </c>
      <c r="LK40" s="595">
        <v>0</v>
      </c>
      <c r="LL40" s="595">
        <v>1</v>
      </c>
      <c r="LM40" s="595">
        <v>2877477760</v>
      </c>
      <c r="LN40" s="595">
        <v>63304282212</v>
      </c>
      <c r="LO40" s="595">
        <v>5542554536</v>
      </c>
      <c r="LP40" s="595">
        <v>959</v>
      </c>
      <c r="LQ40" s="595">
        <v>0</v>
      </c>
      <c r="LR40" s="595">
        <v>2506781351</v>
      </c>
      <c r="LS40" s="595">
        <v>178</v>
      </c>
      <c r="LT40" s="595">
        <v>0</v>
      </c>
      <c r="LU40" s="595">
        <v>5542377895</v>
      </c>
      <c r="LV40" s="595">
        <v>31026</v>
      </c>
      <c r="MC40" s="252" t="s">
        <v>1186</v>
      </c>
      <c r="MD40" s="371"/>
      <c r="ME40" s="372"/>
      <c r="MF40" s="372"/>
      <c r="MG40" s="372"/>
      <c r="MH40" s="372"/>
      <c r="MI40" s="372"/>
      <c r="MJ40" s="372"/>
      <c r="MK40" s="372"/>
      <c r="ML40" s="372"/>
      <c r="MM40" s="372"/>
      <c r="MN40" s="372"/>
      <c r="MO40" s="372"/>
      <c r="MP40" s="372"/>
      <c r="MQ40" s="372"/>
      <c r="MR40" s="372"/>
      <c r="MS40" s="372"/>
      <c r="MT40" s="373"/>
      <c r="NA40" s="424">
        <f t="shared" si="100"/>
        <v>0</v>
      </c>
      <c r="NB40" s="424">
        <f t="shared" si="101"/>
        <v>10</v>
      </c>
      <c r="NC40" s="207">
        <f t="shared" si="102"/>
        <v>28.775587519999998</v>
      </c>
      <c r="ND40" s="208">
        <f t="shared" si="103"/>
        <v>2.378878691961456</v>
      </c>
      <c r="NE40" s="209">
        <f t="shared" si="15"/>
        <v>3.3791043024772018E-2</v>
      </c>
      <c r="NF40" s="208">
        <f t="shared" si="16"/>
        <v>5.9366796283574201</v>
      </c>
      <c r="NG40" s="210"/>
      <c r="NH40" s="211">
        <f t="shared" si="104"/>
        <v>13496585764</v>
      </c>
      <c r="NI40" s="208">
        <f t="shared" si="17"/>
        <v>68453632000</v>
      </c>
      <c r="NJ40" s="212">
        <f t="shared" si="105"/>
        <v>0.80523468964932221</v>
      </c>
      <c r="NK40" s="213">
        <f t="shared" si="106"/>
        <v>0.9981155127020872</v>
      </c>
      <c r="NL40" s="214">
        <f t="shared" si="18"/>
        <v>1</v>
      </c>
      <c r="NM40" s="208">
        <f t="shared" si="107"/>
        <v>0.21319591469135665</v>
      </c>
      <c r="NN40" s="208">
        <f t="shared" si="19"/>
        <v>0.4690290251978147</v>
      </c>
      <c r="NO40" s="215">
        <f t="shared" si="20"/>
        <v>1.7004077991809329E-4</v>
      </c>
      <c r="NP40" s="216">
        <f t="shared" si="108"/>
        <v>0</v>
      </c>
      <c r="NQ40" s="215">
        <f t="shared" si="109"/>
        <v>0.19101835641353404</v>
      </c>
      <c r="NR40" s="215">
        <f t="shared" si="110"/>
        <v>8.0452555400096493E-2</v>
      </c>
      <c r="NS40" s="215">
        <f t="shared" si="21"/>
        <v>1.3580002713496631E-2</v>
      </c>
      <c r="NT40" s="215">
        <f t="shared" si="22"/>
        <v>3.8794269496638155E-3</v>
      </c>
      <c r="NU40" s="215">
        <f t="shared" si="23"/>
        <v>8.1677042580994064E-2</v>
      </c>
      <c r="NV40" s="215">
        <f t="shared" si="111"/>
        <v>9.4129234400769786</v>
      </c>
      <c r="NW40" s="215">
        <f t="shared" si="24"/>
        <v>2.2435030164106933</v>
      </c>
      <c r="NX40" s="215">
        <f t="shared" si="25"/>
        <v>11.525473011396548</v>
      </c>
      <c r="NY40" s="215">
        <f t="shared" si="26"/>
        <v>2.5338508732273422E-3</v>
      </c>
      <c r="NZ40" s="215">
        <f t="shared" si="27"/>
        <v>1.2109605491621624</v>
      </c>
      <c r="OA40" s="215">
        <f t="shared" si="28"/>
        <v>0</v>
      </c>
      <c r="OB40" s="215">
        <f t="shared" si="29"/>
        <v>6.5264489444471899E-2</v>
      </c>
      <c r="OC40" s="215">
        <f t="shared" si="30"/>
        <v>0</v>
      </c>
      <c r="OD40" s="215">
        <f t="shared" si="31"/>
        <v>2.7951378356147885</v>
      </c>
      <c r="OE40" s="215">
        <f t="shared" si="32"/>
        <v>0.54323621864065896</v>
      </c>
      <c r="OF40" s="215">
        <f t="shared" si="33"/>
        <v>0.16929768301246162</v>
      </c>
      <c r="OG40" s="215">
        <f t="shared" si="34"/>
        <v>0.43643971590656655</v>
      </c>
      <c r="OH40" s="215">
        <f t="shared" si="35"/>
        <v>4.0284623738478641E-5</v>
      </c>
      <c r="OI40" s="215">
        <f t="shared" si="112"/>
        <v>28.775587519999998</v>
      </c>
      <c r="OJ40" s="218">
        <f t="shared" si="113"/>
        <v>0.10979078686564864</v>
      </c>
      <c r="OK40" s="218">
        <f t="shared" si="114"/>
        <v>7.7707142027565734E-2</v>
      </c>
      <c r="OL40" s="218">
        <f t="shared" si="115"/>
        <v>4.6708519867267127E-3</v>
      </c>
      <c r="OM40" s="218">
        <f t="shared" si="116"/>
        <v>1.2635941989151101E-2</v>
      </c>
      <c r="ON40" s="217">
        <f t="shared" si="36"/>
        <v>0.16794757633879145</v>
      </c>
      <c r="OO40" s="210"/>
      <c r="OP40" s="210"/>
      <c r="OQ40" s="218">
        <f t="shared" si="117"/>
        <v>0.11184858189851</v>
      </c>
      <c r="OR40" s="218">
        <f t="shared" si="118"/>
        <v>9.2938327375627114E-2</v>
      </c>
      <c r="OS40" s="218">
        <f t="shared" si="37"/>
        <v>1</v>
      </c>
      <c r="OT40" s="218">
        <f t="shared" si="38"/>
        <v>0.94741481460760602</v>
      </c>
      <c r="OU40" s="209">
        <f t="shared" si="39"/>
        <v>0.95374817280133717</v>
      </c>
      <c r="OV40" s="209">
        <f t="shared" si="40"/>
        <v>0.91914603435588937</v>
      </c>
      <c r="OW40" s="209">
        <f t="shared" si="119"/>
        <v>1.4889791770170736E-2</v>
      </c>
      <c r="OX40" s="219">
        <f t="shared" si="41"/>
        <v>3.3415858490891149E-8</v>
      </c>
      <c r="OY40" s="208">
        <f t="shared" si="120"/>
        <v>3929115730</v>
      </c>
      <c r="OZ40" s="208">
        <f t="shared" si="42"/>
        <v>467778910</v>
      </c>
      <c r="PA40" s="209">
        <f t="shared" si="121"/>
        <v>0.11905450033664444</v>
      </c>
      <c r="PB40" s="209">
        <f>IF(OR($CQ40="",$OZ40=""),"",IF($OZ40=0,0,
GuardLimitUpper(
  ($OZ40-$CQ40)/$OZ40,
  data_GuardLimitFlag,
  1)
))</f>
        <v>3.3202728186270729E-2</v>
      </c>
      <c r="PC40" s="209">
        <f t="shared" si="43"/>
        <v>0.95533368317096634</v>
      </c>
      <c r="PD40" s="209">
        <f t="shared" si="44"/>
        <v>1.1463588642762881E-2</v>
      </c>
      <c r="PE40" s="208">
        <f t="shared" si="122"/>
        <v>462120070</v>
      </c>
      <c r="PF40" s="209">
        <f t="shared" si="123"/>
        <v>0.11761426788006572</v>
      </c>
      <c r="PG40" s="209">
        <f t="shared" si="45"/>
        <v>0.13211362051344352</v>
      </c>
      <c r="PH40" s="209">
        <f t="shared" si="46"/>
        <v>0.87007008038178912</v>
      </c>
      <c r="PI40" s="209">
        <f t="shared" si="47"/>
        <v>0</v>
      </c>
      <c r="PJ40" s="220">
        <f t="shared" si="48"/>
        <v>4.3826655113566736E-7</v>
      </c>
      <c r="PK40" s="220">
        <f t="shared" si="49"/>
        <v>5.0902038459427104E-10</v>
      </c>
      <c r="PL40" s="221">
        <f t="shared" si="124"/>
        <v>220367000</v>
      </c>
      <c r="PM40" s="221">
        <f t="shared" si="50"/>
        <v>0</v>
      </c>
      <c r="PN40" s="221">
        <f t="shared" si="125"/>
        <v>1322202000</v>
      </c>
      <c r="PO40" s="221">
        <f t="shared" si="51"/>
        <v>0</v>
      </c>
      <c r="PP40" s="221">
        <f t="shared" si="52"/>
        <v>1101835000</v>
      </c>
      <c r="PQ40" s="529">
        <f t="shared" si="126"/>
        <v>0</v>
      </c>
      <c r="PR40" s="221">
        <f t="shared" si="53"/>
        <v>0</v>
      </c>
      <c r="PS40" s="221">
        <f t="shared" si="54"/>
        <v>387076077</v>
      </c>
      <c r="PT40" s="221">
        <f t="shared" si="127"/>
        <v>21504000</v>
      </c>
      <c r="PU40" s="221">
        <f t="shared" si="55"/>
        <v>0</v>
      </c>
      <c r="PV40" s="221">
        <f t="shared" si="128"/>
        <v>661101000</v>
      </c>
      <c r="PW40" s="221">
        <f t="shared" si="56"/>
        <v>86003000</v>
      </c>
      <c r="PX40" s="221">
        <f t="shared" si="162"/>
        <v>0</v>
      </c>
      <c r="PY40" s="221">
        <f t="shared" si="57"/>
        <v>129027653</v>
      </c>
      <c r="PZ40" s="221">
        <f t="shared" si="58"/>
        <v>0</v>
      </c>
      <c r="QA40" s="221">
        <f t="shared" si="59"/>
        <v>0</v>
      </c>
      <c r="QB40" s="221">
        <f t="shared" si="60"/>
        <v>5362041</v>
      </c>
      <c r="QC40" s="221">
        <f t="shared" si="61"/>
        <v>8</v>
      </c>
      <c r="QD40" s="221">
        <f t="shared" si="129"/>
        <v>2719670000</v>
      </c>
      <c r="QE40" s="221">
        <f t="shared" si="130"/>
        <v>3085138000</v>
      </c>
      <c r="QF40" s="221">
        <f t="shared" si="131"/>
        <v>220367000</v>
      </c>
      <c r="QG40" s="222">
        <f t="shared" si="62"/>
        <v>0</v>
      </c>
      <c r="QH40" s="222">
        <f t="shared" si="63"/>
        <v>1085738009</v>
      </c>
      <c r="QI40" s="222">
        <f t="shared" si="64"/>
        <v>521367032</v>
      </c>
      <c r="QJ40" s="222">
        <f t="shared" si="65"/>
        <v>400468068</v>
      </c>
      <c r="QK40" s="222">
        <f t="shared" si="66"/>
        <v>37627017</v>
      </c>
      <c r="QL40" s="222">
        <f t="shared" si="132"/>
        <v>0</v>
      </c>
      <c r="QM40" s="222">
        <f>IF(OR($O$8="Lv2",$O$8="Lv3",$O$8="Lv4"),IF(OR($AS40="",COUNT($PL40:$QL40)=0),"",
GuardLimitLower(
  $AS40-SUM($PL40:$QL40),
  data_GuardLimitFlag,
  0)
),"")</f>
        <v>1491732859</v>
      </c>
      <c r="QN40" s="222">
        <f t="shared" si="133"/>
        <v>13496585764</v>
      </c>
      <c r="QO40" s="222">
        <f t="shared" si="134"/>
        <v>68453632000</v>
      </c>
      <c r="QP40" s="222">
        <f t="shared" si="135"/>
        <v>0</v>
      </c>
      <c r="QQ40" s="222">
        <f t="shared" si="136"/>
        <v>0</v>
      </c>
      <c r="QR40" s="222">
        <f t="shared" si="67"/>
        <v>2.378878691961456</v>
      </c>
      <c r="QS40" s="209">
        <f t="shared" si="68"/>
        <v>3.6586548991679589E-2</v>
      </c>
      <c r="QT40" s="209">
        <f t="shared" si="69"/>
        <v>0.738009956564744</v>
      </c>
      <c r="QU40" s="209">
        <f t="shared" si="70"/>
        <v>0.22540349444357641</v>
      </c>
      <c r="QV40" s="208">
        <f t="shared" si="71"/>
        <v>16307664271</v>
      </c>
      <c r="QW40" s="208">
        <f t="shared" si="72"/>
        <v>553630000</v>
      </c>
      <c r="QX40" s="208">
        <f t="shared" si="73"/>
        <v>257994009</v>
      </c>
      <c r="QY40" s="208">
        <f t="shared" si="74"/>
        <v>827734000</v>
      </c>
      <c r="QZ40" s="208">
        <f t="shared" si="75"/>
        <v>0</v>
      </c>
      <c r="RA40" s="209">
        <f t="shared" si="137"/>
        <v>0.99999889352639959</v>
      </c>
      <c r="RB40" s="209">
        <f t="shared" si="76"/>
        <v>3.5677830872647753E-2</v>
      </c>
      <c r="RC40" s="209">
        <f t="shared" si="77"/>
        <v>0.51068785292495911</v>
      </c>
      <c r="RD40" s="209">
        <f t="shared" si="78"/>
        <v>0</v>
      </c>
      <c r="RE40" s="209">
        <f t="shared" si="79"/>
        <v>0</v>
      </c>
      <c r="RF40" s="209">
        <f t="shared" si="80"/>
        <v>0.30293918134279496</v>
      </c>
      <c r="RG40" s="209">
        <f t="shared" si="81"/>
        <v>0</v>
      </c>
      <c r="RH40" s="209">
        <f t="shared" si="82"/>
        <v>0</v>
      </c>
      <c r="RI40" s="209">
        <f t="shared" si="83"/>
        <v>0.18637296573224596</v>
      </c>
      <c r="RJ40" s="134"/>
      <c r="RK40" s="134"/>
      <c r="RL40" s="134"/>
      <c r="RM40" s="134"/>
      <c r="RN40" s="134"/>
      <c r="RO40" s="134"/>
      <c r="RP40" s="134"/>
      <c r="RQ40" s="134"/>
      <c r="RR40" s="222">
        <f t="shared" si="84"/>
        <v>1.7550618671086651</v>
      </c>
      <c r="RS40" s="224"/>
      <c r="RT40" s="224"/>
      <c r="RU40" s="208">
        <f t="shared" si="138"/>
        <v>28.775587519999998</v>
      </c>
      <c r="RV40" s="208">
        <f t="shared" si="139"/>
        <v>1</v>
      </c>
      <c r="RW40" s="208">
        <f t="shared" si="140"/>
        <v>0.99990074282715102</v>
      </c>
      <c r="RX40" s="208">
        <f t="shared" si="141"/>
        <v>1.0000411927305073</v>
      </c>
      <c r="RY40" s="208">
        <f t="shared" si="142"/>
        <v>0.999911630779873</v>
      </c>
      <c r="RZ40" s="208">
        <f t="shared" si="85"/>
        <v>0.99996584208181372</v>
      </c>
      <c r="SA40" s="208">
        <f t="shared" si="86"/>
        <v>0.99989923262332758</v>
      </c>
      <c r="SB40" s="208">
        <f t="shared" si="87"/>
        <v>1.000097198585197</v>
      </c>
      <c r="SC40" s="208">
        <f t="shared" si="88"/>
        <v>0.99989486210720535</v>
      </c>
      <c r="SD40" s="208">
        <f t="shared" si="89"/>
        <v>0.99999914319370753</v>
      </c>
      <c r="SE40" s="208">
        <f t="shared" si="90"/>
        <v>0.99991054427980097</v>
      </c>
      <c r="SF40" s="208">
        <f t="shared" si="91"/>
        <v>1.0000744313996865</v>
      </c>
      <c r="SG40" s="208">
        <f t="shared" si="92"/>
        <v>1.0005705038877144</v>
      </c>
      <c r="SH40" s="208">
        <f t="shared" si="93"/>
        <v>1.0001296124197647</v>
      </c>
      <c r="SI40" s="208">
        <f t="shared" si="94"/>
        <v>1.0003033286989842</v>
      </c>
      <c r="SJ40" s="208">
        <f t="shared" si="95"/>
        <v>1.0001032584034215</v>
      </c>
      <c r="SK40" s="208">
        <f t="shared" si="96"/>
        <v>0.99993950315092273</v>
      </c>
      <c r="SL40" s="208">
        <f t="shared" si="97"/>
        <v>0.99997248089706714</v>
      </c>
      <c r="SM40" s="222">
        <f t="shared" si="143"/>
        <v>1</v>
      </c>
      <c r="SN40" s="225">
        <f t="shared" si="98"/>
        <v>28.775587519999998</v>
      </c>
      <c r="SO40" s="209">
        <f t="shared" si="144"/>
        <v>0.99969978004399651</v>
      </c>
      <c r="SP40" s="209">
        <f t="shared" si="145"/>
        <v>0.99999981069289956</v>
      </c>
      <c r="SQ40" s="222">
        <f t="shared" si="146"/>
        <v>63306024337</v>
      </c>
      <c r="SR40" s="222">
        <f t="shared" si="147"/>
        <v>63299740760</v>
      </c>
      <c r="SS40" s="222">
        <f t="shared" si="148"/>
        <v>63308632085</v>
      </c>
      <c r="ST40" s="222">
        <f t="shared" si="149"/>
        <v>63300430033</v>
      </c>
      <c r="SU40" s="222">
        <f t="shared" si="150"/>
        <v>63303861935</v>
      </c>
      <c r="SV40" s="222">
        <f t="shared" si="151"/>
        <v>63299645155</v>
      </c>
      <c r="SW40" s="222">
        <f t="shared" si="152"/>
        <v>63312177593</v>
      </c>
      <c r="SX40" s="222">
        <f t="shared" si="153"/>
        <v>63299368475</v>
      </c>
      <c r="SY40" s="222">
        <f t="shared" si="154"/>
        <v>63305970096</v>
      </c>
      <c r="SZ40" s="222">
        <f t="shared" si="155"/>
        <v>63300361251</v>
      </c>
      <c r="TA40" s="222">
        <f t="shared" si="156"/>
        <v>63310736293</v>
      </c>
      <c r="TB40" s="222">
        <f t="shared" si="157"/>
        <v>63342140670</v>
      </c>
      <c r="TC40" s="222">
        <f t="shared" si="99"/>
        <v>63314229584</v>
      </c>
      <c r="TD40" s="222">
        <f t="shared" si="158"/>
        <v>63325226871</v>
      </c>
      <c r="TE40" s="222">
        <f t="shared" si="159"/>
        <v>63312561216</v>
      </c>
      <c r="TF40" s="222">
        <f t="shared" si="160"/>
        <v>63302194522</v>
      </c>
      <c r="TG40" s="222">
        <f t="shared" si="161"/>
        <v>63304282212</v>
      </c>
      <c r="TQ40" s="380"/>
      <c r="TR40" s="381"/>
      <c r="TS40" s="384" t="s">
        <v>643</v>
      </c>
      <c r="TT40" s="385" t="s">
        <v>644</v>
      </c>
      <c r="TU40" s="386" t="s">
        <v>647</v>
      </c>
      <c r="TV40" s="387" t="s">
        <v>648</v>
      </c>
      <c r="TW40" s="388" t="s">
        <v>1721</v>
      </c>
      <c r="TX40" s="389" t="s">
        <v>652</v>
      </c>
      <c r="TY40" s="390" t="s">
        <v>1719</v>
      </c>
      <c r="TZ40" s="391" t="s">
        <v>1720</v>
      </c>
      <c r="UA40" s="528" t="s">
        <v>1700</v>
      </c>
      <c r="UC40" s="382"/>
      <c r="UD40" s="383"/>
      <c r="UE40" s="392" t="s">
        <v>643</v>
      </c>
      <c r="UF40" s="545" t="s">
        <v>1717</v>
      </c>
      <c r="UG40" s="393" t="s">
        <v>1728</v>
      </c>
      <c r="UH40" s="324" t="s">
        <v>642</v>
      </c>
      <c r="UI40" s="394" t="s">
        <v>1724</v>
      </c>
      <c r="UJ40" s="395" t="s">
        <v>645</v>
      </c>
      <c r="UK40" s="396" t="s">
        <v>644</v>
      </c>
      <c r="UL40" s="397" t="s">
        <v>646</v>
      </c>
      <c r="UM40" s="398" t="s">
        <v>1723</v>
      </c>
      <c r="UN40" s="399" t="s">
        <v>647</v>
      </c>
      <c r="UO40" s="400" t="s">
        <v>1722</v>
      </c>
      <c r="UP40" s="401" t="s">
        <v>648</v>
      </c>
      <c r="UQ40" s="388" t="s">
        <v>1721</v>
      </c>
      <c r="UR40" s="389" t="s">
        <v>652</v>
      </c>
      <c r="US40" s="402" t="s">
        <v>1719</v>
      </c>
      <c r="UT40" s="391" t="s">
        <v>1720</v>
      </c>
      <c r="UU40" s="403" t="s">
        <v>1725</v>
      </c>
      <c r="UV40" s="404" t="s">
        <v>1726</v>
      </c>
      <c r="UW40" s="405" t="s">
        <v>1727</v>
      </c>
      <c r="UX40" s="528" t="s">
        <v>1700</v>
      </c>
      <c r="VK40" s="2"/>
      <c r="WC40" s="239"/>
      <c r="WD40" s="239"/>
      <c r="WE40" s="239"/>
      <c r="WF40" s="239"/>
      <c r="WG40" s="239"/>
      <c r="WH40" s="239"/>
      <c r="WI40" s="239"/>
      <c r="WJ40" s="239"/>
      <c r="WK40" s="239"/>
      <c r="WL40" s="239"/>
      <c r="WM40" s="239"/>
      <c r="WN40" s="239"/>
      <c r="WO40" s="239"/>
      <c r="WP40" s="239"/>
      <c r="WQ40" s="239"/>
      <c r="WR40" s="239"/>
      <c r="WS40" s="239"/>
    </row>
    <row r="41" spans="28:617" x14ac:dyDescent="0.25">
      <c r="AB41" s="254">
        <v>11</v>
      </c>
      <c r="AC41" s="430" t="s">
        <v>1974</v>
      </c>
      <c r="AD41" s="430" t="s">
        <v>1964</v>
      </c>
      <c r="AE41" s="430">
        <v>0</v>
      </c>
      <c r="AF41" s="430">
        <v>0</v>
      </c>
      <c r="AG41" s="430">
        <v>11</v>
      </c>
      <c r="AH41" s="430" t="s">
        <v>1975</v>
      </c>
      <c r="AI41" s="430">
        <v>0</v>
      </c>
      <c r="AJ41" s="430">
        <v>1</v>
      </c>
      <c r="AK41" s="594">
        <v>2878422912</v>
      </c>
      <c r="AL41" s="594">
        <v>63325059515</v>
      </c>
      <c r="AM41" s="430">
        <v>17081158000</v>
      </c>
      <c r="AN41" s="430">
        <v>129000000</v>
      </c>
      <c r="AO41" s="430">
        <v>465129798</v>
      </c>
      <c r="AP41" s="430">
        <v>211333463</v>
      </c>
      <c r="AQ41" s="595">
        <v>3662642</v>
      </c>
      <c r="AR41" s="595">
        <v>1038683</v>
      </c>
      <c r="AS41" s="594">
        <v>13496583337</v>
      </c>
      <c r="AT41" s="594">
        <v>10867919049</v>
      </c>
      <c r="AU41" s="430" t="s">
        <v>1974</v>
      </c>
      <c r="AV41" s="430" t="s">
        <v>1964</v>
      </c>
      <c r="AW41" s="430">
        <v>0</v>
      </c>
      <c r="AX41" s="430">
        <v>0</v>
      </c>
      <c r="AY41" s="430">
        <v>11</v>
      </c>
      <c r="AZ41" s="430" t="s">
        <v>1975</v>
      </c>
      <c r="BA41" s="430">
        <v>0</v>
      </c>
      <c r="BB41" s="430">
        <v>1</v>
      </c>
      <c r="BC41" s="430">
        <v>2878349344</v>
      </c>
      <c r="BD41" s="430">
        <v>63323337520</v>
      </c>
      <c r="BE41" s="430">
        <v>54646766927</v>
      </c>
      <c r="BF41" s="595">
        <v>6149704969</v>
      </c>
      <c r="BG41" s="430">
        <v>21553825270</v>
      </c>
      <c r="BH41" s="595">
        <v>306111</v>
      </c>
      <c r="BI41" s="430">
        <v>30281222879</v>
      </c>
      <c r="BJ41" s="430">
        <v>142775293</v>
      </c>
      <c r="BK41" s="430">
        <v>0</v>
      </c>
      <c r="BL41" s="430">
        <v>0</v>
      </c>
      <c r="BM41" s="430" t="s">
        <v>1974</v>
      </c>
      <c r="BN41" s="430" t="s">
        <v>1964</v>
      </c>
      <c r="BO41" s="430">
        <v>0</v>
      </c>
      <c r="BP41" s="430">
        <v>0</v>
      </c>
      <c r="BQ41" s="430">
        <v>11</v>
      </c>
      <c r="BR41" s="430" t="s">
        <v>1975</v>
      </c>
      <c r="BS41" s="430">
        <v>0</v>
      </c>
      <c r="BT41" s="430">
        <v>1</v>
      </c>
      <c r="BU41" s="430">
        <v>2878144320</v>
      </c>
      <c r="BV41" s="430">
        <v>63318687021</v>
      </c>
      <c r="BW41" s="594">
        <v>9921192047</v>
      </c>
      <c r="BX41" s="594">
        <v>11346997179</v>
      </c>
      <c r="BY41" s="430">
        <v>21183882560</v>
      </c>
      <c r="BZ41" s="430">
        <v>944591808</v>
      </c>
      <c r="CA41" s="430">
        <v>6949992684</v>
      </c>
      <c r="CB41" s="430">
        <v>119929401068</v>
      </c>
      <c r="CC41" s="430">
        <v>4919948421</v>
      </c>
      <c r="CD41" s="430">
        <v>74576042198</v>
      </c>
      <c r="CE41" s="430" t="s">
        <v>1974</v>
      </c>
      <c r="CF41" s="430" t="s">
        <v>1964</v>
      </c>
      <c r="CG41" s="430">
        <v>0</v>
      </c>
      <c r="CH41" s="430">
        <v>0</v>
      </c>
      <c r="CI41" s="430">
        <v>11</v>
      </c>
      <c r="CJ41" s="430" t="s">
        <v>1975</v>
      </c>
      <c r="CK41" s="430">
        <v>0</v>
      </c>
      <c r="CL41" s="430">
        <v>1</v>
      </c>
      <c r="CM41" s="430">
        <v>2878498176</v>
      </c>
      <c r="CN41" s="430">
        <v>63326726293</v>
      </c>
      <c r="CO41" s="430">
        <v>3690291</v>
      </c>
      <c r="CP41" s="430">
        <v>467773736</v>
      </c>
      <c r="CQ41" s="430">
        <v>452268751</v>
      </c>
      <c r="CR41" s="430">
        <v>465342507</v>
      </c>
      <c r="CS41" s="430">
        <v>58686732</v>
      </c>
      <c r="CT41" s="430">
        <v>1322202000</v>
      </c>
      <c r="CU41" s="430">
        <v>661101000</v>
      </c>
      <c r="CV41" s="430">
        <v>1065268</v>
      </c>
      <c r="CW41" s="430" t="s">
        <v>1974</v>
      </c>
      <c r="CX41" s="430" t="s">
        <v>1964</v>
      </c>
      <c r="CY41" s="430">
        <v>0</v>
      </c>
      <c r="CZ41" s="430">
        <v>0</v>
      </c>
      <c r="DA41" s="430">
        <v>11</v>
      </c>
      <c r="DB41" s="430" t="s">
        <v>1975</v>
      </c>
      <c r="DC41" s="430">
        <v>0</v>
      </c>
      <c r="DD41" s="430">
        <v>1</v>
      </c>
      <c r="DE41" s="430">
        <v>2877995136</v>
      </c>
      <c r="DF41" s="430">
        <v>63315604257</v>
      </c>
      <c r="DG41" s="430">
        <v>6025175000</v>
      </c>
      <c r="DH41" s="430">
        <v>3085138000</v>
      </c>
      <c r="DI41" s="430">
        <v>220367000</v>
      </c>
      <c r="DJ41" s="430">
        <v>3031479145</v>
      </c>
      <c r="DK41" s="430">
        <v>897635373</v>
      </c>
      <c r="DL41" s="430">
        <v>2902411009</v>
      </c>
      <c r="DM41" s="430">
        <v>897612009</v>
      </c>
      <c r="DN41" s="430">
        <v>5362041</v>
      </c>
      <c r="DO41" s="595" t="s">
        <v>1974</v>
      </c>
      <c r="DP41" s="595" t="s">
        <v>1964</v>
      </c>
      <c r="DQ41" s="595">
        <v>0</v>
      </c>
      <c r="DR41" s="595">
        <v>0</v>
      </c>
      <c r="DS41" s="595">
        <v>11</v>
      </c>
      <c r="DT41" s="595" t="s">
        <v>1975</v>
      </c>
      <c r="DU41" s="595">
        <v>0</v>
      </c>
      <c r="DV41" s="595">
        <v>1</v>
      </c>
      <c r="DW41" s="595">
        <v>2878419424</v>
      </c>
      <c r="DX41" s="595">
        <v>63324997658</v>
      </c>
      <c r="DY41" s="595">
        <v>465975813</v>
      </c>
      <c r="DZ41" s="595">
        <v>230952815</v>
      </c>
      <c r="EA41" s="595">
        <v>33396735</v>
      </c>
      <c r="EB41" s="430">
        <v>608827491</v>
      </c>
      <c r="EC41" s="595">
        <v>424106970</v>
      </c>
      <c r="ED41" s="595">
        <v>0</v>
      </c>
      <c r="EE41" s="595">
        <v>0</v>
      </c>
      <c r="EF41" s="595">
        <v>25342803869</v>
      </c>
      <c r="EG41" s="595" t="s">
        <v>1974</v>
      </c>
      <c r="EH41" s="595" t="s">
        <v>1964</v>
      </c>
      <c r="EI41" s="595">
        <v>0</v>
      </c>
      <c r="EJ41" s="595">
        <v>0</v>
      </c>
      <c r="EK41" s="595">
        <v>11</v>
      </c>
      <c r="EL41" s="595" t="s">
        <v>1975</v>
      </c>
      <c r="EM41" s="595">
        <v>0</v>
      </c>
      <c r="EN41" s="595">
        <v>1</v>
      </c>
      <c r="EO41" s="595">
        <v>2877836480</v>
      </c>
      <c r="EP41" s="595">
        <v>63312174779</v>
      </c>
      <c r="EQ41" s="595">
        <v>1192860596</v>
      </c>
      <c r="ER41" s="595">
        <v>373173168</v>
      </c>
      <c r="ES41" s="430">
        <v>960998064</v>
      </c>
      <c r="ET41" s="595">
        <v>5669306</v>
      </c>
      <c r="EU41" s="595">
        <v>17081158000</v>
      </c>
      <c r="EV41" s="595">
        <v>0</v>
      </c>
      <c r="EW41" s="595">
        <v>129000000</v>
      </c>
      <c r="EX41" s="595">
        <v>0</v>
      </c>
      <c r="EY41" s="595" t="s">
        <v>1974</v>
      </c>
      <c r="EZ41" s="595" t="s">
        <v>1964</v>
      </c>
      <c r="FA41" s="595">
        <v>0</v>
      </c>
      <c r="FB41" s="595">
        <v>0</v>
      </c>
      <c r="FC41" s="595">
        <v>11</v>
      </c>
      <c r="FD41" s="595" t="s">
        <v>1975</v>
      </c>
      <c r="FE41" s="595">
        <v>0</v>
      </c>
      <c r="FF41" s="595">
        <v>1</v>
      </c>
      <c r="FG41" s="595">
        <v>2878326400</v>
      </c>
      <c r="FH41" s="595">
        <v>63322946834</v>
      </c>
      <c r="FI41" s="595">
        <v>46650023</v>
      </c>
      <c r="FJ41" s="595">
        <v>6315270288</v>
      </c>
      <c r="FK41" s="595">
        <v>1887759807</v>
      </c>
      <c r="FL41" s="595">
        <v>667888465</v>
      </c>
      <c r="FM41" s="595">
        <v>7080378333</v>
      </c>
      <c r="FN41" s="595">
        <v>5882867673</v>
      </c>
      <c r="FO41" s="430">
        <v>295693336</v>
      </c>
      <c r="FP41" s="430">
        <v>798832225</v>
      </c>
      <c r="FQ41" s="595" t="s">
        <v>1974</v>
      </c>
      <c r="FR41" s="595" t="s">
        <v>1964</v>
      </c>
      <c r="FS41" s="595">
        <v>0</v>
      </c>
      <c r="FT41" s="595">
        <v>0</v>
      </c>
      <c r="FU41" s="595">
        <v>11</v>
      </c>
      <c r="FV41" s="595" t="s">
        <v>1975</v>
      </c>
      <c r="FW41" s="595">
        <v>0</v>
      </c>
      <c r="FX41" s="595">
        <v>1</v>
      </c>
      <c r="FY41" s="595">
        <v>2877627872</v>
      </c>
      <c r="FZ41" s="595">
        <v>63307589249</v>
      </c>
      <c r="GA41" s="595">
        <v>452262689</v>
      </c>
      <c r="GB41" s="595">
        <v>446899993</v>
      </c>
      <c r="GC41" s="595">
        <v>388717982</v>
      </c>
      <c r="GD41" s="595">
        <v>388717983</v>
      </c>
      <c r="GE41" s="595">
        <v>1583</v>
      </c>
      <c r="GF41" s="595">
        <v>1</v>
      </c>
      <c r="GG41" s="595">
        <v>407</v>
      </c>
      <c r="GH41" s="595">
        <v>1012759</v>
      </c>
      <c r="GI41" s="595" t="s">
        <v>1974</v>
      </c>
      <c r="GJ41" s="595" t="s">
        <v>1964</v>
      </c>
      <c r="GK41" s="595">
        <v>0</v>
      </c>
      <c r="GL41" s="595">
        <v>0</v>
      </c>
      <c r="GM41" s="595">
        <v>11</v>
      </c>
      <c r="GN41" s="595" t="s">
        <v>1975</v>
      </c>
      <c r="GO41" s="595">
        <v>0</v>
      </c>
      <c r="GP41" s="595">
        <v>1</v>
      </c>
      <c r="GQ41" s="595">
        <v>2878867776</v>
      </c>
      <c r="GR41" s="595">
        <v>63334860043</v>
      </c>
      <c r="GS41" s="595">
        <v>1101835000</v>
      </c>
      <c r="GT41" s="595">
        <v>86003000</v>
      </c>
      <c r="GU41" s="595">
        <v>0</v>
      </c>
      <c r="GV41" s="595">
        <v>0</v>
      </c>
      <c r="GW41" s="595">
        <v>0</v>
      </c>
      <c r="GX41" s="595">
        <v>8</v>
      </c>
      <c r="GY41" s="595">
        <v>521367032</v>
      </c>
      <c r="GZ41" s="595">
        <v>400468373</v>
      </c>
      <c r="HA41" s="595" t="s">
        <v>1974</v>
      </c>
      <c r="HB41" s="595" t="s">
        <v>1964</v>
      </c>
      <c r="HC41" s="595">
        <v>0</v>
      </c>
      <c r="HD41" s="595">
        <v>0</v>
      </c>
      <c r="HE41" s="595">
        <v>11</v>
      </c>
      <c r="HF41" s="595" t="s">
        <v>1975</v>
      </c>
      <c r="HG41" s="595">
        <v>0</v>
      </c>
      <c r="HH41" s="595">
        <v>1</v>
      </c>
      <c r="HI41" s="595">
        <v>2877982368</v>
      </c>
      <c r="HJ41" s="595">
        <v>63315396386</v>
      </c>
      <c r="HK41" s="595">
        <v>0</v>
      </c>
      <c r="HL41" s="595">
        <v>0</v>
      </c>
      <c r="HM41" s="595">
        <v>0</v>
      </c>
      <c r="HN41" s="595">
        <v>1085738001</v>
      </c>
      <c r="HO41" s="595">
        <v>129004009</v>
      </c>
      <c r="HP41" s="595">
        <v>37627017</v>
      </c>
      <c r="HQ41" s="595">
        <v>258007009</v>
      </c>
      <c r="HR41" s="595">
        <v>0</v>
      </c>
      <c r="HS41" s="595" t="s">
        <v>1974</v>
      </c>
      <c r="HT41" s="595" t="s">
        <v>1964</v>
      </c>
      <c r="HU41" s="595">
        <v>0</v>
      </c>
      <c r="HV41" s="595">
        <v>0</v>
      </c>
      <c r="HW41" s="595">
        <v>11</v>
      </c>
      <c r="HX41" s="595" t="s">
        <v>1975</v>
      </c>
      <c r="HY41" s="595">
        <v>0</v>
      </c>
      <c r="HZ41" s="595">
        <v>1</v>
      </c>
      <c r="IA41" s="595">
        <v>2879196352</v>
      </c>
      <c r="IB41" s="595">
        <v>63342076590</v>
      </c>
      <c r="IC41" s="595">
        <v>16307661283</v>
      </c>
      <c r="ID41" s="595">
        <v>1325494871</v>
      </c>
      <c r="IE41" s="595">
        <v>0</v>
      </c>
      <c r="IF41" s="595">
        <v>16307643258</v>
      </c>
      <c r="IG41" s="595">
        <v>14432062</v>
      </c>
      <c r="IH41" s="595">
        <v>400474600</v>
      </c>
      <c r="II41" s="595">
        <v>0</v>
      </c>
      <c r="IJ41" s="595">
        <v>0</v>
      </c>
      <c r="IK41" s="595" t="s">
        <v>1974</v>
      </c>
      <c r="IL41" s="595" t="s">
        <v>1964</v>
      </c>
      <c r="IM41" s="595">
        <v>0</v>
      </c>
      <c r="IN41" s="595">
        <v>0</v>
      </c>
      <c r="IO41" s="595">
        <v>11</v>
      </c>
      <c r="IP41" s="595" t="s">
        <v>1975</v>
      </c>
      <c r="IQ41" s="595">
        <v>0</v>
      </c>
      <c r="IR41" s="595">
        <v>1</v>
      </c>
      <c r="IS41" s="595">
        <v>2878426176</v>
      </c>
      <c r="IT41" s="595">
        <v>63325157441</v>
      </c>
      <c r="IU41" s="595">
        <v>0</v>
      </c>
      <c r="IV41" s="595">
        <v>0</v>
      </c>
      <c r="IW41" s="595">
        <v>827734000</v>
      </c>
      <c r="IX41" s="595">
        <v>0</v>
      </c>
      <c r="IY41" s="595">
        <v>553630000</v>
      </c>
      <c r="IZ41" s="595">
        <v>257994001</v>
      </c>
      <c r="JA41" s="595">
        <v>0</v>
      </c>
      <c r="JB41" s="595">
        <v>0</v>
      </c>
      <c r="JC41" s="595" t="s">
        <v>1974</v>
      </c>
      <c r="JD41" s="595" t="s">
        <v>1964</v>
      </c>
      <c r="JE41" s="595">
        <v>0</v>
      </c>
      <c r="JF41" s="595">
        <v>0</v>
      </c>
      <c r="JG41" s="595">
        <v>11</v>
      </c>
      <c r="JH41" s="595" t="s">
        <v>1975</v>
      </c>
      <c r="JI41" s="595">
        <v>0</v>
      </c>
      <c r="JJ41" s="595">
        <v>1</v>
      </c>
      <c r="JK41" s="595">
        <v>2877925824</v>
      </c>
      <c r="JL41" s="595">
        <v>63314159404</v>
      </c>
      <c r="JM41" s="595">
        <v>447641268</v>
      </c>
      <c r="JN41" s="595">
        <v>0</v>
      </c>
      <c r="JO41" s="595">
        <v>0</v>
      </c>
      <c r="JP41" s="595">
        <v>250245791</v>
      </c>
      <c r="JQ41" s="595">
        <v>0</v>
      </c>
      <c r="JR41" s="595">
        <v>0</v>
      </c>
      <c r="JS41" s="595">
        <v>162705703</v>
      </c>
      <c r="JT41" s="595">
        <v>0</v>
      </c>
      <c r="JU41" s="595" t="s">
        <v>1974</v>
      </c>
      <c r="JV41" s="595" t="s">
        <v>1964</v>
      </c>
      <c r="JW41" s="595">
        <v>0</v>
      </c>
      <c r="JX41" s="595">
        <v>0</v>
      </c>
      <c r="JY41" s="595">
        <v>11</v>
      </c>
      <c r="JZ41" s="595" t="s">
        <v>1975</v>
      </c>
      <c r="KA41" s="595">
        <v>0</v>
      </c>
      <c r="KB41" s="595">
        <v>1</v>
      </c>
      <c r="KC41" s="595">
        <v>2878917664</v>
      </c>
      <c r="KD41" s="595">
        <v>63335895950</v>
      </c>
      <c r="KE41" s="595">
        <v>193500000</v>
      </c>
      <c r="KF41" s="595">
        <v>3903198345</v>
      </c>
      <c r="KG41" s="595">
        <v>1192111235</v>
      </c>
      <c r="KH41" s="595">
        <v>55973743840</v>
      </c>
      <c r="KI41" s="595">
        <v>14382187134</v>
      </c>
      <c r="KJ41" s="595">
        <v>3668064193</v>
      </c>
      <c r="KK41" s="595">
        <v>977932190</v>
      </c>
      <c r="KL41" s="595">
        <v>0</v>
      </c>
      <c r="KM41" s="595" t="s">
        <v>1974</v>
      </c>
      <c r="KN41" s="595" t="s">
        <v>1964</v>
      </c>
      <c r="KO41" s="595">
        <v>0</v>
      </c>
      <c r="KP41" s="595">
        <v>0</v>
      </c>
      <c r="KQ41" s="595">
        <v>11</v>
      </c>
      <c r="KR41" s="595" t="s">
        <v>1975</v>
      </c>
      <c r="KS41" s="595">
        <v>0</v>
      </c>
      <c r="KT41" s="595">
        <v>1</v>
      </c>
      <c r="KU41" s="595">
        <v>2878643328</v>
      </c>
      <c r="KV41" s="595">
        <v>63329809657</v>
      </c>
      <c r="KW41" s="595">
        <v>5594810032</v>
      </c>
      <c r="KX41" s="595">
        <v>42554874</v>
      </c>
      <c r="KY41" s="595">
        <v>9690793</v>
      </c>
      <c r="KZ41" s="595">
        <v>13496597135</v>
      </c>
      <c r="LA41" s="595">
        <v>2506661739</v>
      </c>
      <c r="LB41" s="595">
        <v>720294</v>
      </c>
      <c r="LC41" s="595">
        <v>13150</v>
      </c>
      <c r="LD41" s="595">
        <v>15155</v>
      </c>
      <c r="LE41" s="595" t="s">
        <v>1974</v>
      </c>
      <c r="LF41" s="595" t="s">
        <v>1964</v>
      </c>
      <c r="LG41" s="595">
        <v>0</v>
      </c>
      <c r="LH41" s="595">
        <v>0</v>
      </c>
      <c r="LI41" s="595">
        <v>11</v>
      </c>
      <c r="LJ41" s="595" t="s">
        <v>1975</v>
      </c>
      <c r="LK41" s="595">
        <v>0</v>
      </c>
      <c r="LL41" s="595">
        <v>1</v>
      </c>
      <c r="LM41" s="595">
        <v>2877938336</v>
      </c>
      <c r="LN41" s="595">
        <v>63314420633</v>
      </c>
      <c r="LO41" s="595">
        <v>5542614470</v>
      </c>
      <c r="LP41" s="595">
        <v>959</v>
      </c>
      <c r="LQ41" s="595">
        <v>0</v>
      </c>
      <c r="LR41" s="595">
        <v>2506803625</v>
      </c>
      <c r="LS41" s="595">
        <v>178</v>
      </c>
      <c r="LT41" s="595">
        <v>0</v>
      </c>
      <c r="LU41" s="595">
        <v>5542437534</v>
      </c>
      <c r="LV41" s="595">
        <v>31026</v>
      </c>
      <c r="MC41" s="252" t="s">
        <v>1187</v>
      </c>
      <c r="MD41" s="371"/>
      <c r="ME41" s="372"/>
      <c r="MF41" s="372"/>
      <c r="MG41" s="372"/>
      <c r="MH41" s="372"/>
      <c r="MI41" s="372"/>
      <c r="MJ41" s="372"/>
      <c r="MK41" s="372"/>
      <c r="ML41" s="372"/>
      <c r="MM41" s="372"/>
      <c r="MN41" s="372"/>
      <c r="MO41" s="372"/>
      <c r="MP41" s="372"/>
      <c r="MQ41" s="372"/>
      <c r="MR41" s="372"/>
      <c r="MS41" s="372"/>
      <c r="MT41" s="373"/>
      <c r="NA41" s="424">
        <f t="shared" si="100"/>
        <v>0</v>
      </c>
      <c r="NB41" s="424">
        <f t="shared" si="101"/>
        <v>11</v>
      </c>
      <c r="NC41" s="207">
        <f t="shared" si="102"/>
        <v>28.784229119999999</v>
      </c>
      <c r="ND41" s="208">
        <f>IF(OR($NI41="",$NC41=""),"",IF($NC41=0,0,$NI41/10^9/$NC41))</f>
        <v>2.378164505105218</v>
      </c>
      <c r="NE41" s="209">
        <f t="shared" si="15"/>
        <v>3.3780898279321812E-2</v>
      </c>
      <c r="NF41" s="208">
        <f t="shared" si="16"/>
        <v>5.9744888389771127</v>
      </c>
      <c r="NG41" s="210"/>
      <c r="NH41" s="211">
        <f t="shared" si="104"/>
        <v>13496583337</v>
      </c>
      <c r="NI41" s="208">
        <f t="shared" si="17"/>
        <v>68453632000</v>
      </c>
      <c r="NJ41" s="212">
        <f t="shared" si="105"/>
        <v>0.80523483444927213</v>
      </c>
      <c r="NK41" s="213">
        <f t="shared" si="106"/>
        <v>0.9981155127020872</v>
      </c>
      <c r="NL41" s="214">
        <f t="shared" si="18"/>
        <v>1</v>
      </c>
      <c r="NM41" s="208">
        <f t="shared" si="107"/>
        <v>0.21313179080081279</v>
      </c>
      <c r="NN41" s="208">
        <f t="shared" si="19"/>
        <v>0.4688881290075001</v>
      </c>
      <c r="NO41" s="215">
        <f t="shared" si="20"/>
        <v>1.391456847543673E-4</v>
      </c>
      <c r="NP41" s="216">
        <f t="shared" si="108"/>
        <v>0</v>
      </c>
      <c r="NQ41" s="215">
        <f t="shared" si="109"/>
        <v>0.1927818822249116</v>
      </c>
      <c r="NR41" s="215">
        <f t="shared" si="110"/>
        <v>8.396648072995902E-2</v>
      </c>
      <c r="NS41" s="215">
        <f t="shared" si="21"/>
        <v>1.5180805525234783E-2</v>
      </c>
      <c r="NT41" s="215">
        <f t="shared" si="22"/>
        <v>3.8510777756204559E-3</v>
      </c>
      <c r="NU41" s="215">
        <f t="shared" si="23"/>
        <v>8.9801006919021431E-2</v>
      </c>
      <c r="NV41" s="215">
        <f t="shared" si="111"/>
        <v>9.4117771633651035</v>
      </c>
      <c r="NW41" s="215">
        <f t="shared" si="24"/>
        <v>2.2448056252484707</v>
      </c>
      <c r="NX41" s="215">
        <f t="shared" si="25"/>
        <v>11.519814047674322</v>
      </c>
      <c r="NY41" s="215">
        <f t="shared" si="26"/>
        <v>2.5770373016717569E-3</v>
      </c>
      <c r="NZ41" s="215">
        <f t="shared" si="27"/>
        <v>1.2106167675306683</v>
      </c>
      <c r="OA41" s="215">
        <f t="shared" si="28"/>
        <v>0</v>
      </c>
      <c r="OB41" s="215">
        <f t="shared" si="29"/>
        <v>6.489987589629391E-2</v>
      </c>
      <c r="OC41" s="215">
        <f t="shared" si="30"/>
        <v>0</v>
      </c>
      <c r="OD41" s="215">
        <f t="shared" si="31"/>
        <v>2.7954072507973908</v>
      </c>
      <c r="OE41" s="215">
        <f t="shared" si="32"/>
        <v>0.54222620045317771</v>
      </c>
      <c r="OF41" s="215">
        <f t="shared" si="33"/>
        <v>0.16962943505237169</v>
      </c>
      <c r="OG41" s="215">
        <f t="shared" si="34"/>
        <v>0.43683086743991983</v>
      </c>
      <c r="OH41" s="215">
        <f t="shared" si="35"/>
        <v>0</v>
      </c>
      <c r="OI41" s="215">
        <f t="shared" si="112"/>
        <v>28.784229119999999</v>
      </c>
      <c r="OJ41" s="218">
        <f t="shared" si="113"/>
        <v>0.10976210990753797</v>
      </c>
      <c r="OK41" s="218">
        <f t="shared" si="114"/>
        <v>7.7701365149411131E-2</v>
      </c>
      <c r="OL41" s="218">
        <f t="shared" si="115"/>
        <v>4.6696079507347462E-3</v>
      </c>
      <c r="OM41" s="218">
        <f t="shared" si="116"/>
        <v>1.2615209255724071E-2</v>
      </c>
      <c r="ON41" s="217">
        <f t="shared" si="36"/>
        <v>0.16794559573658158</v>
      </c>
      <c r="OO41" s="210"/>
      <c r="OP41" s="210"/>
      <c r="OQ41" s="218">
        <f t="shared" si="117"/>
        <v>0.11181378452839676</v>
      </c>
      <c r="OR41" s="218">
        <f t="shared" si="118"/>
        <v>9.2902620094763355E-2</v>
      </c>
      <c r="OS41" s="218">
        <f t="shared" si="37"/>
        <v>1</v>
      </c>
      <c r="OT41" s="218">
        <f t="shared" si="38"/>
        <v>0.94736819139815942</v>
      </c>
      <c r="OU41" s="209">
        <f t="shared" si="39"/>
        <v>0.95373439665427362</v>
      </c>
      <c r="OV41" s="209">
        <f t="shared" si="40"/>
        <v>0.91917078205084957</v>
      </c>
      <c r="OW41" s="209">
        <f t="shared" si="119"/>
        <v>1.4918057408340145E-2</v>
      </c>
      <c r="OX41" s="219">
        <f t="shared" si="41"/>
        <v>3.0155780158392837E-8</v>
      </c>
      <c r="OY41" s="208">
        <f t="shared" si="120"/>
        <v>3929114518</v>
      </c>
      <c r="OZ41" s="208">
        <f t="shared" si="42"/>
        <v>467773736</v>
      </c>
      <c r="PA41" s="209">
        <f>IF(OR($OZ41="",$OY41=""),"",IF($OY41=0,0,$OZ41/$OY41))</f>
        <v>0.11905322022482216</v>
      </c>
      <c r="PB41" s="209">
        <f>IF(OR($CQ41="",$OZ41=""),"",IF($OZ41=0,0,
GuardLimitUpper(
  ($OZ41-$CQ41)/$OZ41,
  data_GuardLimitFlag,
  1)
))</f>
        <v>3.3146335090519063E-2</v>
      </c>
      <c r="PC41" s="209">
        <f t="shared" si="43"/>
        <v>0.95537641087228553</v>
      </c>
      <c r="PD41" s="209">
        <f t="shared" si="44"/>
        <v>1.1477254037195453E-2</v>
      </c>
      <c r="PE41" s="208">
        <f t="shared" si="122"/>
        <v>460428473</v>
      </c>
      <c r="PF41" s="209">
        <f t="shared" si="123"/>
        <v>0.11718377534955829</v>
      </c>
      <c r="PG41" s="209">
        <f t="shared" si="45"/>
        <v>0.12422912645749622</v>
      </c>
      <c r="PH41" s="209">
        <f t="shared" si="46"/>
        <v>0.87805855412370892</v>
      </c>
      <c r="PI41" s="209">
        <f t="shared" si="47"/>
        <v>0</v>
      </c>
      <c r="PJ41" s="220">
        <f t="shared" si="48"/>
        <v>4.0288975868430008E-7</v>
      </c>
      <c r="PK41" s="220">
        <f t="shared" si="49"/>
        <v>2.5451027080499056E-10</v>
      </c>
      <c r="PL41" s="221">
        <f t="shared" si="124"/>
        <v>220367000</v>
      </c>
      <c r="PM41" s="221">
        <f t="shared" si="50"/>
        <v>0</v>
      </c>
      <c r="PN41" s="221">
        <f t="shared" si="125"/>
        <v>1322202000</v>
      </c>
      <c r="PO41" s="221">
        <f t="shared" si="51"/>
        <v>0</v>
      </c>
      <c r="PP41" s="221">
        <f t="shared" si="52"/>
        <v>1101835000</v>
      </c>
      <c r="PQ41" s="529">
        <f t="shared" si="126"/>
        <v>0</v>
      </c>
      <c r="PR41" s="221">
        <f t="shared" si="53"/>
        <v>0</v>
      </c>
      <c r="PS41" s="221">
        <f t="shared" si="54"/>
        <v>387075145</v>
      </c>
      <c r="PT41" s="221">
        <f t="shared" si="127"/>
        <v>21504000</v>
      </c>
      <c r="PU41" s="221">
        <f t="shared" si="55"/>
        <v>0</v>
      </c>
      <c r="PV41" s="221">
        <f t="shared" si="128"/>
        <v>661101000</v>
      </c>
      <c r="PW41" s="221">
        <f t="shared" si="56"/>
        <v>86003000</v>
      </c>
      <c r="PX41" s="221">
        <f t="shared" si="162"/>
        <v>0</v>
      </c>
      <c r="PY41" s="221">
        <f t="shared" si="57"/>
        <v>129027373</v>
      </c>
      <c r="PZ41" s="221">
        <f t="shared" si="58"/>
        <v>0</v>
      </c>
      <c r="QA41" s="221">
        <f t="shared" si="59"/>
        <v>0</v>
      </c>
      <c r="QB41" s="221">
        <f t="shared" si="60"/>
        <v>5362041</v>
      </c>
      <c r="QC41" s="221">
        <f t="shared" si="61"/>
        <v>8</v>
      </c>
      <c r="QD41" s="221">
        <f t="shared" si="129"/>
        <v>2719670000</v>
      </c>
      <c r="QE41" s="221">
        <f t="shared" si="130"/>
        <v>3085138000</v>
      </c>
      <c r="QF41" s="221">
        <f t="shared" si="131"/>
        <v>220367000</v>
      </c>
      <c r="QG41" s="222">
        <f t="shared" si="62"/>
        <v>0</v>
      </c>
      <c r="QH41" s="222">
        <f t="shared" si="63"/>
        <v>1085738001</v>
      </c>
      <c r="QI41" s="222">
        <f t="shared" si="64"/>
        <v>521367032</v>
      </c>
      <c r="QJ41" s="222">
        <f t="shared" si="65"/>
        <v>400468373</v>
      </c>
      <c r="QK41" s="222">
        <f t="shared" si="66"/>
        <v>37627017</v>
      </c>
      <c r="QL41" s="222">
        <f t="shared" si="132"/>
        <v>0</v>
      </c>
      <c r="QM41" s="222">
        <f>IF(OR($O$8="Lv2",$O$8="Lv3",$O$8="Lv4"),IF(OR($AS41="",COUNT($PL41:$QL41)=0),"",
GuardLimitLower(
  $AS41-SUM($PL41:$QL41),
  data_GuardLimitFlag,
  0)
),"")</f>
        <v>1491731347</v>
      </c>
      <c r="QN41" s="222">
        <f t="shared" si="133"/>
        <v>13496583337</v>
      </c>
      <c r="QO41" s="222">
        <f t="shared" si="134"/>
        <v>68453632000</v>
      </c>
      <c r="QP41" s="222">
        <f t="shared" si="135"/>
        <v>0</v>
      </c>
      <c r="QQ41" s="222">
        <f t="shared" si="136"/>
        <v>0</v>
      </c>
      <c r="QR41" s="222">
        <f t="shared" si="67"/>
        <v>2.378164505105218</v>
      </c>
      <c r="QS41" s="209">
        <f t="shared" si="68"/>
        <v>3.6586683084929669E-2</v>
      </c>
      <c r="QT41" s="209">
        <f t="shared" si="69"/>
        <v>0.73801075383016534</v>
      </c>
      <c r="QU41" s="209">
        <f t="shared" si="70"/>
        <v>0.22540256308490503</v>
      </c>
      <c r="QV41" s="208">
        <f t="shared" si="71"/>
        <v>16307661283</v>
      </c>
      <c r="QW41" s="208">
        <f t="shared" si="72"/>
        <v>553630000</v>
      </c>
      <c r="QX41" s="208">
        <f t="shared" si="73"/>
        <v>257994001</v>
      </c>
      <c r="QY41" s="208">
        <f t="shared" si="74"/>
        <v>827734000</v>
      </c>
      <c r="QZ41" s="208">
        <f t="shared" si="75"/>
        <v>0</v>
      </c>
      <c r="RA41" s="209">
        <f t="shared" si="137"/>
        <v>0.99999889469129344</v>
      </c>
      <c r="RB41" s="209">
        <f t="shared" si="76"/>
        <v>3.6037956984932742E-2</v>
      </c>
      <c r="RC41" s="209">
        <f t="shared" si="77"/>
        <v>0.52015458154643412</v>
      </c>
      <c r="RD41" s="209">
        <f t="shared" si="78"/>
        <v>0</v>
      </c>
      <c r="RE41" s="209">
        <f t="shared" si="79"/>
        <v>0</v>
      </c>
      <c r="RF41" s="209">
        <f t="shared" si="80"/>
        <v>0.2907830533206367</v>
      </c>
      <c r="RG41" s="209">
        <f t="shared" si="81"/>
        <v>0</v>
      </c>
      <c r="RH41" s="209">
        <f t="shared" si="82"/>
        <v>0</v>
      </c>
      <c r="RI41" s="209">
        <f t="shared" si="83"/>
        <v>0.18906236513292915</v>
      </c>
      <c r="RJ41" s="134"/>
      <c r="RK41" s="134"/>
      <c r="RL41" s="134"/>
      <c r="RM41" s="134"/>
      <c r="RN41" s="134"/>
      <c r="RO41" s="134"/>
      <c r="RP41" s="134"/>
      <c r="RQ41" s="134"/>
      <c r="RR41" s="222">
        <f t="shared" si="84"/>
        <v>1.7552028957723915</v>
      </c>
      <c r="RS41" s="224"/>
      <c r="RT41" s="224"/>
      <c r="RU41" s="208">
        <f t="shared" si="138"/>
        <v>28.784229119999999</v>
      </c>
      <c r="RV41" s="208">
        <f t="shared" si="139"/>
        <v>1</v>
      </c>
      <c r="RW41" s="208">
        <f t="shared" si="140"/>
        <v>0.99997280705279734</v>
      </c>
      <c r="RX41" s="208">
        <f t="shared" si="141"/>
        <v>0.99989936852726546</v>
      </c>
      <c r="RY41" s="208">
        <f t="shared" si="142"/>
        <v>1.0000263209859219</v>
      </c>
      <c r="RZ41" s="208">
        <f t="shared" si="85"/>
        <v>0.99985068694648827</v>
      </c>
      <c r="SA41" s="208">
        <f t="shared" si="86"/>
        <v>0.99999902318291567</v>
      </c>
      <c r="SB41" s="208">
        <f t="shared" si="87"/>
        <v>0.99979653021886306</v>
      </c>
      <c r="SC41" s="208">
        <f t="shared" si="88"/>
        <v>0.99996663752049852</v>
      </c>
      <c r="SD41" s="208">
        <f t="shared" si="89"/>
        <v>0.99972411765367764</v>
      </c>
      <c r="SE41" s="208">
        <f t="shared" si="90"/>
        <v>1.0001547653973808</v>
      </c>
      <c r="SF41" s="208">
        <f t="shared" si="91"/>
        <v>0.99984740434396735</v>
      </c>
      <c r="SG41" s="208">
        <f t="shared" si="92"/>
        <v>1.0002687257640235</v>
      </c>
      <c r="SH41" s="208">
        <f t="shared" si="93"/>
        <v>0.99982787049734367</v>
      </c>
      <c r="SI41" s="208">
        <f t="shared" si="94"/>
        <v>1.0000015464020209</v>
      </c>
      <c r="SJ41" s="208">
        <f t="shared" si="95"/>
        <v>1.0001711239607669</v>
      </c>
      <c r="SK41" s="208">
        <f t="shared" si="96"/>
        <v>1.0000750120416211</v>
      </c>
      <c r="SL41" s="208">
        <f t="shared" si="97"/>
        <v>0.99983199570467862</v>
      </c>
      <c r="SM41" s="222">
        <f t="shared" si="143"/>
        <v>1</v>
      </c>
      <c r="SN41" s="225">
        <f t="shared" si="98"/>
        <v>28.784229119999999</v>
      </c>
      <c r="SO41" s="209">
        <f>IF(OR($OI41="",$OC41="",COUNT($OI$30:$OI$41)=0),"",IF(MAX($OI$30:$OI$41)=0,0,($OI41-$OC41)/MAX($OI$30:$OI$41)))</f>
        <v>1</v>
      </c>
      <c r="SP41" s="209">
        <f>IF(OR($NH41="",COUNT($NH$30:$NH$41)=0),"",IF(MAX($NH$30:$NH$41)=0,0,$NH41/MAX($NH$30:$NH$41)))</f>
        <v>0.99999963086967747</v>
      </c>
      <c r="SQ41" s="222">
        <f t="shared" si="146"/>
        <v>63325059515</v>
      </c>
      <c r="SR41" s="222">
        <f t="shared" si="147"/>
        <v>63323337520</v>
      </c>
      <c r="SS41" s="222">
        <f t="shared" si="148"/>
        <v>63318687021</v>
      </c>
      <c r="ST41" s="222">
        <f t="shared" si="149"/>
        <v>63326726293</v>
      </c>
      <c r="SU41" s="222">
        <f t="shared" si="150"/>
        <v>63315604257</v>
      </c>
      <c r="SV41" s="222">
        <f t="shared" si="151"/>
        <v>63324997658</v>
      </c>
      <c r="SW41" s="222">
        <f t="shared" si="152"/>
        <v>63312174779</v>
      </c>
      <c r="SX41" s="222">
        <f t="shared" si="153"/>
        <v>63322946834</v>
      </c>
      <c r="SY41" s="222">
        <f t="shared" si="154"/>
        <v>63307589249</v>
      </c>
      <c r="SZ41" s="222">
        <f t="shared" si="155"/>
        <v>63334860043</v>
      </c>
      <c r="TA41" s="222">
        <f t="shared" si="156"/>
        <v>63315396386</v>
      </c>
      <c r="TB41" s="222">
        <f t="shared" si="157"/>
        <v>63342076590</v>
      </c>
      <c r="TC41" s="222">
        <f t="shared" si="99"/>
        <v>63314159404</v>
      </c>
      <c r="TD41" s="222">
        <f t="shared" si="158"/>
        <v>63325157441</v>
      </c>
      <c r="TE41" s="222">
        <f t="shared" si="159"/>
        <v>63335895950</v>
      </c>
      <c r="TF41" s="222">
        <f t="shared" si="160"/>
        <v>63329809657</v>
      </c>
      <c r="TG41" s="222">
        <f t="shared" si="161"/>
        <v>63314420633</v>
      </c>
      <c r="TQ41" s="298"/>
      <c r="TR41" s="406" t="s">
        <v>460</v>
      </c>
      <c r="TS41" s="407" t="s">
        <v>825</v>
      </c>
      <c r="TT41" s="407" t="s">
        <v>1481</v>
      </c>
      <c r="TU41" s="407" t="s">
        <v>1483</v>
      </c>
      <c r="TV41" s="407" t="s">
        <v>1484</v>
      </c>
      <c r="TW41" s="407" t="s">
        <v>1485</v>
      </c>
      <c r="TX41" s="407" t="s">
        <v>1486</v>
      </c>
      <c r="TY41" s="407" t="s">
        <v>1487</v>
      </c>
      <c r="TZ41" s="407" t="s">
        <v>1488</v>
      </c>
      <c r="UA41" s="407" t="s">
        <v>1489</v>
      </c>
      <c r="UC41" s="298"/>
      <c r="UD41" s="408" t="s">
        <v>461</v>
      </c>
      <c r="UE41" s="292" t="s">
        <v>1482</v>
      </c>
      <c r="UF41" s="292" t="s">
        <v>1500</v>
      </c>
      <c r="UG41" s="292" t="s">
        <v>1501</v>
      </c>
      <c r="UH41" s="292" t="s">
        <v>1502</v>
      </c>
      <c r="UI41" s="292" t="s">
        <v>1503</v>
      </c>
      <c r="UJ41" s="292" t="s">
        <v>1499</v>
      </c>
      <c r="UK41" s="292" t="s">
        <v>858</v>
      </c>
      <c r="UL41" s="292" t="s">
        <v>859</v>
      </c>
      <c r="UM41" s="292" t="s">
        <v>1490</v>
      </c>
      <c r="UN41" s="292" t="s">
        <v>1491</v>
      </c>
      <c r="UO41" s="292" t="s">
        <v>1492</v>
      </c>
      <c r="UP41" s="292" t="s">
        <v>1493</v>
      </c>
      <c r="UQ41" s="292" t="s">
        <v>1494</v>
      </c>
      <c r="UR41" s="292" t="s">
        <v>1495</v>
      </c>
      <c r="US41" s="292" t="s">
        <v>1496</v>
      </c>
      <c r="UT41" s="292" t="s">
        <v>1497</v>
      </c>
      <c r="UU41" s="292" t="s">
        <v>1498</v>
      </c>
      <c r="UV41" s="292" t="s">
        <v>860</v>
      </c>
      <c r="UW41" s="292" t="s">
        <v>861</v>
      </c>
      <c r="UX41" s="292" t="s">
        <v>862</v>
      </c>
      <c r="UZ41" s="254"/>
      <c r="VK41" s="2"/>
      <c r="WC41" s="239"/>
      <c r="WD41" s="239"/>
      <c r="WE41" s="239"/>
      <c r="WF41" s="239"/>
      <c r="WG41" s="239"/>
      <c r="WH41" s="239"/>
      <c r="WI41" s="239"/>
      <c r="WJ41" s="239"/>
      <c r="WK41" s="239"/>
      <c r="WL41" s="239"/>
      <c r="WM41" s="239"/>
      <c r="WN41" s="239"/>
      <c r="WO41" s="239"/>
      <c r="WP41" s="239"/>
      <c r="WQ41" s="239"/>
      <c r="WR41" s="239"/>
      <c r="WS41" s="239"/>
    </row>
    <row r="42" spans="28:617" x14ac:dyDescent="0.25">
      <c r="MC42" s="252" t="s">
        <v>1188</v>
      </c>
      <c r="MD42" s="371"/>
      <c r="ME42" s="372"/>
      <c r="MF42" s="372"/>
      <c r="MG42" s="372"/>
      <c r="MH42" s="372"/>
      <c r="MI42" s="372"/>
      <c r="MJ42" s="372"/>
      <c r="MK42" s="372"/>
      <c r="ML42" s="372"/>
      <c r="MM42" s="372"/>
      <c r="MN42" s="372"/>
      <c r="MO42" s="372"/>
      <c r="MP42" s="372"/>
      <c r="MQ42" s="372"/>
      <c r="MR42" s="372"/>
      <c r="MS42" s="372"/>
      <c r="MT42" s="373"/>
      <c r="NA42" s="232"/>
      <c r="NB42" s="425" t="str">
        <f>IF(OR(COUNTA($NA30:$NB41)=0,$G$11=""),"","CMG " &amp; $G$11 &amp; " total")</f>
        <v>CMG 0 total</v>
      </c>
      <c r="NC42" s="226">
        <f>IF(COUNT(NC30:NC41)=0,"",AVERAGE(NC30:NC41))</f>
        <v>28.749977893333334</v>
      </c>
      <c r="ND42" s="226">
        <f>IF(OR(COUNT(NI30:NI41)=0,,$NC$42=""),"",IF($NC$42=0,0,SUM(NI30:NI41)/10^9/$NC$42))</f>
        <v>28.571972717602673</v>
      </c>
      <c r="NE42" s="227">
        <f>IF(COUNT(NE30:NE41)=0,"",AVERAGE(NE30:NE41))</f>
        <v>3.3821170568625346E-2</v>
      </c>
      <c r="NF42" s="226">
        <f>IF(OR(COUNT($AO30:$AO41)=0,COUNT($AQ30:$AQ41)=0,COUNT($AR30:$AR41)=0,COUNT($AP30:$AP41)=0,$C$7="",$NC$42=""),"",IF($NC$42=0,0,(SUM($AO30:$AO41)-SUM($AQ30:$AQ41)-SUM($AR30:$AR41)+SUM($AP30:$AP41))*$C$7/$NC$42/10^9))</f>
        <v>71.668878709148245</v>
      </c>
      <c r="NG42" s="227">
        <f>IF(NF$42="","",NF$42/256)</f>
        <v>0.27995655745761033</v>
      </c>
      <c r="NH42" s="226">
        <f>IF(COUNT(NH30:NH41)=0,"",SUM(NH30:NH41))</f>
        <v>161959022534</v>
      </c>
      <c r="NI42" s="226">
        <f>IF(COUNT(NI30:NI41)=0,"",SUM(NI30:NI41))</f>
        <v>821443584000</v>
      </c>
      <c r="NJ42" s="228">
        <f>IF(OR(COUNT($AT30:$AT41)=0,COUNT($AS30:$AS41)=0),"",IF(SUM($AS30:$AS41)=0,0,SUM($AT30:$AT41)/SUM($AS30:$AS41)))</f>
        <v>0.80523472263252283</v>
      </c>
      <c r="NK42" s="229">
        <f>IF(OR(COUNT($AM30:$AM41)=0,$C$11="",COUNT($AN30:$AN41)=""),"",IF(SUM($AM30:$AM41)*$C$11+SUM($AN30:$AN41)=0,0,SUM($AM30:$AM41)*$C$11/(SUM($AM30:$AM41)*$C$11+SUM($AN30:$AN41))))</f>
        <v>0.9981155127020872</v>
      </c>
      <c r="NL42" s="229">
        <f>IF(OR(COUNT($CB30:$CB41)=0,COUNT($CD30:$CD41)=0,COUNT($CA30:$CA41)=0,COUNT($CC30:$CC41)=0),"",IF(SUM($CA30:$CA41)+SUM($CC30:$CC41)=0,0,
GuardLimitUpper(
  (SUM($CB30:$CB41)+SUM($CD30:$CD41))/((SUM($CA30:$CA41)+SUM($CC30:$CC41))*16),
  data_GuardLimitFlag,
  1)
))</f>
        <v>1</v>
      </c>
      <c r="NM42" s="226">
        <f>IF(COUNT(NM30:NM41)=0,"",AVERAGE(NM30:NM41))</f>
        <v>0.21338596454765316</v>
      </c>
      <c r="NN42" s="226">
        <f>IF(OR(COUNT($AS30:$AS41)=0,$NC$42=""),"",IF($NC$42=0,0,SUM($AS30:$AS41)/10^9/$NC$42))</f>
        <v>5.6333616371773196</v>
      </c>
      <c r="NO42" s="215">
        <f>IF(COUNT(NO30:NO41)=0,"",AVERAGE(NO30:NO41))</f>
        <v>1.4832128486305679E-4</v>
      </c>
      <c r="NP42" s="215">
        <f>IF(COUNT(NP30:NP41)=0,"",AVERAGE(NP30:NP41))</f>
        <v>0</v>
      </c>
      <c r="NQ42" s="215">
        <f>IF(COUNT(NQ30:NQ41)=0,"",AVERAGE(NQ30:NQ41))</f>
        <v>0.19122764370733358</v>
      </c>
      <c r="NR42" s="215">
        <f t="shared" ref="NR42:OD42" si="163">IF(COUNT(NR30:NR41)=0,"",AVERAGE(NR30:NR41))</f>
        <v>6.2862268622118439E-2</v>
      </c>
      <c r="NS42" s="215">
        <f t="shared" si="163"/>
        <v>1.2935238504280468E-2</v>
      </c>
      <c r="NT42" s="215">
        <f>IF(COUNT(NT30:NT41)=0,"",AVERAGE(NT30:NT41))</f>
        <v>3.8647163137538599E-3</v>
      </c>
      <c r="NU42" s="215">
        <f t="shared" si="163"/>
        <v>7.1358983846152232E-2</v>
      </c>
      <c r="NV42" s="215">
        <f t="shared" si="163"/>
        <v>9.4061027080169719</v>
      </c>
      <c r="NW42" s="215">
        <f>IF(COUNT(NW30:NW41)=0,"",AVERAGE(NW30:NW41))</f>
        <v>2.2414093834759012</v>
      </c>
      <c r="NX42" s="215">
        <f t="shared" si="163"/>
        <v>11.535034537242703</v>
      </c>
      <c r="NY42" s="215">
        <f>IF(COUNT(NY30:NY41)=0,"",AVERAGE(NY30:NY41))</f>
        <v>2.5445087047302447E-3</v>
      </c>
      <c r="NZ42" s="215">
        <f>IF(COUNT(NZ30:NZ41)=0,"",AVERAGE(NZ30:NZ41))</f>
        <v>1.2110287872210634</v>
      </c>
      <c r="OA42" s="215">
        <f>IF(COUNT(OA30:OA41)=0,"",AVERAGE(OA30:OA41))</f>
        <v>0</v>
      </c>
      <c r="OB42" s="215">
        <f>IF(COUNT(OB30:OB41)=0,"",AVERAGE(OB30:OB41))</f>
        <v>6.5156459065322775E-2</v>
      </c>
      <c r="OC42" s="215">
        <f>IF(COUNT(OC30:OC41)=0,"",AVERAGE(OC30:OC41))</f>
        <v>0</v>
      </c>
      <c r="OD42" s="215">
        <f t="shared" si="163"/>
        <v>2.7986750364008404</v>
      </c>
      <c r="OE42" s="215">
        <f>IF(COUNT(OE30:OE41)=0,"",AVERAGE(OE30:OE41))</f>
        <v>0.54314730504669706</v>
      </c>
      <c r="OF42" s="215">
        <f>IF(COUNT(OF30:OF41)=0,"",AVERAGE(OF30:OF41))</f>
        <v>0.16820489675981884</v>
      </c>
      <c r="OG42" s="215">
        <f>IF(COUNT(OG30:OG41)=0,"",AVERAGE(OG30:OG41))</f>
        <v>0.43628591221844354</v>
      </c>
      <c r="OH42" s="215">
        <f>IF(COUNT(OH30:OH41)=0,"",AVERAGE(OH30:OH41))</f>
        <v>1.6996285956880145E-5</v>
      </c>
      <c r="OI42" s="215">
        <f>IF(COUNT(OI30:OI41)=0,"",AVERAGE(OI30:OI41))</f>
        <v>28.749977893333334</v>
      </c>
      <c r="OJ42" s="227">
        <f>IF(OR(COUNT($CA30:$CA41)=0,COUNT($BV30:$BV41)=0),"",IF(SUM($BV30:$BV41)=0,0,SUM($CA30:$CA41)/SUM($BV30:$BV41)))</f>
        <v>0.10989052446462048</v>
      </c>
      <c r="OK42" s="227">
        <f>IF(OR(COUNT($CC30:$CC41)=0,COUNT($BV30:$BV41)=0),"",IF(SUM($BV30:$BV41)=0,0,SUM($CC30:$CC41)/SUM($BV30:$BV41)))</f>
        <v>7.777628398426531E-2</v>
      </c>
      <c r="OL42" s="227">
        <f>IF(OR(COUNT($FO30:$FO41)=0,COUNT($FH30:$FH41)=0),"",IF(SUM($FH30:$FH41)=0,0,SUM($FO30:$FO41)/SUM($FH30:$FH41)))</f>
        <v>4.6762896942944337E-3</v>
      </c>
      <c r="OM42" s="227">
        <f>IF(OR(COUNT($FP30:$FP41)=0,COUNT($FH30:$FH41)=0),"",IF(SUM($FH30:$FH41)=0,0,SUM($FP30:$FP41)/SUM($FH30:$FH41)))</f>
        <v>1.2639647463618755E-2</v>
      </c>
      <c r="ON42" s="230">
        <f>IF(OR(COUNT($BW30:$BW41)=0,COUNT($BX30:$BX41)=0,COUNT($BV30:$BV41)=0),"",IF(SUM($BV30:$BV41)=0,0,(SUM($BW30:$BW41)+SUM($BX30:$BX41))/2/SUM($BV30:$BV41)))</f>
        <v>0.16804708008544911</v>
      </c>
      <c r="OO42" s="218">
        <f>IF(OR(COUNT($BY$30:$BY$41)=0,COUNT($BV$30:$BV$41)=0),"",IF(SUM($BV$30:$BV$41)=0,0,SUM($BY$30:$BY$41)/2/SUM($BV$30:$BV$41)))</f>
        <v>0.16738103147846711</v>
      </c>
      <c r="OP42" s="218">
        <f>IF($OK$25="","",IF(NG42="","",NG$42))</f>
        <v>0.27995655745761033</v>
      </c>
      <c r="OQ42" s="227">
        <f>IF(OR(COUNT($FM30:$FM41)=0,COUNT($FH30:$FH41)=0),"",IF(SUM($FH30:$FH41)=0,0,SUM($FM30:$FM41)/SUM($FH30:$FH41)))</f>
        <v>0.11193811882852486</v>
      </c>
      <c r="OR42" s="227">
        <f>IF(OR(COUNT($FN30:$FN41)=0,COUNT($FH30:$FH41)=0),"",IF(SUM($FH30:$FH41)=0,0,SUM($FN30:$FN41)/SUM($FH30:$FH41)))</f>
        <v>9.300760546501409E-2</v>
      </c>
      <c r="OS42" s="227">
        <f>IF(OR(COUNT(CB30:CB41)=0,COUNT(CA30:CA41)=0),"",IF(SUM($CA30:$CA41)=0,0,
GuardLimitUpper(
  SUM($CB30:$CB41)/(SUM($CA30:$CA41)*16),
  data_GuardLimitFlag,
  1)
))</f>
        <v>1</v>
      </c>
      <c r="OT42" s="227">
        <f>IF(OR(COUNT(CD30:CD41)=0,COUNT(CC30:CC41)=0),"",IF(SUM($CC30:$CC41)=0,0,
GuardLimitUpper(
  SUM($CD30:$CD41)/(SUM($CC30:$CC41)*16),
  data_GuardLimitFlag,
  1)
))</f>
        <v>0.94738209276174501</v>
      </c>
      <c r="OU42" s="227">
        <f>IF(COUNT(OU30:OU41)=0,"",AVERAGE(OU30:OU41))</f>
        <v>0.95357991041065171</v>
      </c>
      <c r="OV42" s="227">
        <f>IF(COUNT(OV30:OV41)=0,"",AVERAGE(OV30:OV41))</f>
        <v>0.91967808718837862</v>
      </c>
      <c r="OW42" s="227">
        <f>IF(OR(COUNT($BZ30:$BZ41)=0,COUNT($BV30:$BV41)=0),"",IF(SUM($BV30:$BV41)=0,0,SUM($BZ30:$BZ41)/SUM($BV30:$BV41)))</f>
        <v>1.48678853723655E-2</v>
      </c>
      <c r="OX42" s="227">
        <f>IF(OR(COUNT($GG30:$GG41)=0,COUNT($AS30:$AS41)=0),"",IF(SUM($AS30:$AS41)=0,0,SUM($GG30:$GG41)/SUM($AS30:$AS41)))</f>
        <v>3.2804594130497692E-8</v>
      </c>
      <c r="OY42" s="226">
        <f>IF(COUNT(OY30:OY41)=0,"",SUM(OY30:OY41))</f>
        <v>47149382924</v>
      </c>
      <c r="OZ42" s="226">
        <f>IF(COUNT(OZ30:OZ41)=0,"",SUM(OZ30:OZ41))</f>
        <v>5613182880</v>
      </c>
      <c r="PA42" s="227">
        <f>IF(OR($OZ$42="",$OY$42=""),"",IF($OY$42=0,0,$OZ$42/$OY$42))</f>
        <v>0.11905103591807084</v>
      </c>
      <c r="PB42" s="209">
        <f>IF(OR(COUNT($OZ30:$OZ41)=0,COUNT($CQ30:$CQ41)=0,$OZ$42=""),"",IF($OZ$42=0,0,
GuardLimitUpper(
  (SUM($OZ30:$OZ41)-SUM($CQ30:$CQ41))/$OZ$42,
  data_GuardLimitFlag,
  1)
))</f>
        <v>3.2350291961269574E-2</v>
      </c>
      <c r="PC42" s="209">
        <f>IF(OR(COUNT($GB30:$GB41)=0,$OZ$42=""),"",IF($OZ$42=0,0,
GuardLimitUpper(
  SUM($GB30:$GB41)/$OZ$42,
  data_GuardLimitFlag,
  1)
))</f>
        <v>0.95618195589593902</v>
      </c>
      <c r="PD42" s="209">
        <f>IF(OR(COUNT($CQ30:$CQ41)=0,COUNT($GB30:$GB41)=0,$OZ$42=""),"",IF($OZ$42=0,0,
GuardLimitUpper(
  (SUM($CQ30:$CQ41)-SUM($GB30:$GB41))/$OZ$42,
  data_GuardLimitFlag,
  1)
))</f>
        <v>1.14677521427914E-2</v>
      </c>
      <c r="PE42" s="226">
        <f>IF(COUNT(PE30:PE41)=0,"",SUM(PE30:PE41))</f>
        <v>5541702293</v>
      </c>
      <c r="PF42" s="227">
        <f>IF(OR($PE$42="",$OY$42=""),"",IF($OY$42=0,0,$PE$42/$OY$42))</f>
        <v>0.11753499090184615</v>
      </c>
      <c r="PG42" s="209">
        <f>IF($O$7="Lv2",  IF(OR(COUNT($CS30:$CS41)=0,COUNT($CO30:$CO41)=0,$PE$42=""),"",IF($PE$42=0,0,(SUM($CS30:$CS41)-SUM($CO30:$CO41))/$PE$42)),
                               IF(OR(COUNT($CS30:$CS41)=0,COUNT($CO30:$CO41)=0,COUNT($GH30:$GH41)=0,COUNT($GC30:$GC41)=0),"",IF(SUM($CS30:$CS41)-SUM($CO30:$CO41)+SUM($GC30:$GC41)-SUM($GH30:$GH41)=0,0,
GuardLimitUpper(
  GuardLimitLower(
  (SUM($CS30:$CS41)-SUM($CO30:$CO41))/(SUM($CS30:$CS41)-SUM($CO30:$CO41)+SUM($GC30:$GC41)-SUM($GH30:$GH41)),
    data_GuardLimitFlag,
    0),
  data_GuardLimitFlag,
  1)
)))</f>
        <v>0.12302732415477832</v>
      </c>
      <c r="PH42" s="209">
        <f>IF(OR(COUNT($GD30:$GD41)=0,COUNT($CS30:$CS41)=0,COUNT($CO30:$CO41)=0,COUNT($GC30:$GC41)=0,COUNT($GH30:$GH41)=0),"",IF(SUM($CS30:$CS41)-SUM($CO30:$CO41)+SUM($GC30:$GC41)-SUM($GH30:$GH41)=0,0,
GuardLimitUpper(
  SUM($GD30:$GD41)/(SUM($CS30:$CS41)-SUM($CO30:$CO41)+SUM($GC30:$GC41)-SUM($GH30:$GH41)),
  data_GuardLimitFlag,
  1)
))</f>
        <v>0.87873106124559386</v>
      </c>
      <c r="PI42" s="209">
        <f>IF(OR(COUNT($GD30:$GD41)=0,COUNT($CS30:$CS41)=0,COUNT($CO30:$CO41)=0,COUNT($GC30:$GC41)=0,COUNT($GH30:$GH41)=0),"",IF(SUM($CS30:$CS41)-SUM($CO30:$CO41)+SUM($GC30:$GC41)-SUM($GH30:$GH41)=0,0,
GuardLimitUpper(
  GuardLimitLower(
  (SUM($GC30:$GC41)-SUM($GH30:$GH41)-SUM($GD30:$GD41))/(SUM($CS30:$CS41)-SUM($CO30:$CO41)+SUM($GC30:$GC41)-SUM($GH30:$GH41)),
    data_GuardLimitFlag,
    0),
  data_GuardLimitFlag,
  1)
))</f>
        <v>0</v>
      </c>
      <c r="PJ42" s="231">
        <f>IF(OR(COUNT($GE30:$GE41)=0,$OY$42=""),"",IF($OY$42=0,0,SUM($GE30:$GE41)/$OY$42))</f>
        <v>4.2104474690579514E-7</v>
      </c>
      <c r="PK42" s="231">
        <f>IF(OR(COUNT($GF30:$GF41)=0,$OY$42=""),"",IF($OY$42=0,0,SUM($GF30:$GF41)/$OY$42))</f>
        <v>4.8781126228255529E-10</v>
      </c>
      <c r="PL42" s="226">
        <f>IF(COUNT(PL30:PL41)=0,"",SUM(PL30:PL41))</f>
        <v>2644404000</v>
      </c>
      <c r="PM42" s="226">
        <f>IF(COUNT(PM30:PM41)=0,"",SUM(PM30:PM41))</f>
        <v>0</v>
      </c>
      <c r="PN42" s="226">
        <f>IF(COUNT(PN30:PN41)=0,"",SUM(PN30:PN41))</f>
        <v>15866424000</v>
      </c>
      <c r="PO42" s="226">
        <f t="shared" ref="PO42:QL42" si="164">IF(COUNT(PO30:PO41)=0,"",SUM(PO30:PO41))</f>
        <v>0</v>
      </c>
      <c r="PP42" s="226">
        <f>IF(COUNT(PP30:PP41)=0,"",SUM(PP30:PP41))</f>
        <v>13222020000</v>
      </c>
      <c r="PQ42" s="226">
        <f>IF(COUNT(PQ30:PQ41)=0,"",SUM(PQ30:PQ41))</f>
        <v>0</v>
      </c>
      <c r="PR42" s="226">
        <f t="shared" si="164"/>
        <v>0</v>
      </c>
      <c r="PS42" s="226">
        <f>IF(COUNT(PS30:PS41)=0,"",SUM(PS30:PS41))</f>
        <v>4644908345</v>
      </c>
      <c r="PT42" s="226">
        <f>IF(COUNT(PT30:PT41)=0,"",SUM(PT30:PT41))</f>
        <v>258048000</v>
      </c>
      <c r="PU42" s="226">
        <f t="shared" si="164"/>
        <v>0</v>
      </c>
      <c r="PV42" s="226">
        <f>IF(COUNT(PV30:PV41)=0,"",SUM(PV30:PV41))</f>
        <v>7933212000</v>
      </c>
      <c r="PW42" s="226">
        <f>IF(COUNT(PW30:PW41)=0,"",SUM(PW30:PW41))</f>
        <v>1032036000</v>
      </c>
      <c r="PX42" s="226">
        <f>IF(COUNT(PX30:PX41)=0,"",SUM(PX30:PX41))</f>
        <v>0</v>
      </c>
      <c r="PY42" s="226">
        <f>IF(COUNT(PY30:PY41)=0,"",SUM(PY30:PY41))</f>
        <v>1548330579</v>
      </c>
      <c r="PZ42" s="226">
        <f>IF(COUNT(PZ30:PZ41)=0,"",SUM(PZ30:PZ41))</f>
        <v>0</v>
      </c>
      <c r="QA42" s="226">
        <f t="shared" si="164"/>
        <v>0</v>
      </c>
      <c r="QB42" s="226">
        <f>IF(COUNT(QB30:QB41)=0,"",SUM(QB30:QB41))</f>
        <v>64344493</v>
      </c>
      <c r="QC42" s="226">
        <f t="shared" si="164"/>
        <v>96</v>
      </c>
      <c r="QD42" s="226">
        <f t="shared" si="164"/>
        <v>32636040000</v>
      </c>
      <c r="QE42" s="226">
        <f t="shared" si="164"/>
        <v>37021656000</v>
      </c>
      <c r="QF42" s="226">
        <f>IF(COUNT(QF30:QF41)=0,"",SUM(QF30:QF41))</f>
        <v>2644404000</v>
      </c>
      <c r="QG42" s="226">
        <f t="shared" si="164"/>
        <v>0</v>
      </c>
      <c r="QH42" s="226">
        <f>IF(COUNT(QH30:QH41)=0,"",SUM(QH30:QH41))</f>
        <v>13028856068</v>
      </c>
      <c r="QI42" s="226">
        <f t="shared" si="164"/>
        <v>6256404384</v>
      </c>
      <c r="QJ42" s="226">
        <f t="shared" si="164"/>
        <v>4805621337</v>
      </c>
      <c r="QK42" s="226">
        <f t="shared" si="164"/>
        <v>451524204</v>
      </c>
      <c r="QL42" s="226">
        <f t="shared" si="164"/>
        <v>0</v>
      </c>
      <c r="QM42" s="226">
        <f>IF(COUNT(QM30:QM41)=0,"",SUM(QM30:QM41))</f>
        <v>17900789028</v>
      </c>
      <c r="QN42" s="226">
        <f>IF(COUNT(QN30:QN41)=0,"",SUM(QN30:QN41))</f>
        <v>161959022534</v>
      </c>
      <c r="QO42" s="226">
        <f>IF(OR(COUNT($EU30:$EU41)=0,$C$11="",COUNT($EW30:$EW41)=0,COUNT($AM30:$AM41)=0,COUNT($AN30:$AN41)=0),"",
    SUM($EU30:$EU41)*$C$11+SUM($EW30:$EW41))</f>
        <v>821443584000</v>
      </c>
      <c r="QP42" s="226">
        <f>IF(OR(COUNT($EV30:$EV41)=0,$C$11="",COUNT($EX30:$EX41)=0,COUNT($AM30:$AM41)=0,COUNT($AN30:$AN41)=0),"", SUM($EV30:$EV41)*$C$11+SUM($EX30:$EX41))</f>
        <v>0</v>
      </c>
      <c r="QQ42" s="226">
        <f>IF(OR(COUNT($AM30:$AM41)=0,COUNT($EV30:$EV41)=0,COUNT($EU30:$EU41)=0,$C$11="",COUNT($AN30:$AN41)=0,COUNT($EX30:$EX41)=0,COUNT($EW30:$EW41)=0),"", (SUM($AM30:$AM41)-SUM($EV30:$EV41)-SUM($EU30:$EU41))*$C$11+(SUM($AN30:$AN41)-SUM($EX30:$EX41)-SUM($EW30:$EW41))
     )</f>
        <v>0</v>
      </c>
      <c r="QR42" s="226">
        <f>IF(OR(COUNT($AM30:$AM41)=0,$C$11="",COUNT($AN30:$AN41)=0,COUNT($CB30:$CB41)=0,COUNT($CD30:$CD41)=0,COUNT($CA30:$CA41)=0,COUNT($CC30:$CC41)=0,$NC$42=""),"",
   IF(OR(SUM($CA30:$CA41)+SUM($CC30:$CC41)=0,$NC$42=0),0,
     (SUM($AM30:$AM41)*$C$11+SUM($AN30:$AN41))*
GuardLimitUpper(
  (SUM($CB30:$CB41)+SUM($CD30:$CD41))/((SUM($CA30:$CA41)+SUM($CC30:$CC41))*$C$17),
  data_GuardLimitFlag,
  1)
/10^9/$NC$42 ))</f>
        <v>28.571972717602673</v>
      </c>
      <c r="QS42" s="227">
        <f>IF(COUNT(QS30:QS41)=0,"",AVERAGE(QS30:QS41))</f>
        <v>3.6586655221447655E-2</v>
      </c>
      <c r="QT42" s="227">
        <f>IF(COUNT(QT30:QT41)=0,"",AVERAGE(QT30:QT41))</f>
        <v>0.73801063951677393</v>
      </c>
      <c r="QU42" s="227">
        <f>IF(COUNT(QU30:QU41)=0,"",AVERAGE(QU30:QU41))</f>
        <v>0.2254027052617785</v>
      </c>
      <c r="QV42" s="226">
        <f>IF(COUNT(QV30:QV41)=0,"",SUM(QV30:QV41))</f>
        <v>195691961121</v>
      </c>
      <c r="QW42" s="226">
        <f>IF(COUNT(QW30:QW41)=0,"",SUM(QW30:QW41))</f>
        <v>6643560000</v>
      </c>
      <c r="QX42" s="226">
        <f>IF(COUNT(QX30:QX41)=0,"",SUM(QX30:QX41))</f>
        <v>3095928060</v>
      </c>
      <c r="QY42" s="226">
        <f>IF(COUNT(QY30:QY41)=0,"",SUM(QY30:QY41))</f>
        <v>9932808000</v>
      </c>
      <c r="QZ42" s="226">
        <f>IF(COUNT(QZ30:QZ41)=0,"",SUM(QZ30:QZ41))</f>
        <v>0</v>
      </c>
      <c r="RA42" s="227">
        <f>IF(COUNT(RA30:RA41)=0,"",AVERAGE(RA30:RA41))</f>
        <v>0.99999889146187415</v>
      </c>
      <c r="RB42" s="227">
        <f>IF(COUNT(RB30:RB41)=0,"",AVERAGE(RB30:RB41))</f>
        <v>3.5959930835234875E-2</v>
      </c>
      <c r="RC42" s="209">
        <f>IF(COUNT(RC30:RC41)=0,"",AVERAGE(RC30:RC41))</f>
        <v>0.51987771420349216</v>
      </c>
      <c r="RD42" s="209">
        <f t="shared" ref="RD42:RI42" si="165">IF(COUNT(RD30:RD41)=0,"",AVERAGE(RD30:RD41))</f>
        <v>0</v>
      </c>
      <c r="RE42" s="209">
        <f t="shared" si="165"/>
        <v>0</v>
      </c>
      <c r="RF42" s="209">
        <f t="shared" si="165"/>
        <v>0.29133258176801513</v>
      </c>
      <c r="RG42" s="209">
        <f t="shared" si="165"/>
        <v>0</v>
      </c>
      <c r="RH42" s="209">
        <f t="shared" si="165"/>
        <v>0</v>
      </c>
      <c r="RI42" s="209">
        <f t="shared" si="165"/>
        <v>0.18878970402849268</v>
      </c>
      <c r="RJ42" s="134"/>
      <c r="RK42" s="134"/>
      <c r="RL42" s="134"/>
      <c r="RM42" s="134"/>
      <c r="RN42" s="134"/>
      <c r="RO42" s="134"/>
      <c r="RP42" s="134"/>
      <c r="RQ42" s="134"/>
      <c r="RR42" s="222">
        <f>IF(COUNT(RR30:RR41)=0,"",SUM(RR30:RR41))</f>
        <v>21.061871724369617</v>
      </c>
      <c r="RS42" s="222">
        <f>IF(OR(COUNT($FK30:$FK41)=0,$NC$42=""),"",IF($NC$42=0,0,AVERAGE($FK30:$FK41)*32/10^9/$NC$42))</f>
        <v>2.0992464077683683</v>
      </c>
      <c r="RT42" s="222">
        <f>IF(OR(COUNT($FL30:$FL41)=0,$NC$42=""),"",IF($NC$42=0,0,AVERAGE($FL30:$FL41)*256/10^9/$NC$42))</f>
        <v>5.9431564470508471</v>
      </c>
      <c r="RU42" s="134"/>
      <c r="RV42" s="134"/>
      <c r="RW42" s="134"/>
      <c r="RX42" s="134"/>
      <c r="RY42" s="134"/>
      <c r="RZ42" s="134"/>
      <c r="SA42" s="134"/>
      <c r="SB42" s="134"/>
      <c r="SC42" s="134"/>
      <c r="SD42" s="134"/>
      <c r="SE42" s="134"/>
      <c r="SF42" s="134"/>
      <c r="SG42" s="134"/>
      <c r="SH42" s="134"/>
      <c r="SI42" s="134"/>
      <c r="SJ42" s="134"/>
      <c r="SK42" s="134"/>
      <c r="SL42" s="134"/>
      <c r="SM42" s="134"/>
      <c r="SN42" s="134"/>
      <c r="SO42" s="134"/>
      <c r="SP42" s="134"/>
      <c r="SQ42" s="134"/>
      <c r="SR42" s="134"/>
      <c r="SS42" s="134"/>
      <c r="ST42" s="134"/>
      <c r="SU42" s="134"/>
      <c r="SV42" s="134"/>
      <c r="SW42" s="134"/>
      <c r="SX42" s="134"/>
      <c r="SY42" s="134"/>
      <c r="SZ42" s="134"/>
      <c r="TA42" s="134"/>
      <c r="TB42" s="134"/>
      <c r="TC42" s="134"/>
      <c r="TD42" s="134"/>
      <c r="TE42" s="134"/>
      <c r="TF42" s="134"/>
      <c r="TG42" s="134"/>
      <c r="TQ42" s="409"/>
      <c r="TR42" s="409"/>
      <c r="TS42" s="410"/>
      <c r="TT42" s="410"/>
      <c r="TU42" s="410"/>
      <c r="TV42" s="410"/>
      <c r="TW42" s="410"/>
      <c r="TX42" s="410"/>
      <c r="TY42" s="410"/>
      <c r="TZ42" s="410"/>
      <c r="UA42" s="410"/>
      <c r="UB42" s="254" t="s">
        <v>462</v>
      </c>
      <c r="UC42" s="411"/>
      <c r="UD42" s="411"/>
      <c r="UE42" s="410"/>
      <c r="UF42" s="412"/>
      <c r="UG42" s="410"/>
      <c r="UH42" s="410"/>
      <c r="UI42" s="410"/>
      <c r="UJ42" s="410"/>
      <c r="UK42" s="410"/>
      <c r="UL42" s="410"/>
      <c r="UM42" s="410"/>
      <c r="UN42" s="410"/>
      <c r="UO42" s="410"/>
      <c r="UP42" s="410"/>
      <c r="UQ42" s="410"/>
      <c r="UR42" s="410"/>
      <c r="US42" s="410"/>
      <c r="UT42" s="410"/>
      <c r="UU42" s="410"/>
      <c r="UV42" s="410"/>
      <c r="UW42" s="410"/>
      <c r="UX42" s="410"/>
      <c r="UY42" s="254" t="s">
        <v>462</v>
      </c>
      <c r="UZ42" s="254"/>
      <c r="VA42" s="415"/>
      <c r="VK42" s="2"/>
    </row>
    <row r="43" spans="28:617" x14ac:dyDescent="0.25">
      <c r="MC43" s="252" t="s">
        <v>1189</v>
      </c>
      <c r="MD43" s="371"/>
      <c r="ME43" s="372"/>
      <c r="MF43" s="372"/>
      <c r="MG43" s="372"/>
      <c r="MH43" s="372"/>
      <c r="MI43" s="372"/>
      <c r="MJ43" s="372"/>
      <c r="MK43" s="372"/>
      <c r="ML43" s="372"/>
      <c r="MM43" s="372"/>
      <c r="MN43" s="372"/>
      <c r="MO43" s="372"/>
      <c r="MP43" s="372"/>
      <c r="MQ43" s="372"/>
      <c r="MR43" s="372"/>
      <c r="MS43" s="372"/>
      <c r="MT43" s="373"/>
      <c r="NG43" s="233"/>
      <c r="NH43" s="232"/>
      <c r="NI43" s="232"/>
      <c r="NJ43" s="232"/>
      <c r="NK43" s="232"/>
      <c r="NL43" s="232"/>
      <c r="NM43" s="232"/>
      <c r="NN43" s="232"/>
      <c r="NO43" s="232"/>
      <c r="NP43" s="232"/>
      <c r="NQ43" s="232"/>
      <c r="NR43" s="232"/>
      <c r="NS43" s="232"/>
      <c r="NT43" s="232"/>
      <c r="NU43" s="232"/>
      <c r="NV43" s="232"/>
      <c r="NW43" s="232"/>
      <c r="NX43" s="232"/>
      <c r="NY43" s="232"/>
      <c r="NZ43" s="232"/>
      <c r="OA43" s="232"/>
      <c r="OB43" s="232"/>
      <c r="OC43" s="232"/>
      <c r="OD43" s="232"/>
      <c r="OE43" s="232"/>
      <c r="OF43" s="232"/>
      <c r="OG43" s="232"/>
      <c r="OH43" s="232"/>
      <c r="OI43" s="232"/>
      <c r="OO43" s="232"/>
      <c r="OP43" s="232"/>
      <c r="OQ43" s="232"/>
      <c r="OR43" s="232"/>
      <c r="OS43" s="232"/>
      <c r="OT43" s="232"/>
      <c r="OU43" s="234"/>
      <c r="OV43" s="234"/>
      <c r="OW43" s="234"/>
      <c r="OX43" s="232"/>
      <c r="OY43" s="235"/>
      <c r="OZ43" s="232"/>
      <c r="PA43" s="232"/>
      <c r="PB43" s="232"/>
      <c r="PC43" s="232"/>
      <c r="PD43" s="232"/>
      <c r="PE43" s="232"/>
      <c r="PF43" s="232"/>
      <c r="PG43" s="232"/>
      <c r="PH43" s="232"/>
      <c r="PI43" s="232"/>
      <c r="PJ43" s="232"/>
      <c r="PK43" s="233"/>
      <c r="PL43" s="819">
        <f>IF(COUNT(PL42:PY42)=0,"",SUM(PL42:PY42))</f>
        <v>47149382924</v>
      </c>
      <c r="PM43" s="820"/>
      <c r="PN43" s="820"/>
      <c r="PO43" s="820"/>
      <c r="PP43" s="820"/>
      <c r="PQ43" s="821"/>
      <c r="PR43" s="820"/>
      <c r="PS43" s="821"/>
      <c r="PT43" s="820"/>
      <c r="PU43" s="820"/>
      <c r="PV43" s="820"/>
      <c r="PW43" s="821"/>
      <c r="PX43" s="820"/>
      <c r="PY43" s="822"/>
      <c r="PZ43" s="823">
        <f>IF(COUNT(PZ42:QB42)=0,"",SUM(PZ42:QB42))</f>
        <v>64344493</v>
      </c>
      <c r="QA43" s="821"/>
      <c r="QB43" s="824"/>
      <c r="QC43" s="208">
        <f>IF(COUNT(QC42)=0,"",SUM(QC42))</f>
        <v>96</v>
      </c>
      <c r="QD43" s="819">
        <f>IF(COUNT(QD42:QF42)=0,"",SUM(QD42:QF42))</f>
        <v>72302100000</v>
      </c>
      <c r="QE43" s="820"/>
      <c r="QF43" s="822"/>
      <c r="QG43" s="819">
        <f>IF(COUNT(QG42:QH42)=0,"",SUM(QG42:QH42))</f>
        <v>13028856068</v>
      </c>
      <c r="QH43" s="822"/>
      <c r="QI43" s="208">
        <f>IF(COUNT(QI42)=0,"",SUM(QI42))</f>
        <v>6256404384</v>
      </c>
      <c r="QJ43" s="208">
        <f>IF(COUNT(QJ42)=0,"",SUM(QJ42))</f>
        <v>4805621337</v>
      </c>
      <c r="QK43" s="208">
        <f>IF(COUNT(QK42)=0,"",SUM(QK42))</f>
        <v>451524204</v>
      </c>
      <c r="QL43" s="208">
        <f>IF(COUNT(QL42)=0,"",SUM(QL42))</f>
        <v>0</v>
      </c>
      <c r="QM43" s="208">
        <f>IF(COUNT(QM42)=0,"",SUM(QM42))</f>
        <v>17900789028</v>
      </c>
      <c r="QN43" s="208">
        <f>IF(COUNT(PL43:QM43)=0,"",SUM(PL43:QM43))</f>
        <v>161959022534</v>
      </c>
      <c r="QO43" s="232"/>
      <c r="QP43" s="232"/>
      <c r="QQ43" s="232"/>
      <c r="QR43" s="232"/>
      <c r="QS43" s="825">
        <f>IF(COUNT(QS42:QT42)=0,"",SUM(QS42:QT42))</f>
        <v>0.77459729473822159</v>
      </c>
      <c r="QT43" s="820"/>
      <c r="QU43" s="822"/>
      <c r="QV43" s="208">
        <f>IF(COUNT(QV42)=0,"",SUM(QV42))</f>
        <v>195691961121</v>
      </c>
      <c r="QW43" s="819">
        <f>IF(COUNT(QW42:$QX42)=0,"",SUM(QW42:$QX42))</f>
        <v>9739488060</v>
      </c>
      <c r="QX43" s="822"/>
      <c r="QY43" s="208">
        <f>IF(COUNT(QY42)=0,"",SUM(QY42))</f>
        <v>9932808000</v>
      </c>
      <c r="QZ43" s="208">
        <f>IF(COUNT(QZ42)=0,"",SUM(QZ42))</f>
        <v>0</v>
      </c>
      <c r="RA43" s="227">
        <f>IF(COUNT(RA42)=0,"",SUM(RA42))</f>
        <v>0.99999889146187415</v>
      </c>
      <c r="RB43" s="227">
        <f>IF(COUNT(RB42)=0,"",SUM(RB42))</f>
        <v>3.5959930835234875E-2</v>
      </c>
      <c r="RC43" s="134"/>
      <c r="RD43" s="134"/>
      <c r="RE43" s="134"/>
      <c r="RF43" s="134"/>
      <c r="RG43" s="134"/>
      <c r="RH43" s="134"/>
      <c r="RI43" s="134"/>
      <c r="RJ43" s="134"/>
      <c r="RK43" s="134"/>
      <c r="RL43" s="134"/>
      <c r="RM43" s="134"/>
      <c r="RN43" s="134"/>
      <c r="RO43" s="134"/>
      <c r="RP43" s="134"/>
      <c r="RQ43" s="134"/>
      <c r="RR43" s="134"/>
      <c r="RS43" s="134"/>
      <c r="RT43" s="134"/>
      <c r="RU43" s="134"/>
      <c r="RV43" s="134"/>
      <c r="RW43" s="134"/>
      <c r="RX43" s="134"/>
      <c r="RY43" s="134"/>
      <c r="RZ43" s="134"/>
      <c r="SA43" s="134"/>
      <c r="SB43" s="134"/>
      <c r="SC43" s="134"/>
      <c r="SD43" s="134"/>
      <c r="SE43" s="134"/>
      <c r="SF43" s="134"/>
      <c r="SG43" s="134"/>
      <c r="SH43" s="134"/>
      <c r="SI43" s="134"/>
      <c r="SJ43" s="134"/>
      <c r="SK43" s="134"/>
      <c r="SL43" s="134"/>
      <c r="SM43" s="134"/>
      <c r="SN43" s="134"/>
      <c r="SO43" s="134"/>
      <c r="SP43" s="134"/>
      <c r="SQ43" s="134"/>
      <c r="SR43" s="134"/>
      <c r="SS43" s="134"/>
      <c r="ST43" s="134"/>
      <c r="SU43" s="134"/>
      <c r="SV43" s="134"/>
      <c r="SW43" s="134"/>
      <c r="SX43" s="134"/>
      <c r="SY43" s="134"/>
      <c r="SZ43" s="134"/>
      <c r="TA43" s="134"/>
      <c r="TB43" s="134"/>
      <c r="TC43" s="134"/>
      <c r="TD43" s="134"/>
      <c r="TE43" s="134"/>
      <c r="TF43" s="134"/>
      <c r="TG43" s="134"/>
      <c r="TQ43" s="413" t="str">
        <f>IF($NA30="","","Process" &amp; CHAR(10) &amp; $NA30)</f>
        <v>Process
0</v>
      </c>
      <c r="TR43" s="413" t="str">
        <f t="shared" ref="TR43:TR54" si="166">IF($NB30="","","Thread " &amp; $NB30)</f>
        <v>Thread 0</v>
      </c>
      <c r="TS43" s="414">
        <f t="shared" ref="TS43:TS54" si="167">NO30</f>
        <v>1.7173198670124688E-4</v>
      </c>
      <c r="TT43" s="414">
        <f t="shared" ref="TT43:TT54" si="168">NU30</f>
        <v>7.268221828387364E-2</v>
      </c>
      <c r="TU43" s="414">
        <f t="shared" ref="TU43:TU54" si="169">NX30</f>
        <v>11.547031132133613</v>
      </c>
      <c r="TV43" s="414">
        <f t="shared" ref="TV43:TV54" si="170">NZ30</f>
        <v>1.2107504668520674</v>
      </c>
      <c r="TW43" s="414">
        <f t="shared" ref="TW43:TW54" si="171">OA30</f>
        <v>0</v>
      </c>
      <c r="TX43" s="414">
        <f>OB30</f>
        <v>6.4509660301359253E-2</v>
      </c>
      <c r="TY43" s="414">
        <f t="shared" ref="TY43:TY54" si="172">OC30</f>
        <v>0</v>
      </c>
      <c r="TZ43" s="414">
        <f t="shared" ref="TZ43:TZ54" si="173">OD30</f>
        <v>2.8010488545990864</v>
      </c>
      <c r="UA43" s="414">
        <f t="shared" ref="UA43:UA54" si="174">OH30</f>
        <v>5.1007498451847032E-5</v>
      </c>
      <c r="UB43" s="254" t="s">
        <v>463</v>
      </c>
      <c r="UC43" s="413" t="str">
        <f>IF($NA30="","","Process" &amp; CHAR(10) &amp; $NA30)</f>
        <v>Process
0</v>
      </c>
      <c r="UD43" s="413" t="str">
        <f t="shared" ref="UD43:UD54" si="175">IF($NB30="","","Thread " &amp; $NB30)</f>
        <v>Thread 0</v>
      </c>
      <c r="UE43" s="414">
        <f t="shared" ref="UE43:UE54" si="176">NO30</f>
        <v>1.7173198670124688E-4</v>
      </c>
      <c r="UF43" s="414">
        <f t="shared" ref="UF43:UF54" si="177">NP30</f>
        <v>0</v>
      </c>
      <c r="UG43" s="414">
        <f t="shared" ref="UG43:UG54" si="178">NQ30</f>
        <v>0.19164471959644275</v>
      </c>
      <c r="UH43" s="414">
        <f t="shared" ref="UH43:UH54" si="179">NR30</f>
        <v>6.3033974396827938E-2</v>
      </c>
      <c r="UI43" s="414">
        <f t="shared" ref="UI43:UI54" si="180">NS30</f>
        <v>1.1768942732748412E-2</v>
      </c>
      <c r="UJ43" s="414">
        <f t="shared" ref="UJ43:UJ54" si="181">NT30</f>
        <v>3.8065747318027678E-3</v>
      </c>
      <c r="UK43" s="414">
        <f t="shared" ref="UK43:UK54" si="182">NU30</f>
        <v>7.268221828387364E-2</v>
      </c>
      <c r="UL43" s="414">
        <f t="shared" ref="UL43:UL54" si="183">NV30</f>
        <v>9.3983269831283511</v>
      </c>
      <c r="UM43" s="414">
        <f t="shared" ref="UM43:UM54" si="184">NW30</f>
        <v>2.2394395374596625</v>
      </c>
      <c r="UN43" s="414">
        <f t="shared" ref="UN43:UN54" si="185">NX30</f>
        <v>11.547031132133613</v>
      </c>
      <c r="UO43" s="414">
        <f t="shared" ref="UO43:UO54" si="186">NY30</f>
        <v>2.4981497891362497E-3</v>
      </c>
      <c r="UP43" s="414">
        <f t="shared" ref="UP43:UP54" si="187">NZ30</f>
        <v>1.2107504668520674</v>
      </c>
      <c r="UQ43" s="414">
        <f t="shared" ref="UQ43:UQ54" si="188">OA30</f>
        <v>0</v>
      </c>
      <c r="UR43" s="414">
        <f t="shared" ref="UR43:UR54" si="189">OB30</f>
        <v>6.4509660301359253E-2</v>
      </c>
      <c r="US43" s="414">
        <f t="shared" ref="US43:US54" si="190">OC30</f>
        <v>0</v>
      </c>
      <c r="UT43" s="414">
        <f t="shared" ref="UT43:UT54" si="191">OD30</f>
        <v>2.8010488545990864</v>
      </c>
      <c r="UU43" s="414">
        <f t="shared" ref="UU43:UU54" si="192">OE30</f>
        <v>0.54283516205736504</v>
      </c>
      <c r="UV43" s="414">
        <f t="shared" ref="UV43:UV54" si="193">OF30</f>
        <v>0.16749174983096907</v>
      </c>
      <c r="UW43" s="414">
        <f t="shared" ref="UW43:UW54" si="194">OG30</f>
        <v>0.43630433462154172</v>
      </c>
      <c r="UX43" s="414">
        <f t="shared" ref="UX43:UX54" si="195">OH30</f>
        <v>5.1007498451847032E-5</v>
      </c>
      <c r="UY43" s="254" t="s">
        <v>463</v>
      </c>
      <c r="VA43" s="415"/>
      <c r="VK43" s="2"/>
    </row>
    <row r="44" spans="28:617" x14ac:dyDescent="0.15">
      <c r="MC44" s="252" t="s">
        <v>1190</v>
      </c>
      <c r="MD44" s="371"/>
      <c r="ME44" s="372"/>
      <c r="MF44" s="372"/>
      <c r="MG44" s="372"/>
      <c r="MH44" s="372"/>
      <c r="MI44" s="372"/>
      <c r="MJ44" s="372"/>
      <c r="MK44" s="372"/>
      <c r="ML44" s="372"/>
      <c r="MM44" s="372"/>
      <c r="MN44" s="372"/>
      <c r="MO44" s="372"/>
      <c r="MP44" s="372"/>
      <c r="MQ44" s="372"/>
      <c r="MR44" s="372"/>
      <c r="MS44" s="372"/>
      <c r="MT44" s="373"/>
      <c r="NQ44" s="416"/>
      <c r="RJ44" s="577" t="s">
        <v>1950</v>
      </c>
      <c r="RK44" s="578" t="s">
        <v>854</v>
      </c>
      <c r="RL44" s="578" t="s">
        <v>72</v>
      </c>
      <c r="RM44" s="582"/>
      <c r="RN44" s="582"/>
      <c r="TQ44" s="413" t="str">
        <f t="shared" ref="TQ44:TQ54" si="196">IF($NA31="","",IF($NA31=$NA30,"","Process" &amp; CHAR(10) &amp; $NA31))</f>
        <v/>
      </c>
      <c r="TR44" s="413" t="str">
        <f t="shared" si="166"/>
        <v>Thread 1</v>
      </c>
      <c r="TS44" s="414">
        <f t="shared" si="167"/>
        <v>1.7359971580995469E-4</v>
      </c>
      <c r="TT44" s="414">
        <f t="shared" si="168"/>
        <v>6.0015136772208114E-2</v>
      </c>
      <c r="TU44" s="414">
        <f t="shared" si="169"/>
        <v>11.550405690900046</v>
      </c>
      <c r="TV44" s="414">
        <f t="shared" si="170"/>
        <v>1.210740401827803</v>
      </c>
      <c r="TW44" s="414">
        <f t="shared" si="171"/>
        <v>0</v>
      </c>
      <c r="TX44" s="414">
        <f t="shared" ref="TX44:TX54" si="197">OB31</f>
        <v>6.400769257553722E-2</v>
      </c>
      <c r="TY44" s="414">
        <f t="shared" si="172"/>
        <v>0</v>
      </c>
      <c r="TZ44" s="414">
        <f t="shared" si="173"/>
        <v>2.7941776205443074</v>
      </c>
      <c r="UA44" s="414">
        <f t="shared" si="174"/>
        <v>3.3449664763932301E-6</v>
      </c>
      <c r="UC44" s="413" t="str">
        <f t="shared" ref="UC44:UC54" si="198">IF($NA31="","",IF($NA31=$NA30,"","Process" &amp; CHAR(10) &amp; $NA31))</f>
        <v/>
      </c>
      <c r="UD44" s="413" t="str">
        <f t="shared" si="175"/>
        <v>Thread 1</v>
      </c>
      <c r="UE44" s="414">
        <f t="shared" si="176"/>
        <v>1.7359971580995469E-4</v>
      </c>
      <c r="UF44" s="414">
        <f t="shared" si="177"/>
        <v>0</v>
      </c>
      <c r="UG44" s="414">
        <f t="shared" si="178"/>
        <v>0.18961805500959814</v>
      </c>
      <c r="UH44" s="414">
        <f t="shared" si="179"/>
        <v>4.2713237917176114E-2</v>
      </c>
      <c r="UI44" s="414">
        <f t="shared" si="180"/>
        <v>1.1120542584885892E-2</v>
      </c>
      <c r="UJ44" s="414">
        <f t="shared" si="181"/>
        <v>3.8683139965984795E-3</v>
      </c>
      <c r="UK44" s="414">
        <f t="shared" si="182"/>
        <v>6.0015136772208114E-2</v>
      </c>
      <c r="UL44" s="414">
        <f t="shared" si="183"/>
        <v>9.3923744573767713</v>
      </c>
      <c r="UM44" s="414">
        <f t="shared" si="184"/>
        <v>2.2383224333011498</v>
      </c>
      <c r="UN44" s="414">
        <f t="shared" si="185"/>
        <v>11.550405690900046</v>
      </c>
      <c r="UO44" s="414">
        <f t="shared" si="186"/>
        <v>2.4823082106202629E-3</v>
      </c>
      <c r="UP44" s="414">
        <f t="shared" si="187"/>
        <v>1.210740401827803</v>
      </c>
      <c r="UQ44" s="414">
        <f t="shared" si="188"/>
        <v>0</v>
      </c>
      <c r="UR44" s="414">
        <f t="shared" si="189"/>
        <v>6.400769257553722E-2</v>
      </c>
      <c r="US44" s="414">
        <f t="shared" si="190"/>
        <v>0</v>
      </c>
      <c r="UT44" s="414">
        <f t="shared" si="191"/>
        <v>2.7941776205443074</v>
      </c>
      <c r="UU44" s="414">
        <f t="shared" si="192"/>
        <v>0.54424727427240516</v>
      </c>
      <c r="UV44" s="414">
        <f t="shared" si="193"/>
        <v>0.16818216248128132</v>
      </c>
      <c r="UW44" s="414">
        <f t="shared" si="194"/>
        <v>0.43650484754732582</v>
      </c>
      <c r="UX44" s="414">
        <f t="shared" si="195"/>
        <v>3.3449664763932301E-6</v>
      </c>
      <c r="VA44" s="415"/>
      <c r="VK44" s="2"/>
    </row>
    <row r="45" spans="28:617" ht="15.75" customHeight="1" thickBot="1" x14ac:dyDescent="0.3">
      <c r="MC45" s="252" t="s">
        <v>1191</v>
      </c>
      <c r="MD45" s="417"/>
      <c r="ME45" s="418"/>
      <c r="MF45" s="418"/>
      <c r="MG45" s="418"/>
      <c r="MH45" s="418"/>
      <c r="MI45" s="418"/>
      <c r="MJ45" s="418"/>
      <c r="MK45" s="418"/>
      <c r="ML45" s="418"/>
      <c r="MM45" s="418"/>
      <c r="MN45" s="418"/>
      <c r="MO45" s="418"/>
      <c r="MP45" s="418"/>
      <c r="MQ45" s="418"/>
      <c r="MR45" s="418"/>
      <c r="MS45" s="418"/>
      <c r="MT45" s="419"/>
      <c r="RJ45" s="577">
        <v>0</v>
      </c>
      <c r="RK45" s="577">
        <f>IF(OR(COUNT($KW30:$KW41)=0,COUNT($KX30:$KX41)=0,COUNT($KY30:$KY41)=0,COUNT($LU30:$LU41)=0,COUNT($LV30:$LV41)=0,$C$8="",$NC$42=""),"",IF($NC$42=0,0,
  GuardLimitLower(
    (($KW30 - $KX30 - $KY30)
     - $LU30 + $LV30)*$C$8/10^9/$NC$42,
    data_GuardLimitFlag,
    0) ))</f>
        <v>0</v>
      </c>
      <c r="RL45" s="577">
        <f>IF(OR(COUNT($LA30:$LA41)=0,COUNT($LB30:$LB41)=0,COUNT($LC30:$LC41)=0,COUNT($LD30:$LD41)=0,$C$8="",$NC$42=""),"",IF($NC$42=0,0,
IF($G$11=0,($LB30+$LC30+$LD30)*$C$8/10^9/$NC$42,
IF($G$11=1,($LA30+$LC30+$LD30)*$C$8/10^9/$NC$42,
IF($G$11=2,($LA30+$LB30+$LD30)*$C$8/10^9/$NC$42,
IF($G$11=3,($LA30+$LB30+$LC30)*$C$8/10^9/$NC$42))))))</f>
        <v>6.6479822944253419E-3</v>
      </c>
      <c r="TK45" s="309"/>
      <c r="TL45" s="358" t="s">
        <v>1952</v>
      </c>
      <c r="TM45" s="358" t="s">
        <v>1427</v>
      </c>
      <c r="TN45" s="358" t="s">
        <v>1689</v>
      </c>
      <c r="TQ45" s="413" t="str">
        <f t="shared" si="196"/>
        <v/>
      </c>
      <c r="TR45" s="413" t="str">
        <f t="shared" si="166"/>
        <v>Thread 2</v>
      </c>
      <c r="TS45" s="414">
        <f t="shared" si="167"/>
        <v>1.7253095410107148E-4</v>
      </c>
      <c r="TT45" s="414">
        <f t="shared" si="168"/>
        <v>7.8962331501029076E-2</v>
      </c>
      <c r="TU45" s="414">
        <f t="shared" si="169"/>
        <v>11.547686612231226</v>
      </c>
      <c r="TV45" s="414">
        <f t="shared" si="170"/>
        <v>1.2109200320342262</v>
      </c>
      <c r="TW45" s="414">
        <f t="shared" si="171"/>
        <v>0</v>
      </c>
      <c r="TX45" s="414">
        <f t="shared" si="197"/>
        <v>6.5154210315620242E-2</v>
      </c>
      <c r="TY45" s="414">
        <f t="shared" si="172"/>
        <v>0</v>
      </c>
      <c r="TZ45" s="414">
        <f t="shared" si="173"/>
        <v>2.8020170143282885</v>
      </c>
      <c r="UA45" s="414">
        <f t="shared" si="174"/>
        <v>7.3725037332153895E-6</v>
      </c>
      <c r="UC45" s="413" t="str">
        <f t="shared" si="198"/>
        <v/>
      </c>
      <c r="UD45" s="413" t="str">
        <f t="shared" si="175"/>
        <v>Thread 2</v>
      </c>
      <c r="UE45" s="414">
        <f t="shared" si="176"/>
        <v>1.7253095410107148E-4</v>
      </c>
      <c r="UF45" s="414">
        <f t="shared" si="177"/>
        <v>0</v>
      </c>
      <c r="UG45" s="414">
        <f t="shared" si="178"/>
        <v>0.18761124408773563</v>
      </c>
      <c r="UH45" s="414">
        <f t="shared" si="179"/>
        <v>8.1927799283178671E-2</v>
      </c>
      <c r="UI45" s="414">
        <f t="shared" si="180"/>
        <v>1.1779593786892441E-2</v>
      </c>
      <c r="UJ45" s="414">
        <f t="shared" si="181"/>
        <v>3.8696710848865391E-3</v>
      </c>
      <c r="UK45" s="414">
        <f t="shared" si="182"/>
        <v>7.8962331501029076E-2</v>
      </c>
      <c r="UL45" s="414">
        <f t="shared" si="183"/>
        <v>9.3978082614563441</v>
      </c>
      <c r="UM45" s="414">
        <f t="shared" si="184"/>
        <v>2.2400739701718098</v>
      </c>
      <c r="UN45" s="414">
        <f t="shared" si="185"/>
        <v>11.547686612231226</v>
      </c>
      <c r="UO45" s="414">
        <f t="shared" si="186"/>
        <v>2.5421148490109187E-3</v>
      </c>
      <c r="UP45" s="414">
        <f t="shared" si="187"/>
        <v>1.2109200320342262</v>
      </c>
      <c r="UQ45" s="414">
        <f t="shared" si="188"/>
        <v>0</v>
      </c>
      <c r="UR45" s="414">
        <f t="shared" si="189"/>
        <v>6.5154210315620242E-2</v>
      </c>
      <c r="US45" s="414">
        <f t="shared" si="190"/>
        <v>0</v>
      </c>
      <c r="UT45" s="414">
        <f t="shared" si="191"/>
        <v>2.8020170143282885</v>
      </c>
      <c r="UU45" s="414">
        <f t="shared" si="192"/>
        <v>0.54321395085772095</v>
      </c>
      <c r="UV45" s="414">
        <f t="shared" si="193"/>
        <v>0.16703437748683089</v>
      </c>
      <c r="UW45" s="414">
        <f t="shared" si="194"/>
        <v>0.43660675306736541</v>
      </c>
      <c r="UX45" s="414">
        <f t="shared" si="195"/>
        <v>7.3725037332153895E-6</v>
      </c>
      <c r="VA45" s="415"/>
      <c r="VK45" s="2"/>
    </row>
    <row r="46" spans="28:617" ht="15.75" customHeight="1" x14ac:dyDescent="0.15">
      <c r="RJ46" s="577">
        <v>1</v>
      </c>
      <c r="RK46" s="577">
        <f>IF(OR(COUNT($KW31:$KW42)=0,COUNT($KX31:$KX42)=0,COUNT($KY31:$KY42)=0,COUNT($LU31:$LU42)=0,COUNT($LV31:$LV42)=0,$C$8="",$NC$42=""),"",IF($NC$42=0,0,
  GuardLimitLower(
    (($KW31 - $KX31 - $KY31)
     - $LU31 + $LV31)*$C$8/10^9/$NC$42,
    data_GuardLimitFlag,
    0) ))</f>
        <v>2.0142985923279145E-3</v>
      </c>
      <c r="RL46" s="577">
        <f t="shared" ref="RL46:RL56" si="199">IF(OR(COUNT($LA31:$LA42)=0,COUNT($LB31:$LB42)=0,COUNT($LC31:$LC42)=0,COUNT($LD31:$LD42)=0,$C$8="",$NC$42=""),"",IF($NC$42=0,0,
IF($G$11=0,($LB31+$LC31+$LD31)*$C$8/10^9/$NC$42,
IF($G$11=1,($LA31+$LC31+$LD31)*$C$8/10^9/$NC$42,
IF($G$11=2,($LA31+$LB31+$LD31)*$C$8/10^9/$NC$42,
IF($G$11=3,($LA31+$LB31+$LC31)*$C$8/10^9/$NC$42))))))</f>
        <v>6.6124984410538728E-3</v>
      </c>
      <c r="TK46" s="317"/>
      <c r="TL46" s="320" t="s">
        <v>1727</v>
      </c>
      <c r="TM46" s="319" t="s">
        <v>1730</v>
      </c>
      <c r="TN46" s="318" t="s">
        <v>1894</v>
      </c>
      <c r="TQ46" s="413" t="str">
        <f t="shared" si="196"/>
        <v/>
      </c>
      <c r="TR46" s="413" t="str">
        <f t="shared" si="166"/>
        <v>Thread 3</v>
      </c>
      <c r="TS46" s="414">
        <f t="shared" si="167"/>
        <v>1.7281329873409553E-4</v>
      </c>
      <c r="TT46" s="414">
        <f t="shared" si="168"/>
        <v>7.8845531900956958E-2</v>
      </c>
      <c r="TU46" s="414">
        <f t="shared" si="169"/>
        <v>11.532237277100167</v>
      </c>
      <c r="TV46" s="414">
        <f t="shared" si="170"/>
        <v>1.210463106063814</v>
      </c>
      <c r="TW46" s="414">
        <f t="shared" si="171"/>
        <v>0</v>
      </c>
      <c r="TX46" s="414">
        <f t="shared" si="197"/>
        <v>6.5667514401579488E-2</v>
      </c>
      <c r="TY46" s="414">
        <f t="shared" si="172"/>
        <v>0</v>
      </c>
      <c r="TZ46" s="414">
        <f t="shared" si="173"/>
        <v>2.8022008570070893</v>
      </c>
      <c r="UA46" s="414">
        <f t="shared" si="174"/>
        <v>0</v>
      </c>
      <c r="UC46" s="413" t="str">
        <f t="shared" si="198"/>
        <v/>
      </c>
      <c r="UD46" s="413" t="str">
        <f t="shared" si="175"/>
        <v>Thread 3</v>
      </c>
      <c r="UE46" s="414">
        <f t="shared" si="176"/>
        <v>1.7281329873409553E-4</v>
      </c>
      <c r="UF46" s="414">
        <f t="shared" si="177"/>
        <v>0</v>
      </c>
      <c r="UG46" s="414">
        <f t="shared" si="178"/>
        <v>0.19186903736044006</v>
      </c>
      <c r="UH46" s="414">
        <f t="shared" si="179"/>
        <v>8.8748613900942075E-2</v>
      </c>
      <c r="UI46" s="414">
        <f t="shared" si="180"/>
        <v>1.2042735984728105E-2</v>
      </c>
      <c r="UJ46" s="414">
        <f t="shared" si="181"/>
        <v>3.8586408795409761E-3</v>
      </c>
      <c r="UK46" s="414">
        <f t="shared" si="182"/>
        <v>7.8845531900956958E-2</v>
      </c>
      <c r="UL46" s="414">
        <f t="shared" si="183"/>
        <v>9.4057501579582716</v>
      </c>
      <c r="UM46" s="414">
        <f t="shared" si="184"/>
        <v>2.2388961845876945</v>
      </c>
      <c r="UN46" s="414">
        <f t="shared" si="185"/>
        <v>11.532237277100167</v>
      </c>
      <c r="UO46" s="414">
        <f t="shared" si="186"/>
        <v>2.5927784109016161E-3</v>
      </c>
      <c r="UP46" s="414">
        <f t="shared" si="187"/>
        <v>1.210463106063814</v>
      </c>
      <c r="UQ46" s="414">
        <f t="shared" si="188"/>
        <v>0</v>
      </c>
      <c r="UR46" s="414">
        <f t="shared" si="189"/>
        <v>6.5667514401579488E-2</v>
      </c>
      <c r="US46" s="414">
        <f t="shared" si="190"/>
        <v>0</v>
      </c>
      <c r="UT46" s="414">
        <f t="shared" si="191"/>
        <v>2.8022008570070893</v>
      </c>
      <c r="UU46" s="414">
        <f t="shared" si="192"/>
        <v>0.54129543071121033</v>
      </c>
      <c r="UV46" s="414">
        <f t="shared" si="193"/>
        <v>0.16726026820938428</v>
      </c>
      <c r="UW46" s="414">
        <f t="shared" si="194"/>
        <v>0.43717042802094369</v>
      </c>
      <c r="UX46" s="414">
        <f t="shared" si="195"/>
        <v>0</v>
      </c>
      <c r="VK46" s="2"/>
    </row>
    <row r="47" spans="28:617" ht="15.75" customHeight="1" x14ac:dyDescent="0.25">
      <c r="RJ47" s="577">
        <v>2</v>
      </c>
      <c r="RK47" s="577">
        <f>IF(OR(COUNT($KW32:$KW43)=0,COUNT($KX32:$KX43)=0,COUNT($KY32:$KY43)=0,COUNT($LU32:$LU43)=0,COUNT($LV32:$LV43)=0,$C$8="",$NC$42=""),"",IF($NC$42=0,0,
  GuardLimitLower(
    (($KW32 - $KX32 - $KY32)
     - $LU32 + $LV32)*$C$8/10^9/$NC$42,
    data_GuardLimitFlag,
    0) ))</f>
        <v>1.1046386233000984E-3</v>
      </c>
      <c r="RL47" s="577">
        <f t="shared" si="199"/>
        <v>6.6672958397108418E-3</v>
      </c>
      <c r="TK47" s="244"/>
      <c r="TL47" s="345" t="s">
        <v>822</v>
      </c>
      <c r="TM47" s="345" t="s">
        <v>823</v>
      </c>
      <c r="TN47" s="345" t="s">
        <v>824</v>
      </c>
      <c r="TQ47" s="413" t="str">
        <f t="shared" si="196"/>
        <v/>
      </c>
      <c r="TR47" s="413" t="str">
        <f t="shared" si="166"/>
        <v>Thread 4</v>
      </c>
      <c r="TS47" s="414">
        <f t="shared" si="167"/>
        <v>1.6501387211753464E-4</v>
      </c>
      <c r="TT47" s="414">
        <f t="shared" si="168"/>
        <v>6.0302713163233636E-2</v>
      </c>
      <c r="TU47" s="414">
        <f t="shared" si="169"/>
        <v>11.536835337631434</v>
      </c>
      <c r="TV47" s="414">
        <f t="shared" si="170"/>
        <v>1.2115420347525219</v>
      </c>
      <c r="TW47" s="414">
        <f t="shared" si="171"/>
        <v>0</v>
      </c>
      <c r="TX47" s="414">
        <f t="shared" si="197"/>
        <v>6.5396205821060219E-2</v>
      </c>
      <c r="TY47" s="414">
        <f t="shared" si="172"/>
        <v>0</v>
      </c>
      <c r="TZ47" s="414">
        <f t="shared" si="173"/>
        <v>2.8038709640792279</v>
      </c>
      <c r="UA47" s="414">
        <f t="shared" si="174"/>
        <v>0</v>
      </c>
      <c r="UC47" s="413" t="str">
        <f t="shared" si="198"/>
        <v/>
      </c>
      <c r="UD47" s="413" t="str">
        <f t="shared" si="175"/>
        <v>Thread 4</v>
      </c>
      <c r="UE47" s="414">
        <f t="shared" si="176"/>
        <v>1.6501387211753464E-4</v>
      </c>
      <c r="UF47" s="414">
        <f t="shared" si="177"/>
        <v>0</v>
      </c>
      <c r="UG47" s="414">
        <f t="shared" si="178"/>
        <v>0.19163389347996349</v>
      </c>
      <c r="UH47" s="414">
        <f t="shared" si="179"/>
        <v>6.0545728974179668E-2</v>
      </c>
      <c r="UI47" s="414">
        <f t="shared" si="180"/>
        <v>1.2712767706078381E-2</v>
      </c>
      <c r="UJ47" s="414">
        <f t="shared" si="181"/>
        <v>3.8803095829657804E-3</v>
      </c>
      <c r="UK47" s="414">
        <f t="shared" si="182"/>
        <v>6.0302713163233636E-2</v>
      </c>
      <c r="UL47" s="414">
        <f t="shared" si="183"/>
        <v>9.4074085096029449</v>
      </c>
      <c r="UM47" s="414">
        <f t="shared" si="184"/>
        <v>2.2397471034545449</v>
      </c>
      <c r="UN47" s="414">
        <f t="shared" si="185"/>
        <v>11.536835337631434</v>
      </c>
      <c r="UO47" s="414">
        <f t="shared" si="186"/>
        <v>2.5714258789574008E-3</v>
      </c>
      <c r="UP47" s="414">
        <f t="shared" si="187"/>
        <v>1.2115420347525219</v>
      </c>
      <c r="UQ47" s="414">
        <f t="shared" si="188"/>
        <v>0</v>
      </c>
      <c r="UR47" s="414">
        <f t="shared" si="189"/>
        <v>6.5396205821060219E-2</v>
      </c>
      <c r="US47" s="414">
        <f t="shared" si="190"/>
        <v>0</v>
      </c>
      <c r="UT47" s="414">
        <f t="shared" si="191"/>
        <v>2.8038709640792279</v>
      </c>
      <c r="UU47" s="414">
        <f t="shared" si="192"/>
        <v>0.54264424696941693</v>
      </c>
      <c r="UV47" s="414">
        <f t="shared" si="193"/>
        <v>0.16758008541521177</v>
      </c>
      <c r="UW47" s="414">
        <f t="shared" si="194"/>
        <v>0.43542007622160073</v>
      </c>
      <c r="UX47" s="414">
        <f t="shared" si="195"/>
        <v>0</v>
      </c>
      <c r="VK47" s="2"/>
    </row>
    <row r="48" spans="28:617" ht="15.75" customHeight="1" x14ac:dyDescent="0.25">
      <c r="RJ48" s="577">
        <v>3</v>
      </c>
      <c r="RK48" s="577">
        <f>IF(OR(COUNT($KW33:$KW44)=0,COUNT($KX33:$KX44)=0,COUNT($KY33:$KY44)=0,COUNT($LU33:$LU44)=0,COUNT($LV33:$LV44)=0,$C$8="",$NC$42=""),"",IF($NC$42=0,0,
  GuardLimitLower(
    (($KW33 - $KX33 - $KY33)
     - $LU33 + $LV33)*$C$8/10^9/$NC$42,
    data_GuardLimitFlag,
    0) ))</f>
        <v>1.2199678250233755E-3</v>
      </c>
      <c r="RL48" s="577">
        <f t="shared" si="199"/>
        <v>6.6700561896594381E-3</v>
      </c>
      <c r="TK48" s="239" t="s">
        <v>457</v>
      </c>
      <c r="TL48" s="359">
        <f>IF(NJ59="",0,NJ59)</f>
        <v>0</v>
      </c>
      <c r="TM48" s="359">
        <f>IF(NG59="",0,NG59)</f>
        <v>0</v>
      </c>
      <c r="TN48" s="359">
        <f>IF(NE59="",0,NE59)</f>
        <v>0</v>
      </c>
      <c r="TQ48" s="413" t="str">
        <f t="shared" si="196"/>
        <v/>
      </c>
      <c r="TR48" s="413" t="str">
        <f t="shared" si="166"/>
        <v>Thread 5</v>
      </c>
      <c r="TS48" s="414">
        <f t="shared" si="167"/>
        <v>1.717488773049776E-4</v>
      </c>
      <c r="TT48" s="414">
        <f t="shared" si="168"/>
        <v>7.3329663536551556E-2</v>
      </c>
      <c r="TU48" s="414">
        <f t="shared" si="169"/>
        <v>11.534630944409782</v>
      </c>
      <c r="TV48" s="414">
        <f t="shared" si="170"/>
        <v>1.2109038208401681</v>
      </c>
      <c r="TW48" s="414">
        <f t="shared" si="171"/>
        <v>0</v>
      </c>
      <c r="TX48" s="414">
        <f t="shared" si="197"/>
        <v>6.477118389027979E-2</v>
      </c>
      <c r="TY48" s="414">
        <f t="shared" si="172"/>
        <v>0</v>
      </c>
      <c r="TZ48" s="414">
        <f t="shared" si="173"/>
        <v>2.803253596513787</v>
      </c>
      <c r="UA48" s="414">
        <f t="shared" si="174"/>
        <v>8.2470225844385309E-5</v>
      </c>
      <c r="UC48" s="413" t="str">
        <f t="shared" si="198"/>
        <v/>
      </c>
      <c r="UD48" s="413" t="str">
        <f t="shared" si="175"/>
        <v>Thread 5</v>
      </c>
      <c r="UE48" s="414">
        <f t="shared" si="176"/>
        <v>1.717488773049776E-4</v>
      </c>
      <c r="UF48" s="414">
        <f t="shared" si="177"/>
        <v>0</v>
      </c>
      <c r="UG48" s="414">
        <f t="shared" si="178"/>
        <v>0.19076614009867046</v>
      </c>
      <c r="UH48" s="414">
        <f t="shared" si="179"/>
        <v>6.2185824040257645E-2</v>
      </c>
      <c r="UI48" s="414">
        <f t="shared" si="180"/>
        <v>1.2416314152334459E-2</v>
      </c>
      <c r="UJ48" s="414">
        <f t="shared" si="181"/>
        <v>3.861410088643609E-3</v>
      </c>
      <c r="UK48" s="414">
        <f t="shared" si="182"/>
        <v>7.3329663536551556E-2</v>
      </c>
      <c r="UL48" s="414">
        <f t="shared" si="183"/>
        <v>9.4038297536250806</v>
      </c>
      <c r="UM48" s="414">
        <f t="shared" si="184"/>
        <v>2.2395097339054271</v>
      </c>
      <c r="UN48" s="414">
        <f t="shared" si="185"/>
        <v>11.534630944409782</v>
      </c>
      <c r="UO48" s="414">
        <f t="shared" si="186"/>
        <v>2.5087261968117515E-3</v>
      </c>
      <c r="UP48" s="414">
        <f t="shared" si="187"/>
        <v>1.2109038208401681</v>
      </c>
      <c r="UQ48" s="414">
        <f t="shared" si="188"/>
        <v>0</v>
      </c>
      <c r="UR48" s="414">
        <f t="shared" si="189"/>
        <v>6.477118389027979E-2</v>
      </c>
      <c r="US48" s="414">
        <f t="shared" si="190"/>
        <v>0</v>
      </c>
      <c r="UT48" s="414">
        <f t="shared" si="191"/>
        <v>2.803253596513787</v>
      </c>
      <c r="UU48" s="414">
        <f t="shared" si="192"/>
        <v>0.54340912036526412</v>
      </c>
      <c r="UV48" s="414">
        <f t="shared" si="193"/>
        <v>0.16610739665688343</v>
      </c>
      <c r="UW48" s="414">
        <f t="shared" si="194"/>
        <v>0.43662663257690804</v>
      </c>
      <c r="UX48" s="414">
        <f t="shared" si="195"/>
        <v>8.2470225844385309E-5</v>
      </c>
      <c r="VK48" s="2"/>
    </row>
    <row r="49" spans="400:583" ht="15.75" customHeight="1" x14ac:dyDescent="0.15">
      <c r="RJ49" s="577">
        <v>4</v>
      </c>
      <c r="RK49" s="577">
        <f>IF(OR(COUNT($KW34:$KW45)=0,COUNT($KX34:$KX45)=0,COUNT($KY34:$KY45)=0,COUNT($LU34:$LU45)=0,COUNT($LV34:$LV45)=0,$C$8="",$NC$42=""),"",IF($NC$42=0,0,
  GuardLimitLower(
    (($KW34 - $KX34 - $KY34)
     - $LU34 + $LV34)*$C$8/10^9/$NC$42,
    data_GuardLimitFlag,
    0) ))</f>
        <v>9.5125220970488755E-4</v>
      </c>
      <c r="RL49" s="577">
        <f t="shared" si="199"/>
        <v>6.6440465696599249E-3</v>
      </c>
      <c r="TQ49" s="413" t="str">
        <f t="shared" si="196"/>
        <v/>
      </c>
      <c r="TR49" s="413" t="str">
        <f t="shared" si="166"/>
        <v>Thread 6</v>
      </c>
      <c r="TS49" s="414">
        <f t="shared" si="167"/>
        <v>7.7313682102867376E-5</v>
      </c>
      <c r="TT49" s="414">
        <f t="shared" si="168"/>
        <v>5.0691646980178438E-2</v>
      </c>
      <c r="TU49" s="414">
        <f t="shared" si="169"/>
        <v>11.539462094952171</v>
      </c>
      <c r="TV49" s="414">
        <f t="shared" si="170"/>
        <v>1.2117380104682862</v>
      </c>
      <c r="TW49" s="414">
        <f t="shared" si="171"/>
        <v>0</v>
      </c>
      <c r="TX49" s="414">
        <f t="shared" si="197"/>
        <v>6.4944469727742149E-2</v>
      </c>
      <c r="TY49" s="414">
        <f t="shared" si="172"/>
        <v>0</v>
      </c>
      <c r="TZ49" s="414">
        <f t="shared" si="173"/>
        <v>2.8002163752694629</v>
      </c>
      <c r="UA49" s="414">
        <f t="shared" si="174"/>
        <v>2.2530506889118965E-6</v>
      </c>
      <c r="UC49" s="413" t="str">
        <f t="shared" si="198"/>
        <v/>
      </c>
      <c r="UD49" s="413" t="str">
        <f t="shared" si="175"/>
        <v>Thread 6</v>
      </c>
      <c r="UE49" s="414">
        <f t="shared" si="176"/>
        <v>7.7313682102867376E-5</v>
      </c>
      <c r="UF49" s="414">
        <f t="shared" si="177"/>
        <v>0</v>
      </c>
      <c r="UG49" s="414">
        <f t="shared" si="178"/>
        <v>0.1931582066812908</v>
      </c>
      <c r="UH49" s="414">
        <f t="shared" si="179"/>
        <v>2.5579953045388563E-2</v>
      </c>
      <c r="UI49" s="414">
        <f t="shared" si="180"/>
        <v>1.3256841623516313E-2</v>
      </c>
      <c r="UJ49" s="414">
        <f t="shared" si="181"/>
        <v>3.887523743150675E-3</v>
      </c>
      <c r="UK49" s="414">
        <f t="shared" si="182"/>
        <v>5.0691646980178438E-2</v>
      </c>
      <c r="UL49" s="414">
        <f t="shared" si="183"/>
        <v>9.4065735443302838</v>
      </c>
      <c r="UM49" s="414">
        <f t="shared" si="184"/>
        <v>2.2408591516504894</v>
      </c>
      <c r="UN49" s="414">
        <f t="shared" si="185"/>
        <v>11.539462094952171</v>
      </c>
      <c r="UO49" s="414">
        <f t="shared" si="186"/>
        <v>2.5326089638614438E-3</v>
      </c>
      <c r="UP49" s="414">
        <f t="shared" si="187"/>
        <v>1.2117380104682862</v>
      </c>
      <c r="UQ49" s="414">
        <f t="shared" si="188"/>
        <v>0</v>
      </c>
      <c r="UR49" s="414">
        <f t="shared" si="189"/>
        <v>6.4944469727742149E-2</v>
      </c>
      <c r="US49" s="414">
        <f t="shared" si="190"/>
        <v>0</v>
      </c>
      <c r="UT49" s="414">
        <f t="shared" si="191"/>
        <v>2.8002163752694629</v>
      </c>
      <c r="UU49" s="414">
        <f t="shared" si="192"/>
        <v>0.54355937942920063</v>
      </c>
      <c r="UV49" s="414">
        <f t="shared" si="193"/>
        <v>0.16860464253564844</v>
      </c>
      <c r="UW49" s="414">
        <f t="shared" si="194"/>
        <v>0.43536990386653568</v>
      </c>
      <c r="UX49" s="414">
        <f t="shared" si="195"/>
        <v>2.2530506889118965E-6</v>
      </c>
      <c r="VK49" s="2"/>
    </row>
    <row r="50" spans="400:583" ht="15.75" customHeight="1" x14ac:dyDescent="0.15">
      <c r="RJ50" s="577">
        <v>5</v>
      </c>
      <c r="RK50" s="577">
        <f>IF(OR(COUNT($KW35:$KW46)=0,COUNT($KX35:$KX46)=0,COUNT($KY35:$KY46)=0,COUNT($LU35:$LU46)=0,COUNT($LV35:$LV46)=0,$C$8="",$NC$42=""),"",IF($NC$42=0,0,
  GuardLimitLower(
    (($KW35 - $KX35 - $KY35)
     - $LU35 + $LV35)*$C$8/10^9/$NC$42,
    data_GuardLimitFlag,
    0) ))</f>
        <v>2.4906815673275541E-3</v>
      </c>
      <c r="RL50" s="577">
        <f t="shared" si="199"/>
        <v>6.6449548138365596E-3</v>
      </c>
      <c r="TQ50" s="413" t="str">
        <f t="shared" si="196"/>
        <v/>
      </c>
      <c r="TR50" s="413" t="str">
        <f t="shared" si="166"/>
        <v>Thread 7</v>
      </c>
      <c r="TS50" s="414">
        <f t="shared" si="167"/>
        <v>7.3080616098547543E-5</v>
      </c>
      <c r="TT50" s="414">
        <f t="shared" si="168"/>
        <v>6.8800693095688925E-2</v>
      </c>
      <c r="TU50" s="414">
        <f t="shared" si="169"/>
        <v>11.526775826071399</v>
      </c>
      <c r="TV50" s="414">
        <f t="shared" si="170"/>
        <v>1.2112079745775435</v>
      </c>
      <c r="TW50" s="414">
        <f t="shared" si="171"/>
        <v>0</v>
      </c>
      <c r="TX50" s="414">
        <f t="shared" si="197"/>
        <v>6.6134135094987279E-2</v>
      </c>
      <c r="TY50" s="414">
        <f t="shared" si="172"/>
        <v>0</v>
      </c>
      <c r="TZ50" s="414">
        <f t="shared" si="173"/>
        <v>2.7950403760897378</v>
      </c>
      <c r="UA50" s="414">
        <f t="shared" si="174"/>
        <v>0</v>
      </c>
      <c r="UC50" s="413" t="str">
        <f t="shared" si="198"/>
        <v/>
      </c>
      <c r="UD50" s="413" t="str">
        <f t="shared" si="175"/>
        <v>Thread 7</v>
      </c>
      <c r="UE50" s="414">
        <f t="shared" si="176"/>
        <v>7.3080616098547543E-5</v>
      </c>
      <c r="UF50" s="414">
        <f t="shared" si="177"/>
        <v>0</v>
      </c>
      <c r="UG50" s="414">
        <f t="shared" si="178"/>
        <v>0.19102484145845713</v>
      </c>
      <c r="UH50" s="414">
        <f t="shared" si="179"/>
        <v>5.8389169683941124E-2</v>
      </c>
      <c r="UI50" s="414">
        <f t="shared" si="180"/>
        <v>1.3773925797239446E-2</v>
      </c>
      <c r="UJ50" s="414">
        <f t="shared" si="181"/>
        <v>3.8939240132315625E-3</v>
      </c>
      <c r="UK50" s="414">
        <f t="shared" si="182"/>
        <v>6.8800693095688925E-2</v>
      </c>
      <c r="UL50" s="414">
        <f t="shared" si="183"/>
        <v>9.4138495269957048</v>
      </c>
      <c r="UM50" s="414">
        <f t="shared" si="184"/>
        <v>2.2442253238910226</v>
      </c>
      <c r="UN50" s="414">
        <f t="shared" si="185"/>
        <v>11.526775826071399</v>
      </c>
      <c r="UO50" s="414">
        <f t="shared" si="186"/>
        <v>2.592071568587023E-3</v>
      </c>
      <c r="UP50" s="414">
        <f t="shared" si="187"/>
        <v>1.2112079745775435</v>
      </c>
      <c r="UQ50" s="414">
        <f t="shared" si="188"/>
        <v>0</v>
      </c>
      <c r="UR50" s="414">
        <f t="shared" si="189"/>
        <v>6.6134135094987279E-2</v>
      </c>
      <c r="US50" s="414">
        <f t="shared" si="190"/>
        <v>0</v>
      </c>
      <c r="UT50" s="414">
        <f t="shared" si="191"/>
        <v>2.7950403760897378</v>
      </c>
      <c r="UU50" s="414">
        <f t="shared" si="192"/>
        <v>0.54375407741180637</v>
      </c>
      <c r="UV50" s="414">
        <f t="shared" si="193"/>
        <v>0.16918260574874366</v>
      </c>
      <c r="UW50" s="414">
        <f t="shared" si="194"/>
        <v>0.43608673846846258</v>
      </c>
      <c r="UX50" s="414">
        <f t="shared" si="195"/>
        <v>0</v>
      </c>
      <c r="VK50" s="2"/>
    </row>
    <row r="51" spans="400:583" ht="15.75" customHeight="1" x14ac:dyDescent="0.15">
      <c r="RJ51" s="577">
        <v>6</v>
      </c>
      <c r="RK51" s="577">
        <f>IF(OR(COUNT($KW36:$KW47)=0,COUNT($KX36:$KX47)=0,COUNT($KY36:$KY47)=0,COUNT($LU36:$LU47)=0,COUNT($LV36:$LV47)=0,$C$8="",$NC$42=""),"",IF($NC$42=0,0,
  GuardLimitLower(
    (($KW36 - $KX36 - $KY36)
     - $LU36 + $LV36)*$C$8/10^9/$NC$42,
    data_GuardLimitFlag,
    0) ))</f>
        <v>2.4688480896696264E-3</v>
      </c>
      <c r="RL51" s="577">
        <f t="shared" si="199"/>
        <v>6.6070400716393921E-3</v>
      </c>
      <c r="TQ51" s="413" t="str">
        <f t="shared" si="196"/>
        <v/>
      </c>
      <c r="TR51" s="413" t="str">
        <f t="shared" si="166"/>
        <v>Thread 8</v>
      </c>
      <c r="TS51" s="414">
        <f t="shared" si="167"/>
        <v>1.2311392024092868E-4</v>
      </c>
      <c r="TT51" s="414">
        <f t="shared" si="168"/>
        <v>7.6865645536915425E-2</v>
      </c>
      <c r="TU51" s="414">
        <f t="shared" si="169"/>
        <v>11.526389727489196</v>
      </c>
      <c r="TV51" s="414">
        <f t="shared" si="170"/>
        <v>1.2109687123358561</v>
      </c>
      <c r="TW51" s="414">
        <f t="shared" si="171"/>
        <v>0</v>
      </c>
      <c r="TX51" s="414">
        <f t="shared" si="197"/>
        <v>6.5977743730147406E-2</v>
      </c>
      <c r="TY51" s="414">
        <f t="shared" si="172"/>
        <v>0</v>
      </c>
      <c r="TZ51" s="414">
        <f t="shared" si="173"/>
        <v>2.794782781886755</v>
      </c>
      <c r="UA51" s="414">
        <f t="shared" si="174"/>
        <v>1.254724941069743E-6</v>
      </c>
      <c r="UC51" s="413" t="str">
        <f t="shared" si="198"/>
        <v/>
      </c>
      <c r="UD51" s="413" t="str">
        <f t="shared" si="175"/>
        <v>Thread 8</v>
      </c>
      <c r="UE51" s="414">
        <f t="shared" si="176"/>
        <v>1.2311392024092868E-4</v>
      </c>
      <c r="UF51" s="414">
        <f t="shared" si="177"/>
        <v>0</v>
      </c>
      <c r="UG51" s="414">
        <f t="shared" si="178"/>
        <v>0.19193349962446618</v>
      </c>
      <c r="UH51" s="414">
        <f t="shared" si="179"/>
        <v>6.5727871234096041E-2</v>
      </c>
      <c r="UI51" s="414">
        <f t="shared" si="180"/>
        <v>1.3679322148491158E-2</v>
      </c>
      <c r="UJ51" s="414">
        <f t="shared" si="181"/>
        <v>3.8495015725519507E-3</v>
      </c>
      <c r="UK51" s="414">
        <f t="shared" si="182"/>
        <v>7.6865645536915425E-2</v>
      </c>
      <c r="UL51" s="414">
        <f t="shared" si="183"/>
        <v>9.409457391874934</v>
      </c>
      <c r="UM51" s="414">
        <f t="shared" si="184"/>
        <v>2.2439900985646015</v>
      </c>
      <c r="UN51" s="414">
        <f t="shared" si="185"/>
        <v>11.526389727489196</v>
      </c>
      <c r="UO51" s="414">
        <f t="shared" si="186"/>
        <v>2.5723847220213859E-3</v>
      </c>
      <c r="UP51" s="414">
        <f t="shared" si="187"/>
        <v>1.2109687123358561</v>
      </c>
      <c r="UQ51" s="414">
        <f t="shared" si="188"/>
        <v>0</v>
      </c>
      <c r="UR51" s="414">
        <f t="shared" si="189"/>
        <v>6.5977743730147406E-2</v>
      </c>
      <c r="US51" s="414">
        <f t="shared" si="190"/>
        <v>0</v>
      </c>
      <c r="UT51" s="414">
        <f t="shared" si="191"/>
        <v>2.794782781886755</v>
      </c>
      <c r="UU51" s="414">
        <f t="shared" si="192"/>
        <v>0.54380463341385066</v>
      </c>
      <c r="UV51" s="414">
        <f t="shared" si="193"/>
        <v>0.16884037433767721</v>
      </c>
      <c r="UW51" s="414">
        <f t="shared" si="194"/>
        <v>0.4361415428832584</v>
      </c>
      <c r="UX51" s="414">
        <f t="shared" si="195"/>
        <v>1.254724941069743E-6</v>
      </c>
      <c r="VI51" s="2"/>
      <c r="VJ51" s="2"/>
      <c r="VK51" s="2"/>
    </row>
    <row r="52" spans="400:583" ht="15.75" customHeight="1" x14ac:dyDescent="0.15">
      <c r="RJ52" s="577">
        <v>7</v>
      </c>
      <c r="RK52" s="577">
        <f>IF(OR(COUNT($KW37:$KW48)=0,COUNT($KX37:$KX48)=0,COUNT($KY37:$KY48)=0,COUNT($LU37:$LU48)=0,COUNT($LV37:$LV48)=0,$C$8="",$NC$42=""),"",IF($NC$42=0,0,
  GuardLimitLower(
    (($KW37 - $KX37 - $KY37)
     - $LU37 + $LV37)*$C$8/10^9/$NC$42,
    data_GuardLimitFlag,
    0) ))</f>
        <v>4.0539656911188944E-3</v>
      </c>
      <c r="RL52" s="577">
        <f t="shared" si="199"/>
        <v>6.645471266407587E-3</v>
      </c>
      <c r="TQ52" s="413" t="str">
        <f t="shared" si="196"/>
        <v/>
      </c>
      <c r="TR52" s="413" t="str">
        <f t="shared" si="166"/>
        <v>Thread 9</v>
      </c>
      <c r="TS52" s="414">
        <f t="shared" si="167"/>
        <v>1.6972203047299641E-4</v>
      </c>
      <c r="TT52" s="414">
        <f t="shared" si="168"/>
        <v>6.4334175883175526E-2</v>
      </c>
      <c r="TU52" s="414">
        <f t="shared" si="169"/>
        <v>11.533672744922542</v>
      </c>
      <c r="TV52" s="414">
        <f t="shared" si="170"/>
        <v>1.2115335702076433</v>
      </c>
      <c r="TW52" s="414">
        <f t="shared" si="171"/>
        <v>0</v>
      </c>
      <c r="TX52" s="414">
        <f t="shared" si="197"/>
        <v>6.5150327584794485E-2</v>
      </c>
      <c r="TY52" s="414">
        <f t="shared" si="172"/>
        <v>0</v>
      </c>
      <c r="TZ52" s="414">
        <f t="shared" si="173"/>
        <v>2.7969469100801603</v>
      </c>
      <c r="UA52" s="414">
        <f t="shared" si="174"/>
        <v>1.5967837608260449E-5</v>
      </c>
      <c r="UC52" s="413" t="str">
        <f t="shared" si="198"/>
        <v/>
      </c>
      <c r="UD52" s="413" t="str">
        <f t="shared" si="175"/>
        <v>Thread 9</v>
      </c>
      <c r="UE52" s="414">
        <f t="shared" si="176"/>
        <v>1.6972203047299641E-4</v>
      </c>
      <c r="UF52" s="414">
        <f t="shared" si="177"/>
        <v>0</v>
      </c>
      <c r="UG52" s="414">
        <f t="shared" si="178"/>
        <v>0.19167184845249297</v>
      </c>
      <c r="UH52" s="414">
        <f t="shared" si="179"/>
        <v>4.1076014859377862E-2</v>
      </c>
      <c r="UI52" s="414">
        <f t="shared" si="180"/>
        <v>1.3911067295719615E-2</v>
      </c>
      <c r="UJ52" s="414">
        <f t="shared" si="181"/>
        <v>3.8702213463897004E-3</v>
      </c>
      <c r="UK52" s="414">
        <f t="shared" si="182"/>
        <v>6.4334175883175526E-2</v>
      </c>
      <c r="UL52" s="414">
        <f t="shared" si="183"/>
        <v>9.413153306412875</v>
      </c>
      <c r="UM52" s="414">
        <f t="shared" si="184"/>
        <v>2.2435404230652471</v>
      </c>
      <c r="UN52" s="414">
        <f t="shared" si="185"/>
        <v>11.533672744922542</v>
      </c>
      <c r="UO52" s="414">
        <f t="shared" si="186"/>
        <v>2.5306476919557818E-3</v>
      </c>
      <c r="UP52" s="414">
        <f t="shared" si="187"/>
        <v>1.2115335702076433</v>
      </c>
      <c r="UQ52" s="414">
        <f t="shared" si="188"/>
        <v>0</v>
      </c>
      <c r="UR52" s="414">
        <f t="shared" si="189"/>
        <v>6.5150327584794485E-2</v>
      </c>
      <c r="US52" s="414">
        <f t="shared" si="190"/>
        <v>0</v>
      </c>
      <c r="UT52" s="414">
        <f t="shared" si="191"/>
        <v>2.7969469100801603</v>
      </c>
      <c r="UU52" s="414">
        <f t="shared" si="192"/>
        <v>0.54354196597828752</v>
      </c>
      <c r="UV52" s="414">
        <f t="shared" si="193"/>
        <v>0.16924798035036301</v>
      </c>
      <c r="UW52" s="414">
        <f t="shared" si="194"/>
        <v>0.43592910600089368</v>
      </c>
      <c r="UX52" s="414">
        <f t="shared" si="195"/>
        <v>1.5967837608260449E-5</v>
      </c>
      <c r="VI52" s="2"/>
      <c r="VJ52" s="2"/>
      <c r="VK52" s="2"/>
    </row>
    <row r="53" spans="400:583" ht="15.75" customHeight="1" x14ac:dyDescent="0.15">
      <c r="RJ53" s="577">
        <v>8</v>
      </c>
      <c r="RK53" s="577">
        <f>IF(OR(COUNT($KW38:$KW49)=0,COUNT($KX38:$KX49)=0,COUNT($KY38:$KY49)=0,COUNT($LU38:$LU49)=0,COUNT($LV38:$LV49)=0,$C$8="",$NC$42=""),"",IF($NC$42=0,0,
  GuardLimitLower(
    (($KW38 - $KX38 - $KY38)
     - $LU38 + $LV38)*$C$8/10^9/$NC$42,
    data_GuardLimitFlag,
    0) ))</f>
        <v>2.470958421727102E-5</v>
      </c>
      <c r="RL53" s="577">
        <f t="shared" si="199"/>
        <v>6.6603593474206602E-3</v>
      </c>
      <c r="TQ53" s="413" t="str">
        <f t="shared" si="196"/>
        <v/>
      </c>
      <c r="TR53" s="413" t="str">
        <f t="shared" si="166"/>
        <v>Thread 10</v>
      </c>
      <c r="TS53" s="414">
        <f t="shared" si="167"/>
        <v>1.7004077991809329E-4</v>
      </c>
      <c r="TT53" s="414">
        <f t="shared" si="168"/>
        <v>8.1677042580994064E-2</v>
      </c>
      <c r="TU53" s="414">
        <f t="shared" si="169"/>
        <v>11.525473011396548</v>
      </c>
      <c r="TV53" s="414">
        <f t="shared" si="170"/>
        <v>1.2109605491621624</v>
      </c>
      <c r="TW53" s="414">
        <f t="shared" si="171"/>
        <v>0</v>
      </c>
      <c r="TX53" s="414">
        <f t="shared" si="197"/>
        <v>6.5264489444471899E-2</v>
      </c>
      <c r="TY53" s="414">
        <f t="shared" si="172"/>
        <v>0</v>
      </c>
      <c r="TZ53" s="414">
        <f t="shared" si="173"/>
        <v>2.7951378356147885</v>
      </c>
      <c r="UA53" s="414">
        <f t="shared" si="174"/>
        <v>4.0284623738478641E-5</v>
      </c>
      <c r="UC53" s="413" t="str">
        <f t="shared" si="198"/>
        <v/>
      </c>
      <c r="UD53" s="413" t="str">
        <f t="shared" si="175"/>
        <v>Thread 10</v>
      </c>
      <c r="UE53" s="414">
        <f t="shared" si="176"/>
        <v>1.7004077991809329E-4</v>
      </c>
      <c r="UF53" s="414">
        <f t="shared" si="177"/>
        <v>0</v>
      </c>
      <c r="UG53" s="414">
        <f t="shared" si="178"/>
        <v>0.19101835641353404</v>
      </c>
      <c r="UH53" s="414">
        <f t="shared" si="179"/>
        <v>8.0452555400096493E-2</v>
      </c>
      <c r="UI53" s="414">
        <f t="shared" si="180"/>
        <v>1.3580002713496631E-2</v>
      </c>
      <c r="UJ53" s="414">
        <f t="shared" si="181"/>
        <v>3.8794269496638155E-3</v>
      </c>
      <c r="UK53" s="414">
        <f t="shared" si="182"/>
        <v>8.1677042580994064E-2</v>
      </c>
      <c r="UL53" s="414">
        <f t="shared" si="183"/>
        <v>9.4129234400769786</v>
      </c>
      <c r="UM53" s="414">
        <f t="shared" si="184"/>
        <v>2.2435030164106933</v>
      </c>
      <c r="UN53" s="414">
        <f t="shared" si="185"/>
        <v>11.525473011396548</v>
      </c>
      <c r="UO53" s="414">
        <f t="shared" si="186"/>
        <v>2.5338508732273422E-3</v>
      </c>
      <c r="UP53" s="414">
        <f t="shared" si="187"/>
        <v>1.2109605491621624</v>
      </c>
      <c r="UQ53" s="414">
        <f t="shared" si="188"/>
        <v>0</v>
      </c>
      <c r="UR53" s="414">
        <f t="shared" si="189"/>
        <v>6.5264489444471899E-2</v>
      </c>
      <c r="US53" s="414">
        <f t="shared" si="190"/>
        <v>0</v>
      </c>
      <c r="UT53" s="414">
        <f t="shared" si="191"/>
        <v>2.7951378356147885</v>
      </c>
      <c r="UU53" s="414">
        <f t="shared" si="192"/>
        <v>0.54323621864065896</v>
      </c>
      <c r="UV53" s="414">
        <f t="shared" si="193"/>
        <v>0.16929768301246162</v>
      </c>
      <c r="UW53" s="414">
        <f t="shared" si="194"/>
        <v>0.43643971590656655</v>
      </c>
      <c r="UX53" s="414">
        <f t="shared" si="195"/>
        <v>4.0284623738478641E-5</v>
      </c>
      <c r="VA53" s="415"/>
      <c r="VI53" s="2"/>
      <c r="VJ53" s="2"/>
      <c r="VK53" s="2"/>
    </row>
    <row r="54" spans="400:583" x14ac:dyDescent="0.25">
      <c r="RJ54" s="577">
        <v>9</v>
      </c>
      <c r="RK54" s="577">
        <f>IF(OR(COUNT($KW39:$KW50)=0,COUNT($KX39:$KX50)=0,COUNT($KY39:$KY50)=0,COUNT($LU39:$LU50)=0,COUNT($LV39:$LV50)=0,$C$8="",$NC$42=""),"",IF($NC$42=0,0,
  GuardLimitLower(
    (($KW39 - $KX39 - $KY39)
     - $LU39 + $LV39)*$C$8/10^9/$NC$42,
    data_GuardLimitFlag,
    0) ))</f>
        <v>0</v>
      </c>
      <c r="RL54" s="577">
        <f t="shared" si="199"/>
        <v>6.6142525989244328E-3</v>
      </c>
      <c r="TK54" s="254"/>
      <c r="TL54" s="420"/>
      <c r="TM54" s="421"/>
      <c r="TN54" s="422"/>
      <c r="TQ54" s="413" t="str">
        <f t="shared" si="196"/>
        <v/>
      </c>
      <c r="TR54" s="413" t="str">
        <f t="shared" si="166"/>
        <v>Thread 11</v>
      </c>
      <c r="TS54" s="414">
        <f t="shared" si="167"/>
        <v>1.391456847543673E-4</v>
      </c>
      <c r="TT54" s="414">
        <f t="shared" si="168"/>
        <v>8.9801006919021431E-2</v>
      </c>
      <c r="TU54" s="414">
        <f t="shared" si="169"/>
        <v>11.519814047674322</v>
      </c>
      <c r="TV54" s="414">
        <f t="shared" si="170"/>
        <v>1.2106167675306683</v>
      </c>
      <c r="TW54" s="414">
        <f t="shared" si="171"/>
        <v>0</v>
      </c>
      <c r="TX54" s="414">
        <f t="shared" si="197"/>
        <v>6.489987589629391E-2</v>
      </c>
      <c r="TY54" s="414">
        <f t="shared" si="172"/>
        <v>0</v>
      </c>
      <c r="TZ54" s="414">
        <f t="shared" si="173"/>
        <v>2.7954072507973908</v>
      </c>
      <c r="UA54" s="414">
        <f t="shared" si="174"/>
        <v>0</v>
      </c>
      <c r="UC54" s="413" t="str">
        <f t="shared" si="198"/>
        <v/>
      </c>
      <c r="UD54" s="413" t="str">
        <f t="shared" si="175"/>
        <v>Thread 11</v>
      </c>
      <c r="UE54" s="414">
        <f t="shared" si="176"/>
        <v>1.391456847543673E-4</v>
      </c>
      <c r="UF54" s="414">
        <f t="shared" si="177"/>
        <v>0</v>
      </c>
      <c r="UG54" s="414">
        <f t="shared" si="178"/>
        <v>0.1927818822249116</v>
      </c>
      <c r="UH54" s="414">
        <f t="shared" si="179"/>
        <v>8.396648072995902E-2</v>
      </c>
      <c r="UI54" s="414">
        <f t="shared" si="180"/>
        <v>1.5180805525234783E-2</v>
      </c>
      <c r="UJ54" s="414">
        <f t="shared" si="181"/>
        <v>3.8510777756204559E-3</v>
      </c>
      <c r="UK54" s="414">
        <f t="shared" si="182"/>
        <v>8.9801006919021431E-2</v>
      </c>
      <c r="UL54" s="414">
        <f t="shared" si="183"/>
        <v>9.4117771633651035</v>
      </c>
      <c r="UM54" s="414">
        <f t="shared" si="184"/>
        <v>2.2448056252484707</v>
      </c>
      <c r="UN54" s="414">
        <f t="shared" si="185"/>
        <v>11.519814047674322</v>
      </c>
      <c r="UO54" s="414">
        <f t="shared" si="186"/>
        <v>2.5770373016717569E-3</v>
      </c>
      <c r="UP54" s="414">
        <f t="shared" si="187"/>
        <v>1.2106167675306683</v>
      </c>
      <c r="UQ54" s="414">
        <f t="shared" si="188"/>
        <v>0</v>
      </c>
      <c r="UR54" s="414">
        <f t="shared" si="189"/>
        <v>6.489987589629391E-2</v>
      </c>
      <c r="US54" s="414">
        <f t="shared" si="190"/>
        <v>0</v>
      </c>
      <c r="UT54" s="414">
        <f t="shared" si="191"/>
        <v>2.7954072507973908</v>
      </c>
      <c r="UU54" s="414">
        <f t="shared" si="192"/>
        <v>0.54222620045317771</v>
      </c>
      <c r="UV54" s="414">
        <f t="shared" si="193"/>
        <v>0.16962943505237169</v>
      </c>
      <c r="UW54" s="414">
        <f t="shared" si="194"/>
        <v>0.43683086743991983</v>
      </c>
      <c r="UX54" s="414">
        <f t="shared" si="195"/>
        <v>0</v>
      </c>
      <c r="VI54" s="2"/>
      <c r="VJ54" s="2"/>
      <c r="VK54" s="2"/>
    </row>
    <row r="55" spans="400:583" x14ac:dyDescent="0.15">
      <c r="RJ55" s="577">
        <v>10</v>
      </c>
      <c r="RK55" s="577">
        <f>IF(OR(COUNT($KW40:$KW51)=0,COUNT($KX40:$KX51)=0,COUNT($KY40:$KY51)=0,COUNT($LU40:$LU51)=0,COUNT($LV40:$LV51)=0,$C$8="",$NC$42=""),"",IF($NC$42=0,0,
  GuardLimitLower(
    (($KW40 - $KX40 - $KY40)
     - $LU40 + $LV40)*$C$8/10^9/$NC$42,
    data_GuardLimitFlag,
    0) ))</f>
        <v>2.899079794399675E-4</v>
      </c>
      <c r="RL55" s="577">
        <f t="shared" si="199"/>
        <v>6.669049997581401E-3</v>
      </c>
      <c r="VI55" s="2"/>
      <c r="VJ55" s="2"/>
      <c r="VK55" s="2"/>
    </row>
    <row r="56" spans="400:583" x14ac:dyDescent="0.15">
      <c r="RJ56" s="577">
        <v>11</v>
      </c>
      <c r="RK56" s="577">
        <f>IF(OR(COUNT($KW41:$KW52)=0,COUNT($KX41:$KX52)=0,COUNT($KY41:$KY52)=0,COUNT($LU41:$LU52)=0,COUNT($LV41:$LV52)=0,$C$8="",$NC$42=""),"",IF($NC$42=0,0,
  GuardLimitLower(
    (($KW41 - $KX41 - $KY41)
     - $LU41 + $LV41)*$C$8/10^9/$NC$42,
    data_GuardLimitFlag,
    0) ))</f>
        <v>1.4056147155984686E-3</v>
      </c>
      <c r="RL56" s="577">
        <f t="shared" si="199"/>
        <v>6.6657910037711231E-3</v>
      </c>
      <c r="TQ56" s="252" t="s">
        <v>1430</v>
      </c>
      <c r="UC56" s="252" t="s">
        <v>1430</v>
      </c>
      <c r="VI56" s="2"/>
      <c r="VJ56" s="2"/>
      <c r="VK56" s="2"/>
    </row>
    <row r="57" spans="400:583" x14ac:dyDescent="0.15">
      <c r="VI57" s="2"/>
      <c r="VJ57" s="2"/>
      <c r="VK57" s="2"/>
    </row>
    <row r="58" spans="400:583" x14ac:dyDescent="0.15">
      <c r="VI58" s="2"/>
      <c r="VJ58" s="2"/>
      <c r="VK58" s="2"/>
    </row>
    <row r="59" spans="400:583" x14ac:dyDescent="0.15">
      <c r="VI59" s="2"/>
      <c r="VJ59" s="2"/>
      <c r="VK59" s="2"/>
    </row>
    <row r="60" spans="400:583" x14ac:dyDescent="0.15">
      <c r="VI60" s="2"/>
      <c r="VJ60" s="2"/>
      <c r="VK60" s="2"/>
    </row>
    <row r="61" spans="400:583" x14ac:dyDescent="0.15">
      <c r="VI61" s="2"/>
      <c r="VJ61" s="2"/>
      <c r="VK61" s="2"/>
    </row>
    <row r="62" spans="400:583" x14ac:dyDescent="0.15">
      <c r="VI62" s="2"/>
      <c r="VJ62" s="2"/>
      <c r="VK62" s="2"/>
    </row>
    <row r="63" spans="400:583" x14ac:dyDescent="0.25">
      <c r="OJ63" s="232"/>
      <c r="OK63" s="232"/>
      <c r="OL63" s="232"/>
      <c r="OM63" s="232"/>
      <c r="ON63" s="232"/>
      <c r="VI63" s="2"/>
      <c r="VJ63" s="2"/>
      <c r="VK63" s="2"/>
    </row>
    <row r="64" spans="400:583" x14ac:dyDescent="0.15">
      <c r="VI64" s="2"/>
      <c r="VJ64" s="2"/>
      <c r="VK64" s="2"/>
    </row>
    <row r="65" spans="541:583" x14ac:dyDescent="0.15">
      <c r="VI65" s="2"/>
      <c r="VJ65" s="2"/>
      <c r="VK65" s="2"/>
    </row>
    <row r="66" spans="541:583" x14ac:dyDescent="0.15">
      <c r="VI66" s="2"/>
      <c r="VJ66" s="2"/>
      <c r="VK66" s="2"/>
    </row>
    <row r="67" spans="541:583" x14ac:dyDescent="0.15">
      <c r="VI67" s="2"/>
      <c r="VJ67" s="2"/>
      <c r="VK67" s="2"/>
    </row>
    <row r="68" spans="541:583" x14ac:dyDescent="0.15">
      <c r="VI68" s="2"/>
      <c r="VJ68" s="2"/>
      <c r="VK68" s="2"/>
    </row>
    <row r="69" spans="541:583" x14ac:dyDescent="0.15">
      <c r="VI69" s="2"/>
      <c r="VJ69" s="2"/>
      <c r="VK69" s="2"/>
    </row>
    <row r="70" spans="541:583" x14ac:dyDescent="0.15">
      <c r="VI70" s="2"/>
      <c r="VJ70" s="2"/>
      <c r="VK70" s="2"/>
    </row>
    <row r="71" spans="541:583" x14ac:dyDescent="0.15">
      <c r="TU71" s="416"/>
      <c r="TV71" s="416"/>
      <c r="TW71" s="416"/>
      <c r="TX71" s="416"/>
      <c r="TY71" s="416"/>
      <c r="VI71" s="2"/>
      <c r="VJ71" s="2"/>
      <c r="VK71" s="2"/>
    </row>
    <row r="72" spans="541:583" x14ac:dyDescent="0.15">
      <c r="TU72" s="416"/>
      <c r="TV72" s="416"/>
      <c r="TW72" s="416"/>
      <c r="TX72" s="416"/>
      <c r="TY72" s="416"/>
      <c r="VI72" s="2"/>
      <c r="VJ72" s="2"/>
      <c r="VK72" s="2"/>
    </row>
    <row r="73" spans="541:583" x14ac:dyDescent="0.15">
      <c r="TU73" s="416"/>
      <c r="TV73" s="416"/>
      <c r="TW73" s="416"/>
      <c r="TX73" s="416"/>
      <c r="TY73" s="416"/>
      <c r="UL73" s="416"/>
      <c r="UM73" s="416"/>
      <c r="UN73" s="416"/>
      <c r="UO73" s="416"/>
      <c r="UP73" s="416"/>
      <c r="UQ73" s="416"/>
      <c r="UR73" s="416"/>
      <c r="VI73" s="2"/>
      <c r="VJ73" s="2"/>
      <c r="VK73" s="2"/>
    </row>
    <row r="74" spans="541:583" x14ac:dyDescent="0.15">
      <c r="TU74" s="416"/>
      <c r="TV74" s="416"/>
      <c r="TW74" s="416"/>
      <c r="TX74" s="416"/>
      <c r="TY74" s="416"/>
      <c r="UL74" s="416"/>
      <c r="UM74" s="416"/>
      <c r="UN74" s="416"/>
      <c r="UO74" s="416"/>
      <c r="UP74" s="416"/>
      <c r="UQ74" s="416"/>
      <c r="UR74" s="416"/>
      <c r="VI74" s="2"/>
      <c r="VJ74" s="2"/>
      <c r="VK74" s="2"/>
    </row>
    <row r="75" spans="541:583" x14ac:dyDescent="0.15">
      <c r="TU75" s="416"/>
      <c r="TV75" s="416"/>
      <c r="TW75" s="416"/>
      <c r="TX75" s="416"/>
      <c r="TY75" s="416"/>
      <c r="UL75" s="416"/>
      <c r="UM75" s="416"/>
      <c r="UN75" s="416"/>
      <c r="UO75" s="416"/>
      <c r="UP75" s="416"/>
      <c r="UQ75" s="416"/>
      <c r="UR75" s="416"/>
      <c r="VI75" s="2"/>
      <c r="VJ75" s="2"/>
      <c r="VK75" s="2"/>
    </row>
    <row r="76" spans="541:583" x14ac:dyDescent="0.15">
      <c r="VI76" s="2"/>
      <c r="VJ76" s="2"/>
      <c r="VK76" s="2"/>
    </row>
    <row r="77" spans="541:583" x14ac:dyDescent="0.15">
      <c r="VI77" s="2"/>
      <c r="VJ77" s="2"/>
      <c r="VK77" s="2"/>
    </row>
    <row r="78" spans="541:583" x14ac:dyDescent="0.15">
      <c r="VI78" s="2"/>
      <c r="VJ78" s="2"/>
      <c r="VK78" s="2"/>
    </row>
    <row r="79" spans="541:583" x14ac:dyDescent="0.15">
      <c r="VI79" s="2"/>
      <c r="VJ79" s="2"/>
      <c r="VK79" s="2"/>
    </row>
    <row r="80" spans="541:583" x14ac:dyDescent="0.15">
      <c r="VI80" s="2"/>
      <c r="VJ80" s="2"/>
      <c r="VK80" s="2"/>
    </row>
    <row r="81" spans="581:583" ht="12.95" customHeight="1" x14ac:dyDescent="0.15">
      <c r="VI81" s="2"/>
      <c r="VJ81" s="2"/>
      <c r="VK81" s="2"/>
    </row>
    <row r="82" spans="581:583" ht="12.95" customHeight="1" x14ac:dyDescent="0.15">
      <c r="VI82" s="2"/>
      <c r="VJ82" s="2"/>
      <c r="VK82" s="2"/>
    </row>
    <row r="83" spans="581:583" x14ac:dyDescent="0.15">
      <c r="VI83" s="2"/>
      <c r="VJ83" s="2"/>
      <c r="VK83" s="2"/>
    </row>
    <row r="84" spans="581:583" x14ac:dyDescent="0.15">
      <c r="VI84" s="2"/>
      <c r="VJ84" s="2"/>
      <c r="VK84" s="2"/>
    </row>
    <row r="85" spans="581:583" x14ac:dyDescent="0.15">
      <c r="VI85" s="2"/>
      <c r="VJ85" s="2"/>
      <c r="VK85" s="2"/>
    </row>
    <row r="86" spans="581:583" x14ac:dyDescent="0.15">
      <c r="VI86" s="2"/>
      <c r="VJ86" s="2"/>
      <c r="VK86" s="2"/>
    </row>
    <row r="87" spans="581:583" x14ac:dyDescent="0.15">
      <c r="VI87" s="2"/>
      <c r="VJ87" s="2"/>
      <c r="VK87" s="2"/>
    </row>
    <row r="88" spans="581:583" x14ac:dyDescent="0.15">
      <c r="VI88" s="2"/>
      <c r="VJ88" s="2"/>
      <c r="VK88" s="2"/>
    </row>
  </sheetData>
  <sheetProtection algorithmName="SHA-512" hashValue="EYGclMHE18NomVanEMsCtRXrfQzxJQ/tCa+0oY9r436+2WPY9ay3oQvIpyCmDJckrw+Fvdm2ZgOTl+0cfdN/fw==" saltValue="3lkWfUdHZbiAfzc3j6rIFw==" spinCount="100000" sheet="1" objects="1" scenarios="1"/>
  <mergeCells count="39">
    <mergeCell ref="Q11:Q12"/>
    <mergeCell ref="Q14:Q15"/>
    <mergeCell ref="Q18:Q19"/>
    <mergeCell ref="RK26:RQ27"/>
    <mergeCell ref="PL43:PY43"/>
    <mergeCell ref="PZ43:QB43"/>
    <mergeCell ref="QD43:QF43"/>
    <mergeCell ref="QG43:QH43"/>
    <mergeCell ref="QW43:QX43"/>
    <mergeCell ref="QS43:QU43"/>
    <mergeCell ref="UX38:UX39"/>
    <mergeCell ref="UV38:UV39"/>
    <mergeCell ref="TZ38:TZ39"/>
    <mergeCell ref="UE38:UE39"/>
    <mergeCell ref="TT38:TT39"/>
    <mergeCell ref="TU38:TU39"/>
    <mergeCell ref="TX38:TX39"/>
    <mergeCell ref="TV38:TV39"/>
    <mergeCell ref="UL38:UL39"/>
    <mergeCell ref="UJ38:UJ39"/>
    <mergeCell ref="UK38:UK39"/>
    <mergeCell ref="UG38:UG39"/>
    <mergeCell ref="UT38:UT39"/>
    <mergeCell ref="UU38:UU39"/>
    <mergeCell ref="UO38:UO39"/>
    <mergeCell ref="UP38:UP39"/>
    <mergeCell ref="TS38:TS39"/>
    <mergeCell ref="UI38:UI39"/>
    <mergeCell ref="UF38:UF39"/>
    <mergeCell ref="UH38:UH39"/>
    <mergeCell ref="TW38:TW39"/>
    <mergeCell ref="TY38:TY39"/>
    <mergeCell ref="UA38:UA39"/>
    <mergeCell ref="UW38:UW39"/>
    <mergeCell ref="UQ38:UQ39"/>
    <mergeCell ref="UM38:UM39"/>
    <mergeCell ref="UN38:UN39"/>
    <mergeCell ref="UR38:UR39"/>
    <mergeCell ref="US38:US39"/>
  </mergeCells>
  <phoneticPr fontId="26"/>
  <dataValidations disablePrompts="1" count="1">
    <dataValidation type="whole" allowBlank="1" showInputMessage="1" showErrorMessage="1" sqref="V8" xr:uid="{00000000-0002-0000-0100-000000000000}">
      <formula1>0</formula1>
      <formula2>3</formula2>
    </dataValidation>
  </dataValidations>
  <pageMargins left="0.7" right="0.7" top="0.75" bottom="0.75" header="0.3" footer="0.3"/>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3">
    <pageSetUpPr fitToPage="1"/>
  </sheetPr>
  <dimension ref="A1:L349"/>
  <sheetViews>
    <sheetView workbookViewId="0"/>
  </sheetViews>
  <sheetFormatPr defaultColWidth="9" defaultRowHeight="24" x14ac:dyDescent="0.15"/>
  <cols>
    <col min="1" max="1" width="3.375" style="18" customWidth="1"/>
    <col min="2" max="2" width="11.25" style="17" customWidth="1"/>
    <col min="3" max="3" width="34" style="17" customWidth="1"/>
    <col min="4" max="4" width="32.125" style="17" bestFit="1" customWidth="1"/>
    <col min="5" max="5" width="35.625" style="17" customWidth="1"/>
    <col min="6" max="6" width="35.625" style="17" bestFit="1" customWidth="1"/>
    <col min="7" max="7" width="3.125" style="17" customWidth="1"/>
    <col min="8" max="8" width="33.125" style="17" customWidth="1"/>
    <col min="9" max="9" width="28.375" style="17" customWidth="1"/>
    <col min="10" max="10" width="21.75" style="17" customWidth="1"/>
    <col min="11" max="16384" width="9" style="17"/>
  </cols>
  <sheetData>
    <row r="1" spans="1:6" x14ac:dyDescent="0.15">
      <c r="A1" s="18" t="s">
        <v>552</v>
      </c>
    </row>
    <row r="2" spans="1:6" x14ac:dyDescent="0.15">
      <c r="B2" s="58" t="s">
        <v>310</v>
      </c>
      <c r="C2" s="58" t="s">
        <v>557</v>
      </c>
      <c r="D2" s="58" t="s">
        <v>1433</v>
      </c>
      <c r="E2" s="58" t="s">
        <v>1434</v>
      </c>
      <c r="F2" s="58" t="s">
        <v>1435</v>
      </c>
    </row>
    <row r="3" spans="1:6" x14ac:dyDescent="0.15">
      <c r="B3" s="83"/>
      <c r="C3" s="83" t="s">
        <v>549</v>
      </c>
      <c r="D3" s="83" t="s">
        <v>715</v>
      </c>
      <c r="E3" s="83" t="s">
        <v>549</v>
      </c>
      <c r="F3" s="83" t="s">
        <v>549</v>
      </c>
    </row>
    <row r="4" spans="1:6" x14ac:dyDescent="0.15">
      <c r="B4" s="75" t="s">
        <v>714</v>
      </c>
      <c r="C4" s="75" t="s">
        <v>1440</v>
      </c>
      <c r="D4" s="75" t="s">
        <v>1407</v>
      </c>
      <c r="E4" s="75" t="s">
        <v>278</v>
      </c>
      <c r="F4" s="75" t="s">
        <v>278</v>
      </c>
    </row>
    <row r="5" spans="1:6" x14ac:dyDescent="0.15">
      <c r="B5" s="59" t="s">
        <v>676</v>
      </c>
      <c r="C5" s="59" t="s">
        <v>357</v>
      </c>
      <c r="D5" s="59" t="s">
        <v>657</v>
      </c>
      <c r="E5" s="59" t="s">
        <v>357</v>
      </c>
      <c r="F5" s="59" t="s">
        <v>522</v>
      </c>
    </row>
    <row r="6" spans="1:6" x14ac:dyDescent="0.15">
      <c r="B6" s="59" t="s">
        <v>677</v>
      </c>
      <c r="C6" s="60" t="s">
        <v>1560</v>
      </c>
      <c r="D6" s="60" t="s">
        <v>1561</v>
      </c>
      <c r="E6" s="60" t="s">
        <v>279</v>
      </c>
      <c r="F6" s="60" t="s">
        <v>279</v>
      </c>
    </row>
    <row r="7" spans="1:6" x14ac:dyDescent="0.15">
      <c r="B7" s="59" t="s">
        <v>678</v>
      </c>
      <c r="C7" s="60" t="s">
        <v>909</v>
      </c>
      <c r="D7" s="60" t="s">
        <v>910</v>
      </c>
      <c r="E7" s="60" t="s">
        <v>909</v>
      </c>
      <c r="F7" s="60" t="s">
        <v>911</v>
      </c>
    </row>
    <row r="8" spans="1:6" x14ac:dyDescent="0.15">
      <c r="B8" s="59" t="s">
        <v>679</v>
      </c>
      <c r="C8" s="60" t="s">
        <v>672</v>
      </c>
      <c r="D8" s="60" t="s">
        <v>674</v>
      </c>
      <c r="E8" s="60" t="s">
        <v>672</v>
      </c>
      <c r="F8" s="60" t="s">
        <v>672</v>
      </c>
    </row>
    <row r="9" spans="1:6" x14ac:dyDescent="0.15">
      <c r="B9" s="59" t="s">
        <v>680</v>
      </c>
      <c r="C9" s="60" t="s">
        <v>102</v>
      </c>
      <c r="D9" s="60" t="s">
        <v>103</v>
      </c>
      <c r="E9" s="60" t="s">
        <v>102</v>
      </c>
      <c r="F9" s="60" t="s">
        <v>102</v>
      </c>
    </row>
    <row r="10" spans="1:6" x14ac:dyDescent="0.15">
      <c r="B10" s="59" t="s">
        <v>681</v>
      </c>
      <c r="C10" s="59" t="s">
        <v>673</v>
      </c>
      <c r="D10" s="59" t="s">
        <v>675</v>
      </c>
      <c r="E10" s="59" t="s">
        <v>673</v>
      </c>
      <c r="F10" s="59" t="s">
        <v>673</v>
      </c>
    </row>
    <row r="11" spans="1:6" x14ac:dyDescent="0.15">
      <c r="B11" s="59" t="s">
        <v>682</v>
      </c>
      <c r="C11" s="60" t="s">
        <v>1112</v>
      </c>
      <c r="D11" s="60" t="s">
        <v>1166</v>
      </c>
      <c r="E11" s="60" t="s">
        <v>338</v>
      </c>
      <c r="F11" s="60" t="s">
        <v>338</v>
      </c>
    </row>
    <row r="12" spans="1:6" x14ac:dyDescent="0.15">
      <c r="B12" s="59" t="s">
        <v>683</v>
      </c>
      <c r="C12" s="60" t="s">
        <v>446</v>
      </c>
      <c r="D12" s="60" t="s">
        <v>1857</v>
      </c>
      <c r="E12" s="60" t="s">
        <v>446</v>
      </c>
      <c r="F12" s="60" t="s">
        <v>446</v>
      </c>
    </row>
    <row r="13" spans="1:6" x14ac:dyDescent="0.15">
      <c r="B13" s="59" t="s">
        <v>684</v>
      </c>
      <c r="C13" s="60" t="s">
        <v>1777</v>
      </c>
      <c r="D13" s="60" t="s">
        <v>1778</v>
      </c>
      <c r="E13" s="60" t="s">
        <v>1779</v>
      </c>
      <c r="F13" s="60" t="s">
        <v>1779</v>
      </c>
    </row>
    <row r="14" spans="1:6" x14ac:dyDescent="0.15">
      <c r="B14" s="75" t="s">
        <v>685</v>
      </c>
      <c r="C14" s="74" t="s">
        <v>433</v>
      </c>
      <c r="D14" s="74" t="s">
        <v>280</v>
      </c>
      <c r="E14" s="74" t="s">
        <v>433</v>
      </c>
      <c r="F14" s="74" t="s">
        <v>434</v>
      </c>
    </row>
    <row r="15" spans="1:6" x14ac:dyDescent="0.15">
      <c r="B15" s="75" t="s">
        <v>686</v>
      </c>
      <c r="C15" s="74" t="s">
        <v>513</v>
      </c>
      <c r="D15" s="74" t="s">
        <v>515</v>
      </c>
      <c r="E15" s="74" t="s">
        <v>513</v>
      </c>
      <c r="F15" s="74" t="s">
        <v>513</v>
      </c>
    </row>
    <row r="16" spans="1:6" x14ac:dyDescent="0.15">
      <c r="B16" s="75" t="s">
        <v>687</v>
      </c>
      <c r="C16" s="74" t="s">
        <v>514</v>
      </c>
      <c r="D16" s="74" t="s">
        <v>516</v>
      </c>
      <c r="E16" s="74" t="s">
        <v>514</v>
      </c>
      <c r="F16" s="74" t="s">
        <v>514</v>
      </c>
    </row>
    <row r="17" spans="1:6" x14ac:dyDescent="0.15">
      <c r="B17" s="75" t="s">
        <v>688</v>
      </c>
      <c r="C17" s="74" t="s">
        <v>912</v>
      </c>
      <c r="D17" s="74" t="s">
        <v>658</v>
      </c>
      <c r="E17" s="74" t="s">
        <v>915</v>
      </c>
      <c r="F17" s="74" t="s">
        <v>915</v>
      </c>
    </row>
    <row r="18" spans="1:6" x14ac:dyDescent="0.15">
      <c r="B18" s="75" t="s">
        <v>689</v>
      </c>
      <c r="C18" s="74" t="s">
        <v>913</v>
      </c>
      <c r="D18" s="74" t="s">
        <v>914</v>
      </c>
      <c r="E18" s="74" t="s">
        <v>913</v>
      </c>
      <c r="F18" s="74" t="s">
        <v>913</v>
      </c>
    </row>
    <row r="19" spans="1:6" x14ac:dyDescent="0.15">
      <c r="B19" s="59" t="s">
        <v>690</v>
      </c>
      <c r="C19" s="60"/>
      <c r="D19" s="60"/>
      <c r="E19" s="60"/>
      <c r="F19" s="60"/>
    </row>
    <row r="21" spans="1:6" x14ac:dyDescent="0.15">
      <c r="A21" s="18" t="s">
        <v>553</v>
      </c>
    </row>
    <row r="22" spans="1:6" x14ac:dyDescent="0.15">
      <c r="B22" s="58" t="s">
        <v>310</v>
      </c>
      <c r="C22" s="58" t="s">
        <v>557</v>
      </c>
      <c r="D22" s="58" t="s">
        <v>1433</v>
      </c>
      <c r="E22" s="58" t="s">
        <v>1434</v>
      </c>
      <c r="F22" s="58" t="s">
        <v>1435</v>
      </c>
    </row>
    <row r="23" spans="1:6" x14ac:dyDescent="0.15">
      <c r="B23" s="83"/>
      <c r="C23" s="87" t="s">
        <v>113</v>
      </c>
      <c r="D23" s="87" t="s">
        <v>114</v>
      </c>
      <c r="E23" s="85" t="s">
        <v>113</v>
      </c>
      <c r="F23" s="87" t="s">
        <v>573</v>
      </c>
    </row>
    <row r="24" spans="1:6" ht="31.5" x14ac:dyDescent="0.15">
      <c r="B24" s="59" t="s">
        <v>104</v>
      </c>
      <c r="C24" s="57" t="s">
        <v>435</v>
      </c>
      <c r="D24" s="62" t="s">
        <v>1633</v>
      </c>
      <c r="E24" s="62" t="s">
        <v>435</v>
      </c>
      <c r="F24" s="62" t="s">
        <v>435</v>
      </c>
    </row>
    <row r="25" spans="1:6" ht="47.25" x14ac:dyDescent="0.15">
      <c r="B25" s="59" t="s">
        <v>105</v>
      </c>
      <c r="C25" s="62" t="s">
        <v>334</v>
      </c>
      <c r="D25" s="62" t="s">
        <v>1634</v>
      </c>
      <c r="E25" s="62" t="s">
        <v>334</v>
      </c>
      <c r="F25" s="62" t="s">
        <v>339</v>
      </c>
    </row>
    <row r="26" spans="1:6" ht="31.5" x14ac:dyDescent="0.15">
      <c r="B26" s="59" t="s">
        <v>106</v>
      </c>
      <c r="C26" s="57" t="s">
        <v>1781</v>
      </c>
      <c r="D26" s="62" t="s">
        <v>1789</v>
      </c>
      <c r="E26" s="62" t="s">
        <v>1781</v>
      </c>
      <c r="F26" s="62" t="s">
        <v>398</v>
      </c>
    </row>
    <row r="27" spans="1:6" x14ac:dyDescent="0.15">
      <c r="B27" s="59" t="s">
        <v>107</v>
      </c>
      <c r="C27" s="57" t="s">
        <v>436</v>
      </c>
      <c r="D27" s="62" t="s">
        <v>1788</v>
      </c>
      <c r="E27" s="62" t="s">
        <v>436</v>
      </c>
      <c r="F27" s="62" t="s">
        <v>436</v>
      </c>
    </row>
    <row r="28" spans="1:6" ht="31.5" x14ac:dyDescent="0.15">
      <c r="B28" s="59" t="s">
        <v>108</v>
      </c>
      <c r="C28" s="57" t="s">
        <v>1780</v>
      </c>
      <c r="D28" s="62" t="s">
        <v>1787</v>
      </c>
      <c r="E28" s="62" t="s">
        <v>1780</v>
      </c>
      <c r="F28" s="62" t="s">
        <v>1780</v>
      </c>
    </row>
    <row r="29" spans="1:6" ht="31.5" x14ac:dyDescent="0.15">
      <c r="B29" s="59" t="s">
        <v>109</v>
      </c>
      <c r="C29" s="62" t="s">
        <v>967</v>
      </c>
      <c r="D29" s="62" t="s">
        <v>1635</v>
      </c>
      <c r="E29" s="62" t="s">
        <v>967</v>
      </c>
      <c r="F29" s="62"/>
    </row>
    <row r="30" spans="1:6" x14ac:dyDescent="0.15">
      <c r="B30" s="59" t="s">
        <v>110</v>
      </c>
      <c r="C30" s="57" t="s">
        <v>558</v>
      </c>
      <c r="D30" s="62" t="s">
        <v>1636</v>
      </c>
      <c r="E30" s="62" t="s">
        <v>558</v>
      </c>
      <c r="F30" s="62" t="s">
        <v>558</v>
      </c>
    </row>
    <row r="31" spans="1:6" ht="31.5" x14ac:dyDescent="0.15">
      <c r="B31" s="59" t="s">
        <v>111</v>
      </c>
      <c r="C31" s="57" t="s">
        <v>1895</v>
      </c>
      <c r="D31" s="62" t="s">
        <v>1786</v>
      </c>
      <c r="E31" s="62" t="s">
        <v>1895</v>
      </c>
      <c r="F31" s="62" t="s">
        <v>311</v>
      </c>
    </row>
    <row r="32" spans="1:6" ht="31.5" x14ac:dyDescent="0.15">
      <c r="B32" s="59" t="s">
        <v>266</v>
      </c>
      <c r="C32" s="62" t="s">
        <v>1782</v>
      </c>
      <c r="D32" s="62" t="s">
        <v>1785</v>
      </c>
      <c r="E32" s="62" t="s">
        <v>1782</v>
      </c>
      <c r="F32" s="62"/>
    </row>
    <row r="33" spans="1:6" ht="31.5" x14ac:dyDescent="0.15">
      <c r="B33" s="59" t="s">
        <v>965</v>
      </c>
      <c r="C33" s="62" t="s">
        <v>1783</v>
      </c>
      <c r="D33" s="62" t="s">
        <v>1784</v>
      </c>
      <c r="E33" s="62" t="s">
        <v>1783</v>
      </c>
      <c r="F33" s="62"/>
    </row>
    <row r="34" spans="1:6" ht="31.5" x14ac:dyDescent="0.15">
      <c r="B34" s="59" t="s">
        <v>966</v>
      </c>
      <c r="C34" s="62" t="s">
        <v>582</v>
      </c>
      <c r="D34" s="62" t="s">
        <v>1637</v>
      </c>
      <c r="E34" s="62" t="s">
        <v>582</v>
      </c>
      <c r="F34" s="62" t="s">
        <v>583</v>
      </c>
    </row>
    <row r="35" spans="1:6" ht="31.5" x14ac:dyDescent="0.15">
      <c r="B35" s="59" t="s">
        <v>1334</v>
      </c>
      <c r="C35" s="62" t="s">
        <v>335</v>
      </c>
      <c r="D35" s="62" t="s">
        <v>1638</v>
      </c>
      <c r="E35" s="62" t="s">
        <v>335</v>
      </c>
      <c r="F35" s="62" t="s">
        <v>340</v>
      </c>
    </row>
    <row r="36" spans="1:6" x14ac:dyDescent="0.15">
      <c r="B36" s="63" t="s">
        <v>112</v>
      </c>
      <c r="C36" s="62" t="s">
        <v>113</v>
      </c>
      <c r="D36" s="62" t="s">
        <v>114</v>
      </c>
      <c r="E36" s="62" t="s">
        <v>113</v>
      </c>
      <c r="F36" s="62" t="s">
        <v>113</v>
      </c>
    </row>
    <row r="38" spans="1:6" x14ac:dyDescent="0.15">
      <c r="A38" s="18" t="s">
        <v>1059</v>
      </c>
    </row>
    <row r="39" spans="1:6" x14ac:dyDescent="0.15">
      <c r="B39" s="58" t="s">
        <v>310</v>
      </c>
      <c r="C39" s="58" t="s">
        <v>557</v>
      </c>
      <c r="D39" s="58" t="s">
        <v>1433</v>
      </c>
      <c r="E39" s="58" t="s">
        <v>1434</v>
      </c>
      <c r="F39" s="58" t="s">
        <v>1435</v>
      </c>
    </row>
    <row r="40" spans="1:6" x14ac:dyDescent="0.15">
      <c r="B40" s="83"/>
      <c r="C40" s="83" t="s">
        <v>1058</v>
      </c>
      <c r="D40" s="83" t="s">
        <v>572</v>
      </c>
      <c r="E40" s="83"/>
      <c r="F40" s="83" t="s">
        <v>571</v>
      </c>
    </row>
    <row r="41" spans="1:6" x14ac:dyDescent="0.15">
      <c r="B41" s="83" t="s">
        <v>453</v>
      </c>
      <c r="C41" s="83"/>
      <c r="D41" s="83"/>
      <c r="E41" s="83"/>
      <c r="F41" s="83"/>
    </row>
    <row r="42" spans="1:6" ht="31.5" x14ac:dyDescent="0.15">
      <c r="B42" s="59" t="s">
        <v>126</v>
      </c>
      <c r="C42" s="57" t="s">
        <v>1369</v>
      </c>
      <c r="D42" s="65" t="s">
        <v>1625</v>
      </c>
      <c r="E42" s="57" t="s">
        <v>945</v>
      </c>
      <c r="F42" s="68" t="s">
        <v>559</v>
      </c>
    </row>
    <row r="43" spans="1:6" ht="47.25" x14ac:dyDescent="0.15">
      <c r="B43" s="59" t="s">
        <v>1705</v>
      </c>
      <c r="C43" s="65" t="s">
        <v>950</v>
      </c>
      <c r="D43" s="68" t="s">
        <v>1626</v>
      </c>
      <c r="E43" s="64" t="s">
        <v>950</v>
      </c>
      <c r="F43" s="66" t="s">
        <v>584</v>
      </c>
    </row>
    <row r="44" spans="1:6" ht="47.25" x14ac:dyDescent="0.15">
      <c r="B44" s="59" t="s">
        <v>1706</v>
      </c>
      <c r="C44" s="68" t="s">
        <v>276</v>
      </c>
      <c r="D44" s="68" t="s">
        <v>1627</v>
      </c>
      <c r="E44" s="62" t="s">
        <v>276</v>
      </c>
      <c r="F44" s="66" t="s">
        <v>118</v>
      </c>
    </row>
    <row r="45" spans="1:6" ht="31.5" x14ac:dyDescent="0.15">
      <c r="B45" s="59" t="s">
        <v>1707</v>
      </c>
      <c r="C45" s="68" t="s">
        <v>277</v>
      </c>
      <c r="D45" s="68" t="s">
        <v>1628</v>
      </c>
      <c r="E45" s="62" t="s">
        <v>277</v>
      </c>
      <c r="F45" s="64" t="s">
        <v>124</v>
      </c>
    </row>
    <row r="46" spans="1:6" ht="31.5" x14ac:dyDescent="0.15">
      <c r="B46" s="59" t="s">
        <v>1708</v>
      </c>
      <c r="C46" s="57" t="s">
        <v>946</v>
      </c>
      <c r="D46" s="64" t="s">
        <v>1629</v>
      </c>
      <c r="E46" s="62" t="s">
        <v>946</v>
      </c>
      <c r="F46" s="68" t="s">
        <v>282</v>
      </c>
    </row>
    <row r="47" spans="1:6" ht="31.5" x14ac:dyDescent="0.15">
      <c r="B47" s="59" t="s">
        <v>1709</v>
      </c>
      <c r="C47" s="65" t="s">
        <v>120</v>
      </c>
      <c r="D47" s="68" t="s">
        <v>1928</v>
      </c>
      <c r="E47" s="64" t="s">
        <v>120</v>
      </c>
      <c r="F47" s="64" t="s">
        <v>120</v>
      </c>
    </row>
    <row r="48" spans="1:6" ht="47.25" x14ac:dyDescent="0.15">
      <c r="B48" s="59" t="s">
        <v>1710</v>
      </c>
      <c r="C48" s="65" t="s">
        <v>122</v>
      </c>
      <c r="D48" s="68" t="s">
        <v>1931</v>
      </c>
      <c r="E48" s="64" t="s">
        <v>122</v>
      </c>
      <c r="F48" s="64" t="s">
        <v>122</v>
      </c>
    </row>
    <row r="49" spans="2:6" x14ac:dyDescent="0.15">
      <c r="B49" s="59" t="s">
        <v>1711</v>
      </c>
      <c r="C49" s="64" t="s">
        <v>968</v>
      </c>
      <c r="D49" s="62" t="s">
        <v>1630</v>
      </c>
      <c r="E49" s="64" t="s">
        <v>968</v>
      </c>
      <c r="F49" s="64"/>
    </row>
    <row r="50" spans="2:6" ht="47.25" x14ac:dyDescent="0.15">
      <c r="B50" s="69" t="s">
        <v>1712</v>
      </c>
      <c r="C50" s="57" t="s">
        <v>944</v>
      </c>
      <c r="D50" s="68" t="s">
        <v>1631</v>
      </c>
      <c r="E50" s="62" t="s">
        <v>944</v>
      </c>
      <c r="F50" s="68" t="s">
        <v>1095</v>
      </c>
    </row>
    <row r="51" spans="2:6" x14ac:dyDescent="0.15">
      <c r="B51" s="59" t="s">
        <v>1713</v>
      </c>
      <c r="C51" s="68" t="s">
        <v>125</v>
      </c>
      <c r="D51" s="68" t="s">
        <v>1632</v>
      </c>
      <c r="E51" s="62" t="s">
        <v>125</v>
      </c>
      <c r="F51" s="66" t="s">
        <v>0</v>
      </c>
    </row>
    <row r="52" spans="2:6" x14ac:dyDescent="0.15">
      <c r="B52" s="58" t="s">
        <v>261</v>
      </c>
      <c r="C52" s="58" t="s">
        <v>557</v>
      </c>
      <c r="D52" s="58" t="s">
        <v>1433</v>
      </c>
      <c r="E52" s="58" t="s">
        <v>1434</v>
      </c>
      <c r="F52" s="58" t="s">
        <v>1435</v>
      </c>
    </row>
    <row r="53" spans="2:6" x14ac:dyDescent="0.15">
      <c r="B53" s="83" t="s">
        <v>505</v>
      </c>
      <c r="C53" s="83"/>
      <c r="D53" s="83"/>
      <c r="E53" s="83"/>
      <c r="F53" s="83"/>
    </row>
    <row r="54" spans="2:6" ht="47.25" x14ac:dyDescent="0.15">
      <c r="B54" s="59" t="s">
        <v>126</v>
      </c>
      <c r="C54" s="57" t="s">
        <v>1913</v>
      </c>
      <c r="D54" s="65" t="s">
        <v>1606</v>
      </c>
      <c r="E54" s="57" t="s">
        <v>1349</v>
      </c>
      <c r="F54" s="68" t="s">
        <v>559</v>
      </c>
    </row>
    <row r="55" spans="2:6" ht="47.25" x14ac:dyDescent="0.15">
      <c r="B55" s="59" t="s">
        <v>1347</v>
      </c>
      <c r="C55" s="57" t="s">
        <v>1914</v>
      </c>
      <c r="D55" s="65" t="s">
        <v>1607</v>
      </c>
      <c r="E55" s="57" t="s">
        <v>1350</v>
      </c>
      <c r="F55" s="68"/>
    </row>
    <row r="56" spans="2:6" ht="47.25" x14ac:dyDescent="0.15">
      <c r="B56" s="59" t="s">
        <v>115</v>
      </c>
      <c r="C56" s="57" t="s">
        <v>1370</v>
      </c>
      <c r="D56" s="64" t="s">
        <v>1608</v>
      </c>
      <c r="E56" s="57" t="s">
        <v>927</v>
      </c>
      <c r="F56" s="68" t="s">
        <v>281</v>
      </c>
    </row>
    <row r="57" spans="2:6" ht="63" x14ac:dyDescent="0.15">
      <c r="B57" s="59" t="s">
        <v>127</v>
      </c>
      <c r="C57" s="57" t="s">
        <v>1310</v>
      </c>
      <c r="D57" s="64" t="s">
        <v>1609</v>
      </c>
      <c r="E57" s="57" t="s">
        <v>928</v>
      </c>
      <c r="F57" s="68" t="s">
        <v>863</v>
      </c>
    </row>
    <row r="58" spans="2:6" ht="47.25" x14ac:dyDescent="0.15">
      <c r="B58" s="59" t="s">
        <v>128</v>
      </c>
      <c r="C58" s="57" t="s">
        <v>1311</v>
      </c>
      <c r="D58" s="64" t="s">
        <v>1610</v>
      </c>
      <c r="E58" s="57" t="s">
        <v>929</v>
      </c>
      <c r="F58" s="68" t="s">
        <v>283</v>
      </c>
    </row>
    <row r="59" spans="2:6" ht="63" x14ac:dyDescent="0.15">
      <c r="B59" s="59" t="s">
        <v>129</v>
      </c>
      <c r="C59" s="57" t="s">
        <v>1312</v>
      </c>
      <c r="D59" s="64" t="s">
        <v>1611</v>
      </c>
      <c r="E59" s="57" t="s">
        <v>942</v>
      </c>
      <c r="F59" s="68" t="s">
        <v>284</v>
      </c>
    </row>
    <row r="60" spans="2:6" ht="63" x14ac:dyDescent="0.15">
      <c r="B60" s="59" t="s">
        <v>116</v>
      </c>
      <c r="C60" s="57" t="s">
        <v>1313</v>
      </c>
      <c r="D60" s="64" t="s">
        <v>1612</v>
      </c>
      <c r="E60" s="57" t="s">
        <v>930</v>
      </c>
      <c r="F60" s="68" t="s">
        <v>285</v>
      </c>
    </row>
    <row r="61" spans="2:6" ht="63" x14ac:dyDescent="0.15">
      <c r="B61" s="59" t="s">
        <v>130</v>
      </c>
      <c r="C61" s="57" t="s">
        <v>1935</v>
      </c>
      <c r="D61" s="64" t="s">
        <v>1613</v>
      </c>
      <c r="E61" s="57" t="s">
        <v>943</v>
      </c>
      <c r="F61" s="68" t="s">
        <v>286</v>
      </c>
    </row>
    <row r="62" spans="2:6" ht="47.25" x14ac:dyDescent="0.15">
      <c r="B62" s="59" t="s">
        <v>131</v>
      </c>
      <c r="C62" s="57" t="s">
        <v>1314</v>
      </c>
      <c r="D62" s="68" t="s">
        <v>1614</v>
      </c>
      <c r="E62" s="57" t="s">
        <v>931</v>
      </c>
      <c r="F62" s="68" t="s">
        <v>287</v>
      </c>
    </row>
    <row r="63" spans="2:6" ht="47.25" x14ac:dyDescent="0.15">
      <c r="B63" s="59" t="s">
        <v>117</v>
      </c>
      <c r="C63" s="57" t="s">
        <v>1315</v>
      </c>
      <c r="D63" s="68" t="s">
        <v>1615</v>
      </c>
      <c r="E63" s="57" t="s">
        <v>932</v>
      </c>
      <c r="F63" s="68" t="s">
        <v>288</v>
      </c>
    </row>
    <row r="64" spans="2:6" ht="47.25" x14ac:dyDescent="0.15">
      <c r="B64" s="59" t="s">
        <v>119</v>
      </c>
      <c r="C64" s="57" t="s">
        <v>1316</v>
      </c>
      <c r="D64" s="68" t="s">
        <v>1616</v>
      </c>
      <c r="E64" s="57" t="s">
        <v>933</v>
      </c>
      <c r="F64" s="68" t="s">
        <v>289</v>
      </c>
    </row>
    <row r="65" spans="1:6" ht="31.5" x14ac:dyDescent="0.15">
      <c r="B65" s="59" t="s">
        <v>121</v>
      </c>
      <c r="C65" s="57" t="s">
        <v>277</v>
      </c>
      <c r="D65" s="68" t="s">
        <v>1617</v>
      </c>
      <c r="E65" s="57" t="s">
        <v>934</v>
      </c>
      <c r="F65" s="68" t="s">
        <v>290</v>
      </c>
    </row>
    <row r="66" spans="1:6" ht="31.5" x14ac:dyDescent="0.15">
      <c r="B66" s="59" t="s">
        <v>132</v>
      </c>
      <c r="C66" s="57" t="s">
        <v>1317</v>
      </c>
      <c r="D66" s="65" t="s">
        <v>1618</v>
      </c>
      <c r="E66" s="57" t="s">
        <v>935</v>
      </c>
      <c r="F66" s="68" t="s">
        <v>282</v>
      </c>
    </row>
    <row r="67" spans="1:6" ht="31.5" x14ac:dyDescent="0.15">
      <c r="B67" s="59" t="s">
        <v>123</v>
      </c>
      <c r="C67" s="57" t="s">
        <v>1318</v>
      </c>
      <c r="D67" s="68" t="s">
        <v>1929</v>
      </c>
      <c r="E67" s="57" t="s">
        <v>936</v>
      </c>
      <c r="F67" s="68" t="s">
        <v>120</v>
      </c>
    </row>
    <row r="68" spans="1:6" ht="47.25" x14ac:dyDescent="0.15">
      <c r="B68" s="59" t="s">
        <v>870</v>
      </c>
      <c r="C68" s="57" t="s">
        <v>1319</v>
      </c>
      <c r="D68" s="68" t="s">
        <v>1930</v>
      </c>
      <c r="E68" s="57" t="s">
        <v>937</v>
      </c>
      <c r="F68" s="68" t="s">
        <v>122</v>
      </c>
    </row>
    <row r="69" spans="1:6" x14ac:dyDescent="0.15">
      <c r="B69" s="59" t="s">
        <v>969</v>
      </c>
      <c r="C69" s="57" t="s">
        <v>1320</v>
      </c>
      <c r="D69" s="68" t="s">
        <v>1619</v>
      </c>
      <c r="E69" s="57" t="s">
        <v>938</v>
      </c>
      <c r="F69" s="68" t="s">
        <v>291</v>
      </c>
    </row>
    <row r="70" spans="1:6" x14ac:dyDescent="0.15">
      <c r="B70" s="59" t="s">
        <v>970</v>
      </c>
      <c r="C70" s="57" t="s">
        <v>1321</v>
      </c>
      <c r="D70" s="62" t="s">
        <v>1620</v>
      </c>
      <c r="E70" s="57" t="s">
        <v>940</v>
      </c>
      <c r="F70" s="62" t="s">
        <v>292</v>
      </c>
    </row>
    <row r="71" spans="1:6" x14ac:dyDescent="0.15">
      <c r="B71" s="59" t="s">
        <v>971</v>
      </c>
      <c r="C71" s="57" t="s">
        <v>1322</v>
      </c>
      <c r="D71" s="62" t="s">
        <v>1621</v>
      </c>
      <c r="E71" s="57" t="s">
        <v>941</v>
      </c>
      <c r="F71" s="62" t="s">
        <v>293</v>
      </c>
    </row>
    <row r="72" spans="1:6" x14ac:dyDescent="0.15">
      <c r="B72" s="59" t="s">
        <v>972</v>
      </c>
      <c r="C72" s="57" t="s">
        <v>1323</v>
      </c>
      <c r="D72" s="68" t="s">
        <v>1622</v>
      </c>
      <c r="E72" s="57" t="s">
        <v>939</v>
      </c>
      <c r="F72" s="68" t="s">
        <v>294</v>
      </c>
    </row>
    <row r="73" spans="1:6" ht="31.5" x14ac:dyDescent="0.15">
      <c r="B73" s="59" t="s">
        <v>973</v>
      </c>
      <c r="C73" s="57" t="s">
        <v>1324</v>
      </c>
      <c r="D73" s="62" t="s">
        <v>1623</v>
      </c>
      <c r="E73" s="68" t="s">
        <v>944</v>
      </c>
      <c r="F73" s="62" t="s">
        <v>481</v>
      </c>
    </row>
    <row r="74" spans="1:6" x14ac:dyDescent="0.15">
      <c r="B74" s="59" t="s">
        <v>1348</v>
      </c>
      <c r="C74" s="68" t="s">
        <v>1325</v>
      </c>
      <c r="D74" s="68" t="s">
        <v>1624</v>
      </c>
      <c r="E74" s="66" t="s">
        <v>0</v>
      </c>
      <c r="F74" s="66" t="s">
        <v>0</v>
      </c>
    </row>
    <row r="75" spans="1:6" ht="47.25" x14ac:dyDescent="0.15">
      <c r="B75" s="70" t="s">
        <v>133</v>
      </c>
      <c r="C75" s="71" t="s">
        <v>948</v>
      </c>
      <c r="D75" s="525" t="s">
        <v>134</v>
      </c>
      <c r="E75" s="72" t="s">
        <v>947</v>
      </c>
      <c r="F75" s="72" t="s">
        <v>429</v>
      </c>
    </row>
    <row r="76" spans="1:6" x14ac:dyDescent="0.15">
      <c r="B76" s="504"/>
      <c r="C76" s="505"/>
      <c r="D76" s="506"/>
      <c r="E76" s="507"/>
      <c r="F76" s="507"/>
    </row>
    <row r="77" spans="1:6" x14ac:dyDescent="0.15">
      <c r="A77" s="18" t="s">
        <v>554</v>
      </c>
      <c r="E77" s="19"/>
      <c r="F77" s="19"/>
    </row>
    <row r="78" spans="1:6" x14ac:dyDescent="0.15">
      <c r="B78" s="58" t="s">
        <v>310</v>
      </c>
      <c r="C78" s="58" t="s">
        <v>557</v>
      </c>
      <c r="D78" s="58" t="s">
        <v>1433</v>
      </c>
      <c r="E78" s="58" t="s">
        <v>1434</v>
      </c>
      <c r="F78" s="58" t="s">
        <v>1435</v>
      </c>
    </row>
    <row r="79" spans="1:6" x14ac:dyDescent="0.15">
      <c r="B79" s="83"/>
      <c r="C79" s="83" t="s">
        <v>570</v>
      </c>
      <c r="D79" s="83" t="s">
        <v>975</v>
      </c>
      <c r="E79" s="83"/>
      <c r="F79" s="83" t="s">
        <v>570</v>
      </c>
    </row>
    <row r="80" spans="1:6" ht="31.5" x14ac:dyDescent="0.15">
      <c r="B80" s="59" t="s">
        <v>1639</v>
      </c>
      <c r="C80" s="57" t="s">
        <v>1790</v>
      </c>
      <c r="D80" s="62" t="s">
        <v>1803</v>
      </c>
      <c r="E80" s="62" t="s">
        <v>1816</v>
      </c>
      <c r="F80" s="62" t="s">
        <v>1743</v>
      </c>
    </row>
    <row r="81" spans="1:6" ht="31.5" x14ac:dyDescent="0.15">
      <c r="B81" s="59" t="s">
        <v>1640</v>
      </c>
      <c r="C81" s="57" t="s">
        <v>1791</v>
      </c>
      <c r="D81" s="62" t="s">
        <v>1804</v>
      </c>
      <c r="E81" s="62" t="s">
        <v>1791</v>
      </c>
      <c r="F81" s="62" t="s">
        <v>1744</v>
      </c>
    </row>
    <row r="82" spans="1:6" ht="31.5" x14ac:dyDescent="0.15">
      <c r="B82" s="59" t="s">
        <v>497</v>
      </c>
      <c r="C82" s="57" t="s">
        <v>1792</v>
      </c>
      <c r="D82" s="62" t="s">
        <v>1805</v>
      </c>
      <c r="E82" s="62" t="s">
        <v>1792</v>
      </c>
      <c r="F82" s="62" t="s">
        <v>1745</v>
      </c>
    </row>
    <row r="83" spans="1:6" ht="31.5" x14ac:dyDescent="0.15">
      <c r="B83" s="59" t="s">
        <v>1641</v>
      </c>
      <c r="C83" s="57" t="s">
        <v>1793</v>
      </c>
      <c r="D83" s="62" t="s">
        <v>1806</v>
      </c>
      <c r="E83" s="62" t="s">
        <v>1793</v>
      </c>
      <c r="F83" s="62" t="s">
        <v>1746</v>
      </c>
    </row>
    <row r="84" spans="1:6" x14ac:dyDescent="0.15">
      <c r="B84" s="59" t="s">
        <v>1642</v>
      </c>
      <c r="C84" s="68" t="s">
        <v>1794</v>
      </c>
      <c r="D84" s="59" t="s">
        <v>1807</v>
      </c>
      <c r="E84" s="62" t="s">
        <v>1794</v>
      </c>
      <c r="F84" s="68" t="s">
        <v>307</v>
      </c>
    </row>
    <row r="85" spans="1:6" x14ac:dyDescent="0.15">
      <c r="B85" s="59" t="s">
        <v>498</v>
      </c>
      <c r="C85" s="68" t="s">
        <v>1795</v>
      </c>
      <c r="D85" s="59" t="s">
        <v>1808</v>
      </c>
      <c r="E85" s="62" t="s">
        <v>1795</v>
      </c>
      <c r="F85" s="68" t="s">
        <v>308</v>
      </c>
    </row>
    <row r="86" spans="1:6" x14ac:dyDescent="0.15">
      <c r="B86" s="59" t="s">
        <v>499</v>
      </c>
      <c r="C86" s="57" t="s">
        <v>1796</v>
      </c>
      <c r="D86" s="59" t="s">
        <v>1809</v>
      </c>
      <c r="E86" s="62" t="s">
        <v>1796</v>
      </c>
      <c r="F86" s="68" t="s">
        <v>306</v>
      </c>
    </row>
    <row r="87" spans="1:6" ht="31.5" x14ac:dyDescent="0.15">
      <c r="B87" s="59" t="s">
        <v>500</v>
      </c>
      <c r="C87" s="57" t="s">
        <v>1797</v>
      </c>
      <c r="D87" s="62" t="s">
        <v>1810</v>
      </c>
      <c r="E87" s="62" t="s">
        <v>1797</v>
      </c>
      <c r="F87" s="62" t="s">
        <v>1747</v>
      </c>
    </row>
    <row r="88" spans="1:6" ht="31.5" x14ac:dyDescent="0.15">
      <c r="B88" s="59" t="s">
        <v>501</v>
      </c>
      <c r="C88" s="57" t="s">
        <v>1798</v>
      </c>
      <c r="D88" s="62" t="s">
        <v>1811</v>
      </c>
      <c r="E88" s="62" t="s">
        <v>1798</v>
      </c>
      <c r="F88" s="62" t="s">
        <v>1748</v>
      </c>
    </row>
    <row r="89" spans="1:6" ht="31.5" x14ac:dyDescent="0.15">
      <c r="B89" s="59" t="s">
        <v>502</v>
      </c>
      <c r="C89" s="501" t="s">
        <v>1799</v>
      </c>
      <c r="D89" s="503" t="s">
        <v>1812</v>
      </c>
      <c r="E89" s="503" t="s">
        <v>1799</v>
      </c>
      <c r="F89" s="503" t="s">
        <v>1520</v>
      </c>
    </row>
    <row r="90" spans="1:6" ht="31.5" x14ac:dyDescent="0.15">
      <c r="B90" s="59" t="s">
        <v>503</v>
      </c>
      <c r="C90" s="501" t="s">
        <v>1800</v>
      </c>
      <c r="D90" s="503" t="s">
        <v>1813</v>
      </c>
      <c r="E90" s="503" t="s">
        <v>1800</v>
      </c>
      <c r="F90" s="503" t="s">
        <v>1521</v>
      </c>
    </row>
    <row r="91" spans="1:6" ht="31.5" x14ac:dyDescent="0.15">
      <c r="B91" s="59" t="s">
        <v>1643</v>
      </c>
      <c r="C91" s="501" t="s">
        <v>1801</v>
      </c>
      <c r="D91" s="503" t="s">
        <v>1814</v>
      </c>
      <c r="E91" s="503" t="s">
        <v>1801</v>
      </c>
      <c r="F91" s="503" t="s">
        <v>1522</v>
      </c>
    </row>
    <row r="92" spans="1:6" ht="31.5" x14ac:dyDescent="0.15">
      <c r="B92" s="59" t="s">
        <v>1517</v>
      </c>
      <c r="C92" s="501" t="s">
        <v>1802</v>
      </c>
      <c r="D92" s="503" t="s">
        <v>1815</v>
      </c>
      <c r="E92" s="503" t="s">
        <v>1802</v>
      </c>
      <c r="F92" s="503" t="s">
        <v>1523</v>
      </c>
    </row>
    <row r="93" spans="1:6" ht="31.5" x14ac:dyDescent="0.15">
      <c r="B93" s="59" t="s">
        <v>1518</v>
      </c>
      <c r="C93" s="57" t="s">
        <v>1911</v>
      </c>
      <c r="D93" s="57" t="s">
        <v>1912</v>
      </c>
      <c r="E93" s="57" t="s">
        <v>1896</v>
      </c>
      <c r="F93" s="62"/>
    </row>
    <row r="94" spans="1:6" x14ac:dyDescent="0.15">
      <c r="B94" s="59" t="s">
        <v>504</v>
      </c>
      <c r="C94" s="68" t="s">
        <v>974</v>
      </c>
      <c r="D94" s="68"/>
      <c r="E94" s="68"/>
      <c r="F94" s="68" t="s">
        <v>485</v>
      </c>
    </row>
    <row r="96" spans="1:6" x14ac:dyDescent="0.15">
      <c r="A96" s="18" t="s">
        <v>555</v>
      </c>
    </row>
    <row r="97" spans="2:6" x14ac:dyDescent="0.15">
      <c r="B97" s="58" t="s">
        <v>310</v>
      </c>
      <c r="C97" s="58" t="s">
        <v>557</v>
      </c>
      <c r="D97" s="58" t="s">
        <v>1433</v>
      </c>
      <c r="E97" s="58" t="s">
        <v>1434</v>
      </c>
      <c r="F97" s="58" t="s">
        <v>1435</v>
      </c>
    </row>
    <row r="98" spans="2:6" x14ac:dyDescent="0.15">
      <c r="B98" s="83"/>
      <c r="C98" s="83" t="s">
        <v>568</v>
      </c>
      <c r="D98" s="83" t="s">
        <v>569</v>
      </c>
      <c r="E98" s="84" t="s">
        <v>568</v>
      </c>
      <c r="F98" s="83" t="s">
        <v>568</v>
      </c>
    </row>
    <row r="99" spans="2:6" ht="31.5" x14ac:dyDescent="0.15">
      <c r="B99" s="59" t="s">
        <v>137</v>
      </c>
      <c r="C99" s="57" t="s">
        <v>1908</v>
      </c>
      <c r="D99" s="68" t="s">
        <v>1644</v>
      </c>
      <c r="E99" s="62" t="s">
        <v>1817</v>
      </c>
      <c r="F99" s="68" t="s">
        <v>431</v>
      </c>
    </row>
    <row r="100" spans="2:6" x14ac:dyDescent="0.15">
      <c r="B100" s="59" t="s">
        <v>976</v>
      </c>
      <c r="C100" s="57" t="s">
        <v>1328</v>
      </c>
      <c r="D100" s="68" t="s">
        <v>1645</v>
      </c>
      <c r="E100" s="62" t="s">
        <v>303</v>
      </c>
      <c r="F100" s="68" t="s">
        <v>303</v>
      </c>
    </row>
    <row r="101" spans="2:6" x14ac:dyDescent="0.15">
      <c r="B101" s="59" t="s">
        <v>138</v>
      </c>
      <c r="C101" s="68" t="s">
        <v>1329</v>
      </c>
      <c r="D101" s="68" t="s">
        <v>1646</v>
      </c>
      <c r="E101" s="62" t="s">
        <v>336</v>
      </c>
      <c r="F101" s="68" t="s">
        <v>295</v>
      </c>
    </row>
    <row r="102" spans="2:6" ht="31.5" x14ac:dyDescent="0.15">
      <c r="B102" s="59" t="s">
        <v>977</v>
      </c>
      <c r="C102" s="57" t="s">
        <v>1906</v>
      </c>
      <c r="D102" s="68" t="s">
        <v>1647</v>
      </c>
      <c r="E102" s="62" t="s">
        <v>1818</v>
      </c>
      <c r="F102" s="68" t="s">
        <v>432</v>
      </c>
    </row>
    <row r="103" spans="2:6" ht="47.25" x14ac:dyDescent="0.15">
      <c r="B103" s="59" t="s">
        <v>139</v>
      </c>
      <c r="C103" s="68" t="s">
        <v>1819</v>
      </c>
      <c r="D103" s="68" t="s">
        <v>1834</v>
      </c>
      <c r="E103" s="62" t="s">
        <v>1819</v>
      </c>
      <c r="F103" s="68" t="s">
        <v>296</v>
      </c>
    </row>
    <row r="104" spans="2:6" ht="47.25" x14ac:dyDescent="0.15">
      <c r="B104" s="59" t="s">
        <v>506</v>
      </c>
      <c r="C104" s="68" t="s">
        <v>1820</v>
      </c>
      <c r="D104" s="68" t="s">
        <v>1833</v>
      </c>
      <c r="E104" s="62" t="s">
        <v>1820</v>
      </c>
      <c r="F104" s="68" t="s">
        <v>297</v>
      </c>
    </row>
    <row r="105" spans="2:6" ht="47.25" x14ac:dyDescent="0.15">
      <c r="B105" s="59" t="s">
        <v>140</v>
      </c>
      <c r="C105" s="68" t="s">
        <v>1821</v>
      </c>
      <c r="D105" s="68" t="s">
        <v>1832</v>
      </c>
      <c r="E105" s="62" t="s">
        <v>1821</v>
      </c>
      <c r="F105" s="68" t="s">
        <v>298</v>
      </c>
    </row>
    <row r="106" spans="2:6" x14ac:dyDescent="0.15">
      <c r="B106" s="59" t="s">
        <v>507</v>
      </c>
      <c r="C106" s="68" t="s">
        <v>267</v>
      </c>
      <c r="D106" s="68" t="s">
        <v>1648</v>
      </c>
      <c r="E106" s="62" t="s">
        <v>267</v>
      </c>
      <c r="F106" s="68" t="s">
        <v>299</v>
      </c>
    </row>
    <row r="107" spans="2:6" ht="31.5" x14ac:dyDescent="0.15">
      <c r="B107" s="59" t="s">
        <v>141</v>
      </c>
      <c r="C107" s="57" t="s">
        <v>1907</v>
      </c>
      <c r="D107" s="68" t="s">
        <v>1649</v>
      </c>
      <c r="E107" s="62" t="s">
        <v>1822</v>
      </c>
      <c r="F107" s="68" t="s">
        <v>337</v>
      </c>
    </row>
    <row r="108" spans="2:6" ht="31.5" x14ac:dyDescent="0.15">
      <c r="B108" s="59" t="s">
        <v>508</v>
      </c>
      <c r="C108" s="57" t="s">
        <v>1823</v>
      </c>
      <c r="D108" s="68" t="s">
        <v>1831</v>
      </c>
      <c r="E108" s="62" t="s">
        <v>1823</v>
      </c>
      <c r="F108" s="68" t="s">
        <v>300</v>
      </c>
    </row>
    <row r="109" spans="2:6" ht="31.5" x14ac:dyDescent="0.15">
      <c r="B109" s="59" t="s">
        <v>142</v>
      </c>
      <c r="C109" s="57" t="s">
        <v>1824</v>
      </c>
      <c r="D109" s="68" t="s">
        <v>1829</v>
      </c>
      <c r="E109" s="62" t="s">
        <v>1824</v>
      </c>
      <c r="F109" s="68" t="s">
        <v>301</v>
      </c>
    </row>
    <row r="110" spans="2:6" ht="31.5" x14ac:dyDescent="0.15">
      <c r="B110" s="59" t="s">
        <v>509</v>
      </c>
      <c r="C110" s="57" t="s">
        <v>1825</v>
      </c>
      <c r="D110" s="68" t="s">
        <v>1830</v>
      </c>
      <c r="E110" s="62" t="s">
        <v>1825</v>
      </c>
      <c r="F110" s="68" t="s">
        <v>302</v>
      </c>
    </row>
    <row r="111" spans="2:6" ht="31.5" x14ac:dyDescent="0.15">
      <c r="B111" s="59" t="s">
        <v>143</v>
      </c>
      <c r="C111" s="57" t="s">
        <v>1909</v>
      </c>
      <c r="D111" s="62" t="s">
        <v>1650</v>
      </c>
      <c r="E111" s="62" t="s">
        <v>1889</v>
      </c>
      <c r="F111" s="62" t="s">
        <v>1096</v>
      </c>
    </row>
    <row r="112" spans="2:6" ht="31.5" x14ac:dyDescent="0.15">
      <c r="B112" s="59" t="s">
        <v>510</v>
      </c>
      <c r="C112" s="57" t="s">
        <v>1910</v>
      </c>
      <c r="D112" s="62" t="s">
        <v>1651</v>
      </c>
      <c r="E112" s="62" t="s">
        <v>1890</v>
      </c>
      <c r="F112" s="62" t="s">
        <v>1098</v>
      </c>
    </row>
    <row r="113" spans="1:6" ht="47.25" x14ac:dyDescent="0.15">
      <c r="B113" s="75" t="s">
        <v>1524</v>
      </c>
      <c r="C113" s="509" t="s">
        <v>1826</v>
      </c>
      <c r="D113" s="509" t="s">
        <v>1452</v>
      </c>
      <c r="E113" s="510" t="s">
        <v>1891</v>
      </c>
      <c r="F113" s="510" t="s">
        <v>305</v>
      </c>
    </row>
    <row r="114" spans="1:6" ht="47.25" x14ac:dyDescent="0.15">
      <c r="B114" s="75" t="s">
        <v>1524</v>
      </c>
      <c r="C114" s="509" t="s">
        <v>1827</v>
      </c>
      <c r="D114" s="509" t="s">
        <v>1453</v>
      </c>
      <c r="E114" s="510" t="s">
        <v>1892</v>
      </c>
      <c r="F114" s="510" t="s">
        <v>304</v>
      </c>
    </row>
    <row r="115" spans="1:6" ht="31.5" x14ac:dyDescent="0.15">
      <c r="B115" s="75" t="s">
        <v>1524</v>
      </c>
      <c r="C115" s="509" t="s">
        <v>1828</v>
      </c>
      <c r="D115" s="509" t="s">
        <v>978</v>
      </c>
      <c r="E115" s="510" t="s">
        <v>1893</v>
      </c>
      <c r="F115" s="510" t="s">
        <v>1097</v>
      </c>
    </row>
    <row r="116" spans="1:6" ht="31.5" x14ac:dyDescent="0.15">
      <c r="B116" s="59" t="s">
        <v>598</v>
      </c>
      <c r="C116" s="57" t="s">
        <v>1100</v>
      </c>
      <c r="D116" s="62" t="s">
        <v>671</v>
      </c>
      <c r="E116" s="62" t="s">
        <v>1102</v>
      </c>
      <c r="F116" s="62" t="s">
        <v>1099</v>
      </c>
    </row>
    <row r="117" spans="1:6" x14ac:dyDescent="0.15">
      <c r="B117" s="59" t="s">
        <v>599</v>
      </c>
      <c r="C117" s="57" t="s">
        <v>1101</v>
      </c>
      <c r="D117" s="60" t="s">
        <v>136</v>
      </c>
      <c r="E117" s="62" t="s">
        <v>1101</v>
      </c>
      <c r="F117" s="62" t="s">
        <v>135</v>
      </c>
    </row>
    <row r="118" spans="1:6" x14ac:dyDescent="0.15">
      <c r="E118" s="19"/>
      <c r="F118" s="19"/>
    </row>
    <row r="119" spans="1:6" x14ac:dyDescent="0.15">
      <c r="A119" s="18" t="s">
        <v>556</v>
      </c>
    </row>
    <row r="120" spans="1:6" x14ac:dyDescent="0.15">
      <c r="B120" s="58" t="s">
        <v>310</v>
      </c>
      <c r="C120" s="58" t="s">
        <v>557</v>
      </c>
      <c r="D120" s="58" t="s">
        <v>1433</v>
      </c>
      <c r="E120" s="58" t="s">
        <v>1434</v>
      </c>
      <c r="F120" s="58" t="s">
        <v>1435</v>
      </c>
    </row>
    <row r="121" spans="1:6" x14ac:dyDescent="0.15">
      <c r="B121" s="83"/>
      <c r="C121" s="83" t="s">
        <v>1062</v>
      </c>
      <c r="D121" s="83" t="s">
        <v>575</v>
      </c>
      <c r="E121" s="83" t="s">
        <v>574</v>
      </c>
      <c r="F121" s="83" t="s">
        <v>574</v>
      </c>
    </row>
    <row r="122" spans="1:6" x14ac:dyDescent="0.15">
      <c r="B122" s="92" t="s">
        <v>1091</v>
      </c>
      <c r="C122" s="90"/>
      <c r="D122" s="90"/>
      <c r="E122" s="90"/>
      <c r="F122" s="91"/>
    </row>
    <row r="123" spans="1:6" x14ac:dyDescent="0.15">
      <c r="B123" s="68" t="s">
        <v>1658</v>
      </c>
      <c r="C123" s="61" t="s">
        <v>979</v>
      </c>
      <c r="D123" s="59" t="s">
        <v>1664</v>
      </c>
      <c r="E123" s="60" t="s">
        <v>1398</v>
      </c>
      <c r="F123" s="59" t="s">
        <v>349</v>
      </c>
    </row>
    <row r="124" spans="1:6" x14ac:dyDescent="0.15">
      <c r="B124" s="68" t="s">
        <v>1657</v>
      </c>
      <c r="C124" s="61" t="s">
        <v>980</v>
      </c>
      <c r="D124" s="60" t="s">
        <v>1665</v>
      </c>
      <c r="E124" s="60" t="s">
        <v>1399</v>
      </c>
      <c r="F124" s="60" t="s">
        <v>401</v>
      </c>
    </row>
    <row r="125" spans="1:6" x14ac:dyDescent="0.15">
      <c r="B125" s="59" t="s">
        <v>1656</v>
      </c>
      <c r="C125" s="61" t="s">
        <v>1103</v>
      </c>
      <c r="D125" s="61" t="s">
        <v>1666</v>
      </c>
      <c r="E125" s="60" t="s">
        <v>1386</v>
      </c>
      <c r="F125" s="60" t="s">
        <v>403</v>
      </c>
    </row>
    <row r="126" spans="1:6" x14ac:dyDescent="0.15">
      <c r="B126" s="68" t="s">
        <v>1655</v>
      </c>
      <c r="C126" s="57" t="s">
        <v>981</v>
      </c>
      <c r="D126" s="60" t="s">
        <v>1667</v>
      </c>
      <c r="E126" s="62" t="s">
        <v>1387</v>
      </c>
      <c r="F126" s="62" t="s">
        <v>653</v>
      </c>
    </row>
    <row r="127" spans="1:6" ht="78.75" x14ac:dyDescent="0.15">
      <c r="B127" s="68" t="s">
        <v>1654</v>
      </c>
      <c r="C127" s="57" t="s">
        <v>1371</v>
      </c>
      <c r="D127" s="61" t="s">
        <v>1668</v>
      </c>
      <c r="E127" s="62" t="s">
        <v>1371</v>
      </c>
      <c r="F127" s="62" t="s">
        <v>430</v>
      </c>
    </row>
    <row r="128" spans="1:6" x14ac:dyDescent="0.15">
      <c r="B128" s="59" t="s">
        <v>1551</v>
      </c>
      <c r="C128" s="61" t="s">
        <v>1391</v>
      </c>
      <c r="D128" s="59" t="s">
        <v>1669</v>
      </c>
      <c r="E128" s="60" t="s">
        <v>1391</v>
      </c>
      <c r="F128" s="59" t="s">
        <v>353</v>
      </c>
    </row>
    <row r="129" spans="2:6" x14ac:dyDescent="0.15">
      <c r="B129" s="59" t="s">
        <v>494</v>
      </c>
      <c r="C129" s="61" t="s">
        <v>1392</v>
      </c>
      <c r="D129" s="59" t="s">
        <v>1670</v>
      </c>
      <c r="E129" s="60" t="s">
        <v>1392</v>
      </c>
      <c r="F129" s="59" t="s">
        <v>354</v>
      </c>
    </row>
    <row r="130" spans="2:6" x14ac:dyDescent="0.15">
      <c r="B130" s="59" t="s">
        <v>495</v>
      </c>
      <c r="C130" s="61" t="s">
        <v>1393</v>
      </c>
      <c r="D130" s="61" t="s">
        <v>1671</v>
      </c>
      <c r="E130" s="60" t="s">
        <v>1652</v>
      </c>
      <c r="F130" s="60" t="s">
        <v>350</v>
      </c>
    </row>
    <row r="131" spans="2:6" x14ac:dyDescent="0.15">
      <c r="B131" s="59" t="s">
        <v>496</v>
      </c>
      <c r="C131" s="61" t="s">
        <v>1525</v>
      </c>
      <c r="D131" s="60" t="s">
        <v>1672</v>
      </c>
      <c r="E131" s="60" t="s">
        <v>1394</v>
      </c>
      <c r="F131" s="60" t="s">
        <v>402</v>
      </c>
    </row>
    <row r="132" spans="2:6" x14ac:dyDescent="0.15">
      <c r="B132" s="59" t="s">
        <v>1552</v>
      </c>
      <c r="C132" s="61" t="s">
        <v>1395</v>
      </c>
      <c r="D132" s="59" t="s">
        <v>1673</v>
      </c>
      <c r="E132" s="60" t="s">
        <v>1400</v>
      </c>
      <c r="F132" s="59" t="s">
        <v>351</v>
      </c>
    </row>
    <row r="133" spans="2:6" x14ac:dyDescent="0.15">
      <c r="B133" s="59" t="s">
        <v>1653</v>
      </c>
      <c r="C133" s="61" t="s">
        <v>0</v>
      </c>
      <c r="D133" s="59" t="s">
        <v>1674</v>
      </c>
      <c r="E133" s="60" t="s">
        <v>1401</v>
      </c>
      <c r="F133" s="59" t="s">
        <v>352</v>
      </c>
    </row>
    <row r="134" spans="2:6" x14ac:dyDescent="0.15">
      <c r="B134" s="58" t="s">
        <v>261</v>
      </c>
      <c r="C134" s="58" t="s">
        <v>557</v>
      </c>
      <c r="D134" s="58" t="s">
        <v>1433</v>
      </c>
      <c r="E134" s="58" t="s">
        <v>1434</v>
      </c>
      <c r="F134" s="58" t="s">
        <v>1435</v>
      </c>
    </row>
    <row r="135" spans="2:6" x14ac:dyDescent="0.15">
      <c r="B135" s="92" t="s">
        <v>1532</v>
      </c>
      <c r="C135" s="90"/>
      <c r="D135" s="90"/>
      <c r="E135" s="90"/>
      <c r="F135" s="91"/>
    </row>
    <row r="136" spans="2:6" x14ac:dyDescent="0.15">
      <c r="B136" s="59" t="s">
        <v>1537</v>
      </c>
      <c r="C136" s="61" t="s">
        <v>1553</v>
      </c>
      <c r="D136" s="59" t="s">
        <v>1662</v>
      </c>
      <c r="E136" s="60" t="s">
        <v>1553</v>
      </c>
      <c r="F136" s="59" t="s">
        <v>1555</v>
      </c>
    </row>
    <row r="137" spans="2:6" x14ac:dyDescent="0.15">
      <c r="B137" s="59" t="s">
        <v>1659</v>
      </c>
      <c r="C137" s="61" t="s">
        <v>1554</v>
      </c>
      <c r="D137" s="59" t="s">
        <v>1663</v>
      </c>
      <c r="E137" s="60" t="s">
        <v>1554</v>
      </c>
      <c r="F137" s="59" t="s">
        <v>1556</v>
      </c>
    </row>
    <row r="138" spans="2:6" x14ac:dyDescent="0.15">
      <c r="B138" s="58" t="s">
        <v>261</v>
      </c>
      <c r="C138" s="58" t="s">
        <v>557</v>
      </c>
      <c r="D138" s="58" t="s">
        <v>1433</v>
      </c>
      <c r="E138" s="58" t="s">
        <v>1434</v>
      </c>
      <c r="F138" s="58" t="s">
        <v>1435</v>
      </c>
    </row>
    <row r="139" spans="2:6" x14ac:dyDescent="0.15">
      <c r="B139" s="92" t="s">
        <v>1533</v>
      </c>
      <c r="C139" s="90"/>
      <c r="D139" s="90"/>
      <c r="E139" s="90"/>
      <c r="F139" s="91"/>
    </row>
    <row r="140" spans="2:6" x14ac:dyDescent="0.15">
      <c r="B140" s="59" t="s">
        <v>1537</v>
      </c>
      <c r="C140" s="61" t="s">
        <v>1534</v>
      </c>
      <c r="D140" s="59" t="s">
        <v>1660</v>
      </c>
      <c r="E140" s="60" t="s">
        <v>1535</v>
      </c>
      <c r="F140" s="59" t="s">
        <v>1536</v>
      </c>
    </row>
    <row r="141" spans="2:6" x14ac:dyDescent="0.15">
      <c r="B141" s="59" t="s">
        <v>1557</v>
      </c>
      <c r="C141" s="61" t="s">
        <v>693</v>
      </c>
      <c r="D141" s="59" t="s">
        <v>1661</v>
      </c>
      <c r="E141" s="60" t="s">
        <v>1080</v>
      </c>
      <c r="F141" s="59" t="s">
        <v>693</v>
      </c>
    </row>
    <row r="142" spans="2:6" x14ac:dyDescent="0.15">
      <c r="B142" s="59" t="s">
        <v>1558</v>
      </c>
      <c r="C142" s="61" t="s">
        <v>1534</v>
      </c>
      <c r="D142" s="59" t="s">
        <v>1660</v>
      </c>
      <c r="E142" s="60" t="s">
        <v>1535</v>
      </c>
      <c r="F142" s="59" t="s">
        <v>1536</v>
      </c>
    </row>
    <row r="143" spans="2:6" x14ac:dyDescent="0.15">
      <c r="B143" s="59" t="s">
        <v>1559</v>
      </c>
      <c r="C143" s="61" t="s">
        <v>693</v>
      </c>
      <c r="D143" s="59" t="s">
        <v>1661</v>
      </c>
      <c r="E143" s="60" t="s">
        <v>1080</v>
      </c>
      <c r="F143" s="59" t="s">
        <v>693</v>
      </c>
    </row>
    <row r="144" spans="2:6" x14ac:dyDescent="0.15">
      <c r="B144" s="58" t="s">
        <v>261</v>
      </c>
      <c r="C144" s="58" t="s">
        <v>557</v>
      </c>
      <c r="D144" s="58" t="s">
        <v>1433</v>
      </c>
      <c r="E144" s="58" t="s">
        <v>1434</v>
      </c>
      <c r="F144" s="58" t="s">
        <v>1435</v>
      </c>
    </row>
    <row r="145" spans="2:6" x14ac:dyDescent="0.15">
      <c r="B145" s="92" t="s">
        <v>1092</v>
      </c>
      <c r="C145" s="90"/>
      <c r="D145" s="90"/>
      <c r="E145" s="90"/>
      <c r="F145" s="91"/>
    </row>
    <row r="146" spans="2:6" ht="31.5" x14ac:dyDescent="0.15">
      <c r="B146" s="59" t="s">
        <v>145</v>
      </c>
      <c r="C146" s="57" t="s">
        <v>1075</v>
      </c>
      <c r="D146" s="57" t="s">
        <v>1580</v>
      </c>
      <c r="E146" s="62" t="s">
        <v>1372</v>
      </c>
      <c r="F146" s="68" t="s">
        <v>694</v>
      </c>
    </row>
    <row r="147" spans="2:6" ht="31.5" x14ac:dyDescent="0.15">
      <c r="B147" s="59" t="s">
        <v>1538</v>
      </c>
      <c r="C147" s="57" t="s">
        <v>1076</v>
      </c>
      <c r="D147" s="57" t="s">
        <v>1581</v>
      </c>
      <c r="E147" s="62" t="s">
        <v>1373</v>
      </c>
      <c r="F147" s="62" t="s">
        <v>695</v>
      </c>
    </row>
    <row r="148" spans="2:6" ht="31.5" x14ac:dyDescent="0.15">
      <c r="B148" s="59" t="s">
        <v>146</v>
      </c>
      <c r="C148" s="57" t="s">
        <v>1074</v>
      </c>
      <c r="D148" s="57" t="s">
        <v>1449</v>
      </c>
      <c r="E148" s="62" t="s">
        <v>1374</v>
      </c>
      <c r="F148" s="62" t="s">
        <v>696</v>
      </c>
    </row>
    <row r="149" spans="2:6" x14ac:dyDescent="0.15">
      <c r="B149" s="59" t="s">
        <v>147</v>
      </c>
      <c r="C149" s="57" t="s">
        <v>869</v>
      </c>
      <c r="D149" s="68" t="s">
        <v>697</v>
      </c>
      <c r="E149" s="62" t="s">
        <v>1375</v>
      </c>
      <c r="F149" s="68" t="s">
        <v>869</v>
      </c>
    </row>
    <row r="150" spans="2:6" ht="31.5" x14ac:dyDescent="0.15">
      <c r="B150" s="59" t="s">
        <v>1539</v>
      </c>
      <c r="C150" s="57" t="s">
        <v>1576</v>
      </c>
      <c r="D150" s="57" t="s">
        <v>1582</v>
      </c>
      <c r="E150" s="62" t="s">
        <v>1376</v>
      </c>
      <c r="F150" s="62" t="s">
        <v>665</v>
      </c>
    </row>
    <row r="151" spans="2:6" x14ac:dyDescent="0.15">
      <c r="B151" s="59" t="s">
        <v>148</v>
      </c>
      <c r="C151" s="501" t="s">
        <v>1577</v>
      </c>
      <c r="D151" s="503" t="s">
        <v>1583</v>
      </c>
      <c r="E151" s="503"/>
      <c r="F151" s="503"/>
    </row>
    <row r="152" spans="2:6" x14ac:dyDescent="0.15">
      <c r="B152" s="59" t="s">
        <v>1540</v>
      </c>
      <c r="C152" s="57" t="s">
        <v>1072</v>
      </c>
      <c r="D152" s="62" t="s">
        <v>1584</v>
      </c>
      <c r="E152" s="62" t="s">
        <v>1377</v>
      </c>
      <c r="F152" s="62" t="s">
        <v>698</v>
      </c>
    </row>
    <row r="153" spans="2:6" x14ac:dyDescent="0.15">
      <c r="B153" s="59" t="s">
        <v>149</v>
      </c>
      <c r="C153" s="57" t="s">
        <v>961</v>
      </c>
      <c r="D153" s="57" t="s">
        <v>963</v>
      </c>
      <c r="E153" s="62" t="s">
        <v>1381</v>
      </c>
      <c r="F153" s="62" t="s">
        <v>702</v>
      </c>
    </row>
    <row r="154" spans="2:6" ht="31.5" x14ac:dyDescent="0.15">
      <c r="B154" s="59" t="s">
        <v>1541</v>
      </c>
      <c r="C154" s="57" t="s">
        <v>1077</v>
      </c>
      <c r="D154" s="57" t="s">
        <v>1585</v>
      </c>
      <c r="E154" s="62" t="s">
        <v>1378</v>
      </c>
      <c r="F154" s="68" t="s">
        <v>699</v>
      </c>
    </row>
    <row r="155" spans="2:6" ht="31.5" x14ac:dyDescent="0.15">
      <c r="B155" s="59" t="s">
        <v>150</v>
      </c>
      <c r="C155" s="57" t="s">
        <v>1073</v>
      </c>
      <c r="D155" s="57" t="s">
        <v>1586</v>
      </c>
      <c r="E155" s="62" t="s">
        <v>1379</v>
      </c>
      <c r="F155" s="62" t="s">
        <v>700</v>
      </c>
    </row>
    <row r="156" spans="2:6" ht="31.5" x14ac:dyDescent="0.15">
      <c r="B156" s="59" t="s">
        <v>1542</v>
      </c>
      <c r="C156" s="57" t="s">
        <v>1448</v>
      </c>
      <c r="D156" s="61" t="s">
        <v>1450</v>
      </c>
      <c r="E156" s="62" t="s">
        <v>1451</v>
      </c>
      <c r="F156" s="60" t="s">
        <v>701</v>
      </c>
    </row>
    <row r="157" spans="2:6" ht="31.5" x14ac:dyDescent="0.15">
      <c r="B157" s="59" t="s">
        <v>1543</v>
      </c>
      <c r="C157" s="57" t="s">
        <v>1578</v>
      </c>
      <c r="D157" s="61" t="s">
        <v>1587</v>
      </c>
      <c r="E157" s="60" t="s">
        <v>1380</v>
      </c>
      <c r="F157" s="60" t="s">
        <v>663</v>
      </c>
    </row>
    <row r="158" spans="2:6" x14ac:dyDescent="0.15">
      <c r="B158" s="59" t="s">
        <v>982</v>
      </c>
      <c r="C158" s="501" t="s">
        <v>1579</v>
      </c>
      <c r="D158" s="61" t="s">
        <v>1588</v>
      </c>
      <c r="E158" s="502"/>
      <c r="F158" s="502"/>
    </row>
    <row r="159" spans="2:6" x14ac:dyDescent="0.15">
      <c r="B159" s="59" t="s">
        <v>1544</v>
      </c>
      <c r="C159" s="57" t="s">
        <v>962</v>
      </c>
      <c r="D159" s="57" t="s">
        <v>964</v>
      </c>
      <c r="E159" s="62" t="s">
        <v>1382</v>
      </c>
      <c r="F159" s="62" t="s">
        <v>703</v>
      </c>
    </row>
    <row r="160" spans="2:6" x14ac:dyDescent="0.15">
      <c r="B160" s="59" t="s">
        <v>983</v>
      </c>
      <c r="C160" s="61" t="s">
        <v>1475</v>
      </c>
      <c r="D160" s="59" t="s">
        <v>407</v>
      </c>
      <c r="E160" s="62" t="s">
        <v>1383</v>
      </c>
      <c r="F160" s="59" t="s">
        <v>491</v>
      </c>
    </row>
    <row r="161" spans="2:8" x14ac:dyDescent="0.15">
      <c r="B161" s="59" t="s">
        <v>1545</v>
      </c>
      <c r="C161" s="61" t="s">
        <v>1078</v>
      </c>
      <c r="D161" s="61" t="s">
        <v>1589</v>
      </c>
      <c r="E161" s="62" t="s">
        <v>1384</v>
      </c>
      <c r="F161" s="59" t="s">
        <v>490</v>
      </c>
    </row>
    <row r="162" spans="2:8" x14ac:dyDescent="0.15">
      <c r="B162" s="59" t="s">
        <v>1546</v>
      </c>
      <c r="C162" s="61" t="s">
        <v>957</v>
      </c>
      <c r="D162" s="59" t="s">
        <v>406</v>
      </c>
      <c r="E162" s="60" t="s">
        <v>1385</v>
      </c>
      <c r="F162" s="59" t="s">
        <v>489</v>
      </c>
    </row>
    <row r="163" spans="2:8" x14ac:dyDescent="0.15">
      <c r="B163" s="59" t="s">
        <v>1547</v>
      </c>
      <c r="C163" s="61" t="s">
        <v>1079</v>
      </c>
      <c r="D163" s="61" t="s">
        <v>960</v>
      </c>
      <c r="E163" s="60" t="s">
        <v>1386</v>
      </c>
      <c r="F163" s="60" t="s">
        <v>403</v>
      </c>
    </row>
    <row r="164" spans="2:8" ht="47.25" x14ac:dyDescent="0.15">
      <c r="B164" s="59" t="s">
        <v>1548</v>
      </c>
      <c r="C164" s="57" t="s">
        <v>1436</v>
      </c>
      <c r="D164" s="68" t="s">
        <v>1590</v>
      </c>
      <c r="E164" s="60" t="s">
        <v>1387</v>
      </c>
      <c r="F164" s="59" t="s">
        <v>443</v>
      </c>
    </row>
    <row r="165" spans="2:8" ht="31.5" x14ac:dyDescent="0.15">
      <c r="B165" s="59" t="s">
        <v>1549</v>
      </c>
      <c r="C165" s="57" t="s">
        <v>1420</v>
      </c>
      <c r="D165" s="68" t="s">
        <v>408</v>
      </c>
      <c r="E165" s="62" t="s">
        <v>1421</v>
      </c>
      <c r="F165" s="68" t="s">
        <v>486</v>
      </c>
    </row>
    <row r="166" spans="2:8" x14ac:dyDescent="0.15">
      <c r="B166" s="59" t="s">
        <v>1550</v>
      </c>
      <c r="C166" s="61" t="s">
        <v>444</v>
      </c>
      <c r="D166" s="60" t="s">
        <v>409</v>
      </c>
      <c r="E166" s="60" t="s">
        <v>1388</v>
      </c>
      <c r="F166" s="60" t="s">
        <v>444</v>
      </c>
    </row>
    <row r="167" spans="2:8" ht="31.5" x14ac:dyDescent="0.15">
      <c r="B167" s="59" t="s">
        <v>492</v>
      </c>
      <c r="C167" s="57" t="s">
        <v>958</v>
      </c>
      <c r="D167" s="60" t="s">
        <v>410</v>
      </c>
      <c r="E167" s="62" t="s">
        <v>1389</v>
      </c>
      <c r="F167" s="62" t="s">
        <v>404</v>
      </c>
    </row>
    <row r="168" spans="2:8" x14ac:dyDescent="0.15">
      <c r="B168" s="59" t="s">
        <v>493</v>
      </c>
      <c r="C168" s="57" t="s">
        <v>405</v>
      </c>
      <c r="D168" s="67" t="s">
        <v>482</v>
      </c>
      <c r="E168" s="62" t="s">
        <v>1390</v>
      </c>
      <c r="F168" s="62" t="s">
        <v>405</v>
      </c>
    </row>
    <row r="169" spans="2:8" x14ac:dyDescent="0.15">
      <c r="B169" s="59" t="s">
        <v>1551</v>
      </c>
      <c r="C169" s="61" t="s">
        <v>353</v>
      </c>
      <c r="D169" s="59" t="s">
        <v>411</v>
      </c>
      <c r="E169" s="60" t="s">
        <v>1391</v>
      </c>
      <c r="F169" s="59" t="s">
        <v>353</v>
      </c>
    </row>
    <row r="170" spans="2:8" x14ac:dyDescent="0.15">
      <c r="B170" s="59" t="s">
        <v>494</v>
      </c>
      <c r="C170" s="61" t="s">
        <v>354</v>
      </c>
      <c r="D170" s="59" t="s">
        <v>400</v>
      </c>
      <c r="E170" s="60" t="s">
        <v>1392</v>
      </c>
      <c r="F170" s="59" t="s">
        <v>354</v>
      </c>
    </row>
    <row r="171" spans="2:8" x14ac:dyDescent="0.15">
      <c r="B171" s="59" t="s">
        <v>495</v>
      </c>
      <c r="C171" s="61" t="s">
        <v>959</v>
      </c>
      <c r="D171" s="61" t="s">
        <v>1932</v>
      </c>
      <c r="E171" s="60" t="s">
        <v>1393</v>
      </c>
      <c r="F171" s="60" t="s">
        <v>350</v>
      </c>
    </row>
    <row r="172" spans="2:8" x14ac:dyDescent="0.15">
      <c r="B172" s="59" t="s">
        <v>496</v>
      </c>
      <c r="C172" s="61" t="s">
        <v>1437</v>
      </c>
      <c r="D172" s="60" t="s">
        <v>412</v>
      </c>
      <c r="E172" s="60" t="s">
        <v>1394</v>
      </c>
      <c r="F172" s="60" t="s">
        <v>402</v>
      </c>
    </row>
    <row r="173" spans="2:8" x14ac:dyDescent="0.15">
      <c r="B173" s="59" t="s">
        <v>1552</v>
      </c>
      <c r="C173" s="61" t="s">
        <v>487</v>
      </c>
      <c r="D173" s="59" t="s">
        <v>1591</v>
      </c>
      <c r="E173" s="60" t="s">
        <v>1395</v>
      </c>
      <c r="F173" s="59" t="s">
        <v>487</v>
      </c>
    </row>
    <row r="174" spans="2:8" x14ac:dyDescent="0.15">
      <c r="B174" s="59" t="s">
        <v>1594</v>
      </c>
      <c r="C174" s="61" t="s">
        <v>1180</v>
      </c>
      <c r="D174" s="59" t="s">
        <v>1592</v>
      </c>
      <c r="E174" s="60" t="s">
        <v>0</v>
      </c>
      <c r="F174" s="59" t="s">
        <v>488</v>
      </c>
    </row>
    <row r="175" spans="2:8" ht="47.25" x14ac:dyDescent="0.15">
      <c r="B175" s="68" t="s">
        <v>1595</v>
      </c>
      <c r="C175" s="57" t="s">
        <v>1703</v>
      </c>
      <c r="D175" s="68" t="s">
        <v>1593</v>
      </c>
      <c r="E175" s="62" t="s">
        <v>1396</v>
      </c>
      <c r="F175" s="68" t="s">
        <v>691</v>
      </c>
      <c r="H175" s="17" t="s">
        <v>1596</v>
      </c>
    </row>
    <row r="176" spans="2:8" ht="47.25" x14ac:dyDescent="0.15">
      <c r="B176" s="68" t="s">
        <v>1598</v>
      </c>
      <c r="C176" s="57" t="s">
        <v>1597</v>
      </c>
      <c r="D176" s="68" t="s">
        <v>1704</v>
      </c>
      <c r="E176" s="62" t="s">
        <v>1397</v>
      </c>
      <c r="F176" s="68" t="s">
        <v>692</v>
      </c>
      <c r="H176" s="17" t="s">
        <v>1596</v>
      </c>
    </row>
    <row r="177" spans="1:12" ht="31.5" x14ac:dyDescent="0.15">
      <c r="B177" s="68" t="s">
        <v>1600</v>
      </c>
      <c r="C177" s="57" t="s">
        <v>1602</v>
      </c>
      <c r="D177" s="68" t="s">
        <v>1605</v>
      </c>
      <c r="E177" s="62"/>
      <c r="F177" s="68"/>
      <c r="H177" s="17" t="s">
        <v>1599</v>
      </c>
    </row>
    <row r="178" spans="1:12" ht="31.5" x14ac:dyDescent="0.15">
      <c r="B178" s="68" t="s">
        <v>1601</v>
      </c>
      <c r="C178" s="57" t="s">
        <v>1603</v>
      </c>
      <c r="D178" s="68" t="s">
        <v>1604</v>
      </c>
      <c r="E178" s="62"/>
      <c r="F178" s="68"/>
      <c r="H178" s="17" t="s">
        <v>1599</v>
      </c>
    </row>
    <row r="179" spans="1:12" x14ac:dyDescent="0.15">
      <c r="C179" s="82"/>
    </row>
    <row r="180" spans="1:12" x14ac:dyDescent="0.15">
      <c r="A180" s="18" t="s">
        <v>560</v>
      </c>
    </row>
    <row r="181" spans="1:12" x14ac:dyDescent="0.15">
      <c r="B181" s="58" t="s">
        <v>261</v>
      </c>
      <c r="C181" s="58" t="s">
        <v>557</v>
      </c>
      <c r="D181" s="58" t="s">
        <v>1433</v>
      </c>
      <c r="E181" s="58" t="s">
        <v>1434</v>
      </c>
      <c r="F181" s="58" t="s">
        <v>1435</v>
      </c>
    </row>
    <row r="182" spans="1:12" x14ac:dyDescent="0.15">
      <c r="B182" s="83"/>
      <c r="C182" s="85" t="s">
        <v>576</v>
      </c>
      <c r="D182" s="84" t="s">
        <v>576</v>
      </c>
      <c r="E182" s="84"/>
      <c r="F182" s="84" t="s">
        <v>576</v>
      </c>
    </row>
    <row r="183" spans="1:12" ht="31.5" x14ac:dyDescent="0.15">
      <c r="B183" s="59" t="s">
        <v>638</v>
      </c>
      <c r="C183" s="62" t="s">
        <v>1922</v>
      </c>
      <c r="D183" s="62" t="s">
        <v>1923</v>
      </c>
      <c r="E183" s="62" t="s">
        <v>872</v>
      </c>
      <c r="F183" s="62" t="s">
        <v>872</v>
      </c>
      <c r="J183" s="429"/>
      <c r="K183" s="428"/>
      <c r="L183" s="428"/>
    </row>
    <row r="184" spans="1:12" ht="31.5" x14ac:dyDescent="0.15">
      <c r="B184" s="59" t="s">
        <v>639</v>
      </c>
      <c r="C184" s="62" t="s">
        <v>1924</v>
      </c>
      <c r="D184" s="62" t="s">
        <v>1925</v>
      </c>
      <c r="E184" s="62" t="s">
        <v>873</v>
      </c>
      <c r="F184" s="62" t="s">
        <v>873</v>
      </c>
    </row>
    <row r="185" spans="1:12" ht="31.5" x14ac:dyDescent="0.15">
      <c r="B185" s="59" t="s">
        <v>550</v>
      </c>
      <c r="C185" s="62" t="s">
        <v>1926</v>
      </c>
      <c r="D185" s="62" t="s">
        <v>1927</v>
      </c>
      <c r="E185" s="62" t="s">
        <v>871</v>
      </c>
      <c r="F185" s="62" t="s">
        <v>871</v>
      </c>
    </row>
    <row r="186" spans="1:12" ht="31.5" x14ac:dyDescent="0.15">
      <c r="B186" s="59" t="s">
        <v>1516</v>
      </c>
      <c r="C186" s="62" t="s">
        <v>1431</v>
      </c>
      <c r="D186" s="62" t="s">
        <v>1675</v>
      </c>
      <c r="E186" s="62" t="s">
        <v>1431</v>
      </c>
      <c r="F186" s="62" t="s">
        <v>656</v>
      </c>
    </row>
    <row r="187" spans="1:12" x14ac:dyDescent="0.15">
      <c r="C187" s="428"/>
      <c r="D187" s="428"/>
      <c r="E187" s="428"/>
      <c r="F187" s="428"/>
    </row>
    <row r="188" spans="1:12" x14ac:dyDescent="0.15">
      <c r="A188" s="18" t="s">
        <v>562</v>
      </c>
    </row>
    <row r="189" spans="1:12" x14ac:dyDescent="0.15">
      <c r="B189" s="58" t="s">
        <v>310</v>
      </c>
      <c r="C189" s="58" t="s">
        <v>557</v>
      </c>
      <c r="D189" s="58" t="s">
        <v>1433</v>
      </c>
      <c r="E189" s="58" t="s">
        <v>1434</v>
      </c>
      <c r="F189" s="58" t="s">
        <v>1435</v>
      </c>
    </row>
    <row r="190" spans="1:12" x14ac:dyDescent="0.15">
      <c r="B190" s="83"/>
      <c r="C190" s="83" t="s">
        <v>1364</v>
      </c>
      <c r="D190" s="83" t="s">
        <v>578</v>
      </c>
      <c r="E190" s="83"/>
      <c r="F190" s="83" t="s">
        <v>577</v>
      </c>
    </row>
    <row r="191" spans="1:12" x14ac:dyDescent="0.15">
      <c r="B191" s="68" t="s">
        <v>1509</v>
      </c>
      <c r="C191" s="60" t="s">
        <v>1835</v>
      </c>
      <c r="D191" s="60" t="s">
        <v>709</v>
      </c>
      <c r="E191" s="60"/>
      <c r="F191" s="60" t="s">
        <v>1852</v>
      </c>
    </row>
    <row r="192" spans="1:12" x14ac:dyDescent="0.15">
      <c r="B192" s="68" t="s">
        <v>1510</v>
      </c>
      <c r="C192" s="60" t="s">
        <v>144</v>
      </c>
      <c r="D192" s="60" t="s">
        <v>445</v>
      </c>
      <c r="E192" s="60"/>
      <c r="F192" s="60" t="s">
        <v>144</v>
      </c>
    </row>
    <row r="193" spans="2:6" x14ac:dyDescent="0.15">
      <c r="B193" s="73" t="s">
        <v>1511</v>
      </c>
      <c r="C193" s="74" t="s">
        <v>1836</v>
      </c>
      <c r="D193" s="74" t="s">
        <v>1837</v>
      </c>
      <c r="E193" s="74"/>
      <c r="F193" s="74" t="s">
        <v>1836</v>
      </c>
    </row>
    <row r="194" spans="2:6" x14ac:dyDescent="0.15">
      <c r="B194" s="58" t="s">
        <v>261</v>
      </c>
      <c r="C194" s="58" t="s">
        <v>557</v>
      </c>
      <c r="D194" s="58" t="s">
        <v>1433</v>
      </c>
      <c r="E194" s="58" t="s">
        <v>1434</v>
      </c>
      <c r="F194" s="58" t="s">
        <v>1435</v>
      </c>
    </row>
    <row r="195" spans="2:6" x14ac:dyDescent="0.15">
      <c r="B195" s="73" t="s">
        <v>1071</v>
      </c>
      <c r="C195" s="74" t="s">
        <v>661</v>
      </c>
      <c r="D195" s="74" t="s">
        <v>661</v>
      </c>
      <c r="E195" s="74"/>
      <c r="F195" s="74" t="s">
        <v>661</v>
      </c>
    </row>
    <row r="196" spans="2:6" x14ac:dyDescent="0.15">
      <c r="B196" s="73"/>
      <c r="C196" s="74" t="s">
        <v>662</v>
      </c>
      <c r="D196" s="74" t="s">
        <v>662</v>
      </c>
      <c r="E196" s="74"/>
      <c r="F196" s="74" t="s">
        <v>662</v>
      </c>
    </row>
    <row r="197" spans="2:6" x14ac:dyDescent="0.15">
      <c r="B197" s="73" t="s">
        <v>999</v>
      </c>
      <c r="C197" s="74" t="s">
        <v>1181</v>
      </c>
      <c r="D197" s="74" t="s">
        <v>660</v>
      </c>
      <c r="E197" s="74"/>
      <c r="F197" s="74" t="s">
        <v>660</v>
      </c>
    </row>
    <row r="198" spans="2:6" x14ac:dyDescent="0.15">
      <c r="B198" s="73" t="s">
        <v>1000</v>
      </c>
      <c r="C198" s="74" t="s">
        <v>1182</v>
      </c>
      <c r="D198" s="74" t="s">
        <v>659</v>
      </c>
      <c r="E198" s="74"/>
      <c r="F198" s="74" t="s">
        <v>659</v>
      </c>
    </row>
    <row r="199" spans="2:6" x14ac:dyDescent="0.15">
      <c r="B199" s="58" t="s">
        <v>261</v>
      </c>
      <c r="C199" s="58" t="s">
        <v>557</v>
      </c>
      <c r="D199" s="58" t="s">
        <v>1433</v>
      </c>
      <c r="E199" s="58" t="s">
        <v>1434</v>
      </c>
      <c r="F199" s="58" t="s">
        <v>1435</v>
      </c>
    </row>
    <row r="200" spans="2:6" ht="47.25" x14ac:dyDescent="0.15">
      <c r="B200" s="59" t="s">
        <v>1514</v>
      </c>
      <c r="C200" s="57" t="s">
        <v>1838</v>
      </c>
      <c r="D200" s="62" t="s">
        <v>1843</v>
      </c>
      <c r="E200" s="62" t="s">
        <v>1851</v>
      </c>
      <c r="F200" s="62" t="s">
        <v>670</v>
      </c>
    </row>
    <row r="201" spans="2:6" ht="31.5" x14ac:dyDescent="0.15">
      <c r="B201" s="59" t="s">
        <v>984</v>
      </c>
      <c r="C201" s="57" t="s">
        <v>1839</v>
      </c>
      <c r="D201" s="62" t="s">
        <v>1844</v>
      </c>
      <c r="E201" s="62" t="s">
        <v>1850</v>
      </c>
      <c r="F201" s="62" t="s">
        <v>669</v>
      </c>
    </row>
    <row r="202" spans="2:6" ht="31.5" x14ac:dyDescent="0.15">
      <c r="B202" s="59" t="s">
        <v>985</v>
      </c>
      <c r="C202" s="57" t="s">
        <v>1840</v>
      </c>
      <c r="D202" s="62" t="s">
        <v>1845</v>
      </c>
      <c r="E202" s="62" t="s">
        <v>1849</v>
      </c>
      <c r="F202" s="62" t="s">
        <v>668</v>
      </c>
    </row>
    <row r="203" spans="2:6" x14ac:dyDescent="0.15">
      <c r="B203" s="59" t="s">
        <v>986</v>
      </c>
      <c r="C203" s="57" t="s">
        <v>586</v>
      </c>
      <c r="D203" s="62" t="s">
        <v>587</v>
      </c>
      <c r="E203" s="62" t="s">
        <v>586</v>
      </c>
      <c r="F203" s="62" t="s">
        <v>586</v>
      </c>
    </row>
    <row r="204" spans="2:6" ht="31.5" x14ac:dyDescent="0.15">
      <c r="B204" s="59" t="s">
        <v>987</v>
      </c>
      <c r="C204" s="57" t="s">
        <v>996</v>
      </c>
      <c r="D204" s="62" t="s">
        <v>396</v>
      </c>
      <c r="E204" s="62" t="s">
        <v>996</v>
      </c>
      <c r="F204" s="62" t="s">
        <v>589</v>
      </c>
    </row>
    <row r="205" spans="2:6" x14ac:dyDescent="0.15">
      <c r="B205" s="59" t="s">
        <v>988</v>
      </c>
      <c r="C205" s="57" t="s">
        <v>997</v>
      </c>
      <c r="D205" s="62" t="s">
        <v>1676</v>
      </c>
      <c r="E205" s="62" t="s">
        <v>997</v>
      </c>
      <c r="F205" s="62" t="s">
        <v>588</v>
      </c>
    </row>
    <row r="206" spans="2:6" x14ac:dyDescent="0.15">
      <c r="B206" s="59" t="s">
        <v>989</v>
      </c>
      <c r="C206" s="57" t="s">
        <v>590</v>
      </c>
      <c r="D206" s="62" t="s">
        <v>1933</v>
      </c>
      <c r="E206" s="62" t="s">
        <v>590</v>
      </c>
      <c r="F206" s="62" t="s">
        <v>590</v>
      </c>
    </row>
    <row r="207" spans="2:6" x14ac:dyDescent="0.15">
      <c r="B207" s="59" t="s">
        <v>990</v>
      </c>
      <c r="C207" s="57" t="s">
        <v>998</v>
      </c>
      <c r="D207" s="62" t="s">
        <v>483</v>
      </c>
      <c r="E207" s="62" t="s">
        <v>998</v>
      </c>
      <c r="F207" s="62" t="s">
        <v>592</v>
      </c>
    </row>
    <row r="208" spans="2:6" ht="31.5" x14ac:dyDescent="0.15">
      <c r="B208" s="59" t="s">
        <v>991</v>
      </c>
      <c r="C208" s="62" t="s">
        <v>1841</v>
      </c>
      <c r="D208" s="62" t="s">
        <v>1847</v>
      </c>
      <c r="E208" s="62" t="s">
        <v>1848</v>
      </c>
      <c r="F208" s="62" t="s">
        <v>591</v>
      </c>
    </row>
    <row r="209" spans="1:6" x14ac:dyDescent="0.15">
      <c r="B209" s="59" t="s">
        <v>992</v>
      </c>
      <c r="C209" s="57" t="s">
        <v>1842</v>
      </c>
      <c r="D209" s="62" t="s">
        <v>1846</v>
      </c>
      <c r="E209" s="62" t="s">
        <v>1842</v>
      </c>
      <c r="F209" s="62" t="s">
        <v>708</v>
      </c>
    </row>
    <row r="210" spans="1:6" x14ac:dyDescent="0.15">
      <c r="B210" s="75" t="s">
        <v>1515</v>
      </c>
      <c r="C210" s="509" t="s">
        <v>666</v>
      </c>
      <c r="D210" s="510" t="s">
        <v>667</v>
      </c>
      <c r="E210" s="510" t="s">
        <v>666</v>
      </c>
      <c r="F210" s="510" t="s">
        <v>666</v>
      </c>
    </row>
    <row r="211" spans="1:6" ht="31.5" x14ac:dyDescent="0.15">
      <c r="B211" s="75" t="s">
        <v>1515</v>
      </c>
      <c r="C211" s="509" t="s">
        <v>993</v>
      </c>
      <c r="D211" s="510" t="s">
        <v>995</v>
      </c>
      <c r="E211" s="510" t="s">
        <v>993</v>
      </c>
      <c r="F211" s="510" t="s">
        <v>865</v>
      </c>
    </row>
    <row r="212" spans="1:6" x14ac:dyDescent="0.15">
      <c r="B212" s="75" t="s">
        <v>1515</v>
      </c>
      <c r="C212" s="509" t="s">
        <v>664</v>
      </c>
      <c r="D212" s="510" t="s">
        <v>395</v>
      </c>
      <c r="E212" s="510" t="s">
        <v>664</v>
      </c>
      <c r="F212" s="510" t="s">
        <v>664</v>
      </c>
    </row>
    <row r="213" spans="1:6" ht="31.5" x14ac:dyDescent="0.15">
      <c r="B213" s="75" t="s">
        <v>1515</v>
      </c>
      <c r="C213" s="509" t="s">
        <v>1402</v>
      </c>
      <c r="D213" s="510" t="s">
        <v>994</v>
      </c>
      <c r="E213" s="510" t="s">
        <v>1402</v>
      </c>
      <c r="F213" s="510" t="s">
        <v>864</v>
      </c>
    </row>
    <row r="214" spans="1:6" x14ac:dyDescent="0.15">
      <c r="B214" s="58" t="s">
        <v>310</v>
      </c>
      <c r="C214" s="58" t="s">
        <v>557</v>
      </c>
      <c r="D214" s="58" t="s">
        <v>1433</v>
      </c>
      <c r="E214" s="58" t="s">
        <v>1434</v>
      </c>
      <c r="F214" s="58" t="s">
        <v>1435</v>
      </c>
    </row>
    <row r="215" spans="1:6" x14ac:dyDescent="0.15">
      <c r="B215" s="59"/>
      <c r="C215" s="59" t="s">
        <v>151</v>
      </c>
      <c r="D215" s="59" t="s">
        <v>152</v>
      </c>
      <c r="E215" s="59"/>
      <c r="F215" s="59" t="s">
        <v>451</v>
      </c>
    </row>
    <row r="217" spans="1:6" x14ac:dyDescent="0.15">
      <c r="A217" s="18" t="s">
        <v>1051</v>
      </c>
    </row>
    <row r="218" spans="1:6" x14ac:dyDescent="0.15">
      <c r="B218" s="58" t="s">
        <v>310</v>
      </c>
      <c r="C218" s="58" t="s">
        <v>557</v>
      </c>
      <c r="D218" s="58" t="s">
        <v>1433</v>
      </c>
      <c r="E218" s="58" t="s">
        <v>1434</v>
      </c>
      <c r="F218" s="58" t="s">
        <v>1435</v>
      </c>
    </row>
    <row r="219" spans="1:6" x14ac:dyDescent="0.15">
      <c r="B219" s="83"/>
      <c r="C219" s="86" t="s">
        <v>1060</v>
      </c>
      <c r="D219" s="87" t="s">
        <v>1858</v>
      </c>
      <c r="E219" s="87"/>
      <c r="F219" s="87" t="s">
        <v>567</v>
      </c>
    </row>
    <row r="220" spans="1:6" x14ac:dyDescent="0.15">
      <c r="B220" s="75"/>
      <c r="C220" s="74"/>
      <c r="D220" s="510"/>
      <c r="E220" s="510"/>
      <c r="F220" s="510"/>
    </row>
    <row r="221" spans="1:6" x14ac:dyDescent="0.15">
      <c r="B221" s="75" t="s">
        <v>600</v>
      </c>
      <c r="C221" s="509" t="s">
        <v>343</v>
      </c>
      <c r="D221" s="510" t="s">
        <v>157</v>
      </c>
      <c r="E221" s="510" t="s">
        <v>1008</v>
      </c>
      <c r="F221" s="510" t="s">
        <v>343</v>
      </c>
    </row>
    <row r="222" spans="1:6" x14ac:dyDescent="0.15">
      <c r="B222" s="75" t="s">
        <v>601</v>
      </c>
      <c r="C222" s="74" t="s">
        <v>158</v>
      </c>
      <c r="D222" s="510" t="s">
        <v>159</v>
      </c>
      <c r="E222" s="510" t="s">
        <v>158</v>
      </c>
      <c r="F222" s="510" t="s">
        <v>158</v>
      </c>
    </row>
    <row r="224" spans="1:6" x14ac:dyDescent="0.15">
      <c r="A224" s="18" t="s">
        <v>1061</v>
      </c>
    </row>
    <row r="225" spans="1:6" x14ac:dyDescent="0.15">
      <c r="B225" s="58" t="s">
        <v>310</v>
      </c>
      <c r="C225" s="58" t="s">
        <v>557</v>
      </c>
      <c r="D225" s="58" t="s">
        <v>1433</v>
      </c>
      <c r="E225" s="58" t="s">
        <v>1434</v>
      </c>
      <c r="F225" s="58" t="s">
        <v>1435</v>
      </c>
    </row>
    <row r="226" spans="1:6" ht="31.5" x14ac:dyDescent="0.15">
      <c r="B226" s="83"/>
      <c r="C226" s="87" t="s">
        <v>1853</v>
      </c>
      <c r="D226" s="87" t="s">
        <v>1854</v>
      </c>
      <c r="E226" s="87" t="s">
        <v>1853</v>
      </c>
      <c r="F226" s="87" t="s">
        <v>1855</v>
      </c>
    </row>
    <row r="227" spans="1:6" x14ac:dyDescent="0.15">
      <c r="B227" s="59" t="s">
        <v>710</v>
      </c>
      <c r="C227" s="59" t="s">
        <v>160</v>
      </c>
      <c r="D227" s="68" t="s">
        <v>161</v>
      </c>
      <c r="E227" s="59" t="s">
        <v>160</v>
      </c>
      <c r="F227" s="68" t="s">
        <v>46</v>
      </c>
    </row>
    <row r="228" spans="1:6" x14ac:dyDescent="0.15">
      <c r="B228" s="59" t="s">
        <v>711</v>
      </c>
      <c r="C228" s="59" t="s">
        <v>162</v>
      </c>
      <c r="D228" s="68" t="s">
        <v>163</v>
      </c>
      <c r="E228" s="59" t="s">
        <v>162</v>
      </c>
      <c r="F228" s="68" t="s">
        <v>162</v>
      </c>
    </row>
    <row r="229" spans="1:6" x14ac:dyDescent="0.15">
      <c r="B229" s="59" t="s">
        <v>603</v>
      </c>
      <c r="C229" s="59" t="s">
        <v>164</v>
      </c>
      <c r="D229" s="68" t="s">
        <v>47</v>
      </c>
      <c r="E229" s="59" t="s">
        <v>47</v>
      </c>
      <c r="F229" s="68" t="s">
        <v>164</v>
      </c>
    </row>
    <row r="230" spans="1:6" x14ac:dyDescent="0.15">
      <c r="B230" s="58" t="s">
        <v>261</v>
      </c>
      <c r="C230" s="58" t="s">
        <v>557</v>
      </c>
      <c r="D230" s="58" t="s">
        <v>1433</v>
      </c>
      <c r="E230" s="58" t="s">
        <v>1434</v>
      </c>
      <c r="F230" s="58" t="s">
        <v>1435</v>
      </c>
    </row>
    <row r="231" spans="1:6" ht="31.5" x14ac:dyDescent="0.15">
      <c r="B231" s="59" t="s">
        <v>602</v>
      </c>
      <c r="C231" s="57" t="s">
        <v>951</v>
      </c>
      <c r="D231" s="62" t="s">
        <v>1677</v>
      </c>
      <c r="E231" s="57" t="s">
        <v>1001</v>
      </c>
      <c r="F231" s="62" t="s">
        <v>344</v>
      </c>
    </row>
    <row r="232" spans="1:6" ht="53.25" customHeight="1" x14ac:dyDescent="0.15">
      <c r="B232" s="59" t="s">
        <v>604</v>
      </c>
      <c r="C232" s="57" t="s">
        <v>953</v>
      </c>
      <c r="D232" s="62" t="s">
        <v>1678</v>
      </c>
      <c r="E232" s="57" t="s">
        <v>1002</v>
      </c>
      <c r="F232" s="62" t="s">
        <v>952</v>
      </c>
    </row>
    <row r="233" spans="1:6" ht="55.5" customHeight="1" x14ac:dyDescent="0.15">
      <c r="B233" s="59" t="s">
        <v>605</v>
      </c>
      <c r="C233" s="57" t="s">
        <v>954</v>
      </c>
      <c r="D233" s="62" t="s">
        <v>1679</v>
      </c>
      <c r="E233" s="57" t="s">
        <v>1003</v>
      </c>
      <c r="F233" s="62" t="s">
        <v>346</v>
      </c>
    </row>
    <row r="234" spans="1:6" ht="31.5" x14ac:dyDescent="0.15">
      <c r="B234" s="59" t="s">
        <v>606</v>
      </c>
      <c r="C234" s="57" t="s">
        <v>955</v>
      </c>
      <c r="D234" s="62" t="s">
        <v>1677</v>
      </c>
      <c r="E234" s="57" t="s">
        <v>1004</v>
      </c>
      <c r="F234" s="62" t="s">
        <v>344</v>
      </c>
    </row>
    <row r="235" spans="1:6" ht="47.25" x14ac:dyDescent="0.15">
      <c r="B235" s="59" t="s">
        <v>607</v>
      </c>
      <c r="C235" s="57" t="s">
        <v>953</v>
      </c>
      <c r="D235" s="62" t="s">
        <v>1678</v>
      </c>
      <c r="E235" s="57" t="s">
        <v>1005</v>
      </c>
      <c r="F235" s="62" t="s">
        <v>345</v>
      </c>
    </row>
    <row r="236" spans="1:6" ht="47.25" x14ac:dyDescent="0.15">
      <c r="B236" s="59" t="s">
        <v>608</v>
      </c>
      <c r="C236" s="57" t="s">
        <v>954</v>
      </c>
      <c r="D236" s="62" t="s">
        <v>1679</v>
      </c>
      <c r="E236" s="57" t="s">
        <v>1006</v>
      </c>
      <c r="F236" s="62" t="s">
        <v>346</v>
      </c>
    </row>
    <row r="237" spans="1:6" ht="31.5" x14ac:dyDescent="0.15">
      <c r="B237" s="59" t="s">
        <v>609</v>
      </c>
      <c r="C237" s="57" t="s">
        <v>956</v>
      </c>
      <c r="D237" s="62" t="s">
        <v>1680</v>
      </c>
      <c r="E237" s="57" t="s">
        <v>1007</v>
      </c>
      <c r="F237" s="62" t="s">
        <v>347</v>
      </c>
    </row>
    <row r="239" spans="1:6" x14ac:dyDescent="0.15">
      <c r="A239" s="18" t="s">
        <v>561</v>
      </c>
    </row>
    <row r="240" spans="1:6" x14ac:dyDescent="0.15">
      <c r="B240" s="58" t="s">
        <v>310</v>
      </c>
      <c r="C240" s="58" t="s">
        <v>557</v>
      </c>
      <c r="D240" s="58" t="s">
        <v>1433</v>
      </c>
      <c r="E240" s="58" t="s">
        <v>1434</v>
      </c>
      <c r="F240" s="58" t="s">
        <v>1435</v>
      </c>
    </row>
    <row r="241" spans="2:6" ht="13.5" customHeight="1" x14ac:dyDescent="0.15">
      <c r="B241" s="83"/>
      <c r="C241" s="84" t="s">
        <v>1330</v>
      </c>
      <c r="D241" s="84" t="s">
        <v>566</v>
      </c>
      <c r="E241" s="84"/>
      <c r="F241" s="84" t="s">
        <v>566</v>
      </c>
    </row>
    <row r="242" spans="2:6" x14ac:dyDescent="0.15">
      <c r="B242" s="75" t="s">
        <v>713</v>
      </c>
      <c r="C242" s="74" t="s">
        <v>154</v>
      </c>
      <c r="D242" s="74" t="s">
        <v>155</v>
      </c>
      <c r="E242" s="74"/>
      <c r="F242" s="74" t="s">
        <v>341</v>
      </c>
    </row>
    <row r="243" spans="2:6" x14ac:dyDescent="0.15">
      <c r="B243" s="59" t="s">
        <v>712</v>
      </c>
      <c r="C243" s="60" t="s">
        <v>1408</v>
      </c>
      <c r="D243" s="60" t="s">
        <v>705</v>
      </c>
      <c r="E243" s="60"/>
      <c r="F243" s="60" t="s">
        <v>704</v>
      </c>
    </row>
    <row r="244" spans="2:6" x14ac:dyDescent="0.15">
      <c r="B244" s="58" t="s">
        <v>310</v>
      </c>
      <c r="C244" s="58" t="s">
        <v>557</v>
      </c>
      <c r="D244" s="58" t="s">
        <v>1433</v>
      </c>
      <c r="E244" s="58" t="s">
        <v>1434</v>
      </c>
      <c r="F244" s="58" t="s">
        <v>1435</v>
      </c>
    </row>
    <row r="245" spans="2:6" x14ac:dyDescent="0.15">
      <c r="B245" s="76"/>
      <c r="C245" s="77" t="s">
        <v>323</v>
      </c>
      <c r="D245" s="78" t="s">
        <v>707</v>
      </c>
      <c r="E245" s="78"/>
      <c r="F245" s="78" t="s">
        <v>399</v>
      </c>
    </row>
    <row r="246" spans="2:6" x14ac:dyDescent="0.15">
      <c r="B246" s="76"/>
      <c r="C246" s="77" t="s">
        <v>324</v>
      </c>
      <c r="D246" s="78" t="s">
        <v>706</v>
      </c>
      <c r="E246" s="78"/>
      <c r="F246" s="78" t="s">
        <v>397</v>
      </c>
    </row>
    <row r="247" spans="2:6" x14ac:dyDescent="0.15">
      <c r="B247" s="58" t="s">
        <v>310</v>
      </c>
      <c r="C247" s="58" t="s">
        <v>557</v>
      </c>
      <c r="D247" s="58" t="s">
        <v>1433</v>
      </c>
      <c r="E247" s="58" t="s">
        <v>1434</v>
      </c>
      <c r="F247" s="58" t="s">
        <v>1435</v>
      </c>
    </row>
    <row r="248" spans="2:6" ht="13.5" customHeight="1" x14ac:dyDescent="0.15">
      <c r="B248" s="83" t="s">
        <v>610</v>
      </c>
      <c r="C248" s="83"/>
      <c r="D248" s="83"/>
      <c r="E248" s="83"/>
      <c r="F248" s="83"/>
    </row>
    <row r="249" spans="2:6" ht="31.5" x14ac:dyDescent="0.15">
      <c r="B249" s="59" t="s">
        <v>1009</v>
      </c>
      <c r="C249" s="62" t="s">
        <v>1938</v>
      </c>
      <c r="D249" s="62" t="s">
        <v>1859</v>
      </c>
      <c r="E249" s="62" t="s">
        <v>1866</v>
      </c>
      <c r="F249" s="62" t="s">
        <v>342</v>
      </c>
    </row>
    <row r="250" spans="2:6" ht="31.5" x14ac:dyDescent="0.15">
      <c r="B250" s="59" t="s">
        <v>1010</v>
      </c>
      <c r="C250" s="62" t="s">
        <v>1937</v>
      </c>
      <c r="D250" s="62" t="s">
        <v>1860</v>
      </c>
      <c r="E250" s="62" t="s">
        <v>1867</v>
      </c>
      <c r="F250" s="62" t="s">
        <v>43</v>
      </c>
    </row>
    <row r="251" spans="2:6" ht="31.5" x14ac:dyDescent="0.15">
      <c r="B251" s="59" t="s">
        <v>1011</v>
      </c>
      <c r="C251" s="62" t="s">
        <v>44</v>
      </c>
      <c r="D251" s="62" t="s">
        <v>1861</v>
      </c>
      <c r="E251" s="62" t="s">
        <v>1868</v>
      </c>
      <c r="F251" s="62" t="s">
        <v>44</v>
      </c>
    </row>
    <row r="252" spans="2:6" ht="31.5" x14ac:dyDescent="0.15">
      <c r="B252" s="59" t="s">
        <v>1012</v>
      </c>
      <c r="C252" s="62" t="s">
        <v>45</v>
      </c>
      <c r="D252" s="62" t="s">
        <v>1862</v>
      </c>
      <c r="E252" s="62" t="s">
        <v>1869</v>
      </c>
      <c r="F252" s="62" t="s">
        <v>45</v>
      </c>
    </row>
    <row r="253" spans="2:6" ht="31.5" x14ac:dyDescent="0.15">
      <c r="B253" s="59" t="s">
        <v>1013</v>
      </c>
      <c r="C253" s="62" t="s">
        <v>1403</v>
      </c>
      <c r="D253" s="62" t="s">
        <v>1863</v>
      </c>
      <c r="E253" s="62" t="s">
        <v>1870</v>
      </c>
      <c r="F253" s="62" t="s">
        <v>325</v>
      </c>
    </row>
    <row r="254" spans="2:6" ht="31.5" x14ac:dyDescent="0.15">
      <c r="B254" s="59" t="s">
        <v>1014</v>
      </c>
      <c r="C254" s="62" t="s">
        <v>326</v>
      </c>
      <c r="D254" s="62" t="s">
        <v>1864</v>
      </c>
      <c r="E254" s="62" t="s">
        <v>1871</v>
      </c>
      <c r="F254" s="62" t="s">
        <v>326</v>
      </c>
    </row>
    <row r="255" spans="2:6" ht="31.5" x14ac:dyDescent="0.15">
      <c r="B255" s="59" t="s">
        <v>1015</v>
      </c>
      <c r="C255" s="62" t="s">
        <v>327</v>
      </c>
      <c r="D255" s="62" t="s">
        <v>1865</v>
      </c>
      <c r="E255" s="62" t="s">
        <v>1872</v>
      </c>
      <c r="F255" s="62" t="s">
        <v>327</v>
      </c>
    </row>
    <row r="256" spans="2:6" x14ac:dyDescent="0.15">
      <c r="B256" s="58" t="s">
        <v>261</v>
      </c>
      <c r="C256" s="58" t="s">
        <v>557</v>
      </c>
      <c r="D256" s="58" t="s">
        <v>1433</v>
      </c>
      <c r="E256" s="58" t="s">
        <v>1434</v>
      </c>
      <c r="F256" s="58" t="s">
        <v>1435</v>
      </c>
    </row>
    <row r="257" spans="1:6" ht="13.5" customHeight="1" x14ac:dyDescent="0.15">
      <c r="B257" s="83" t="s">
        <v>328</v>
      </c>
      <c r="C257" s="83"/>
      <c r="D257" s="83"/>
      <c r="E257" s="83"/>
      <c r="F257" s="83"/>
    </row>
    <row r="258" spans="1:6" ht="31.5" x14ac:dyDescent="0.15">
      <c r="B258" s="59" t="s">
        <v>1016</v>
      </c>
      <c r="C258" s="62" t="s">
        <v>262</v>
      </c>
      <c r="D258" s="62" t="s">
        <v>1880</v>
      </c>
      <c r="E258" s="62" t="s">
        <v>1873</v>
      </c>
      <c r="F258" s="62" t="s">
        <v>262</v>
      </c>
    </row>
    <row r="259" spans="1:6" ht="31.5" x14ac:dyDescent="0.15">
      <c r="B259" s="59" t="s">
        <v>1017</v>
      </c>
      <c r="C259" s="62" t="s">
        <v>43</v>
      </c>
      <c r="D259" s="62" t="s">
        <v>1881</v>
      </c>
      <c r="E259" s="62" t="s">
        <v>1874</v>
      </c>
      <c r="F259" s="62" t="s">
        <v>43</v>
      </c>
    </row>
    <row r="260" spans="1:6" ht="31.5" x14ac:dyDescent="0.15">
      <c r="B260" s="59" t="s">
        <v>1018</v>
      </c>
      <c r="C260" s="62" t="s">
        <v>44</v>
      </c>
      <c r="D260" s="62" t="s">
        <v>1882</v>
      </c>
      <c r="E260" s="62" t="s">
        <v>1875</v>
      </c>
      <c r="F260" s="62" t="s">
        <v>44</v>
      </c>
    </row>
    <row r="261" spans="1:6" ht="31.5" x14ac:dyDescent="0.15">
      <c r="B261" s="59" t="s">
        <v>1019</v>
      </c>
      <c r="C261" s="62" t="s">
        <v>45</v>
      </c>
      <c r="D261" s="62" t="s">
        <v>1883</v>
      </c>
      <c r="E261" s="62" t="s">
        <v>1876</v>
      </c>
      <c r="F261" s="62" t="s">
        <v>45</v>
      </c>
    </row>
    <row r="262" spans="1:6" ht="31.5" x14ac:dyDescent="0.15">
      <c r="B262" s="59" t="s">
        <v>1020</v>
      </c>
      <c r="C262" s="62" t="s">
        <v>1403</v>
      </c>
      <c r="D262" s="62" t="s">
        <v>1884</v>
      </c>
      <c r="E262" s="62" t="s">
        <v>1877</v>
      </c>
      <c r="F262" s="62" t="s">
        <v>325</v>
      </c>
    </row>
    <row r="263" spans="1:6" ht="31.5" x14ac:dyDescent="0.15">
      <c r="B263" s="59" t="s">
        <v>1021</v>
      </c>
      <c r="C263" s="62" t="s">
        <v>326</v>
      </c>
      <c r="D263" s="62" t="s">
        <v>1885</v>
      </c>
      <c r="E263" s="62" t="s">
        <v>1878</v>
      </c>
      <c r="F263" s="62" t="s">
        <v>326</v>
      </c>
    </row>
    <row r="264" spans="1:6" ht="31.5" x14ac:dyDescent="0.15">
      <c r="B264" s="59" t="s">
        <v>1022</v>
      </c>
      <c r="C264" s="62" t="s">
        <v>327</v>
      </c>
      <c r="D264" s="62" t="s">
        <v>1886</v>
      </c>
      <c r="E264" s="62" t="s">
        <v>1879</v>
      </c>
      <c r="F264" s="62" t="s">
        <v>327</v>
      </c>
    </row>
    <row r="266" spans="1:6" x14ac:dyDescent="0.15">
      <c r="A266" s="18" t="s">
        <v>1749</v>
      </c>
    </row>
    <row r="267" spans="1:6" x14ac:dyDescent="0.15">
      <c r="B267" s="58" t="s">
        <v>310</v>
      </c>
      <c r="C267" s="58" t="s">
        <v>557</v>
      </c>
      <c r="D267" s="58" t="s">
        <v>1433</v>
      </c>
      <c r="E267" s="58" t="s">
        <v>1434</v>
      </c>
      <c r="F267" s="58" t="s">
        <v>1435</v>
      </c>
    </row>
    <row r="268" spans="1:6" x14ac:dyDescent="0.15">
      <c r="B268" s="83"/>
      <c r="C268" s="84" t="s">
        <v>1405</v>
      </c>
      <c r="D268" s="84" t="s">
        <v>1405</v>
      </c>
      <c r="E268" s="84" t="s">
        <v>1405</v>
      </c>
      <c r="F268" s="84" t="s">
        <v>1104</v>
      </c>
    </row>
    <row r="269" spans="1:6" x14ac:dyDescent="0.15">
      <c r="B269" s="59" t="s">
        <v>611</v>
      </c>
      <c r="C269" s="57" t="s">
        <v>1289</v>
      </c>
      <c r="D269" s="62" t="s">
        <v>1681</v>
      </c>
      <c r="E269" s="62" t="s">
        <v>1108</v>
      </c>
      <c r="F269" s="62" t="s">
        <v>1105</v>
      </c>
    </row>
    <row r="270" spans="1:6" ht="31.5" x14ac:dyDescent="0.15">
      <c r="B270" s="59" t="s">
        <v>612</v>
      </c>
      <c r="C270" s="57" t="s">
        <v>1290</v>
      </c>
      <c r="D270" s="62" t="s">
        <v>1682</v>
      </c>
      <c r="E270" s="62" t="s">
        <v>1109</v>
      </c>
      <c r="F270" s="62" t="s">
        <v>1106</v>
      </c>
    </row>
    <row r="271" spans="1:6" ht="31.5" x14ac:dyDescent="0.15">
      <c r="B271" s="59" t="s">
        <v>613</v>
      </c>
      <c r="C271" s="57" t="s">
        <v>1432</v>
      </c>
      <c r="D271" s="62" t="s">
        <v>1683</v>
      </c>
      <c r="E271" s="62" t="s">
        <v>1110</v>
      </c>
      <c r="F271" s="62" t="s">
        <v>1107</v>
      </c>
    </row>
    <row r="272" spans="1:6" x14ac:dyDescent="0.15">
      <c r="B272" s="59" t="s">
        <v>614</v>
      </c>
      <c r="C272" s="57" t="s">
        <v>1288</v>
      </c>
      <c r="D272" s="62" t="s">
        <v>156</v>
      </c>
      <c r="E272" s="62" t="s">
        <v>1164</v>
      </c>
      <c r="F272" s="62" t="s">
        <v>1111</v>
      </c>
    </row>
    <row r="274" spans="1:6" x14ac:dyDescent="0.15">
      <c r="A274" s="18" t="s">
        <v>1406</v>
      </c>
    </row>
    <row r="275" spans="1:6" x14ac:dyDescent="0.15">
      <c r="B275" s="58" t="s">
        <v>310</v>
      </c>
      <c r="C275" s="58" t="s">
        <v>557</v>
      </c>
      <c r="D275" s="58" t="s">
        <v>1433</v>
      </c>
      <c r="E275" s="58" t="s">
        <v>1434</v>
      </c>
      <c r="F275" s="58" t="s">
        <v>1435</v>
      </c>
    </row>
    <row r="276" spans="1:6" x14ac:dyDescent="0.15">
      <c r="B276" s="83"/>
      <c r="C276" s="88" t="s">
        <v>1286</v>
      </c>
      <c r="D276" s="87" t="s">
        <v>565</v>
      </c>
      <c r="E276" s="83" t="s">
        <v>949</v>
      </c>
      <c r="F276" s="83" t="s">
        <v>579</v>
      </c>
    </row>
    <row r="277" spans="1:6" x14ac:dyDescent="0.15">
      <c r="B277" s="59" t="s">
        <v>615</v>
      </c>
      <c r="C277" s="61" t="s">
        <v>1887</v>
      </c>
      <c r="D277" s="61" t="s">
        <v>1888</v>
      </c>
      <c r="E277" s="60"/>
      <c r="F277" s="60" t="s">
        <v>437</v>
      </c>
    </row>
    <row r="278" spans="1:6" x14ac:dyDescent="0.15">
      <c r="B278" s="59" t="s">
        <v>616</v>
      </c>
      <c r="C278" s="59" t="s">
        <v>1023</v>
      </c>
      <c r="D278" s="59" t="s">
        <v>1023</v>
      </c>
      <c r="E278" s="59"/>
      <c r="F278" s="59" t="s">
        <v>655</v>
      </c>
    </row>
    <row r="279" spans="1:6" x14ac:dyDescent="0.15">
      <c r="B279" s="59" t="s">
        <v>617</v>
      </c>
      <c r="C279" s="59" t="s">
        <v>1024</v>
      </c>
      <c r="D279" s="59" t="s">
        <v>1028</v>
      </c>
      <c r="E279" s="59"/>
      <c r="F279" s="59" t="s">
        <v>884</v>
      </c>
    </row>
    <row r="280" spans="1:6" x14ac:dyDescent="0.15">
      <c r="B280" s="59" t="s">
        <v>618</v>
      </c>
      <c r="C280" s="59" t="s">
        <v>1025</v>
      </c>
      <c r="D280" s="59" t="s">
        <v>1067</v>
      </c>
      <c r="E280" s="59"/>
      <c r="F280" s="59" t="s">
        <v>885</v>
      </c>
    </row>
    <row r="281" spans="1:6" x14ac:dyDescent="0.15">
      <c r="B281" s="59" t="s">
        <v>619</v>
      </c>
      <c r="C281" s="59" t="s">
        <v>1026</v>
      </c>
      <c r="D281" s="59" t="s">
        <v>1068</v>
      </c>
      <c r="E281" s="59"/>
      <c r="F281" s="59" t="s">
        <v>886</v>
      </c>
    </row>
    <row r="282" spans="1:6" x14ac:dyDescent="0.15">
      <c r="B282" s="59" t="s">
        <v>620</v>
      </c>
      <c r="C282" s="59" t="s">
        <v>1027</v>
      </c>
      <c r="D282" s="59" t="s">
        <v>1031</v>
      </c>
      <c r="E282" s="59"/>
      <c r="F282" s="59" t="s">
        <v>887</v>
      </c>
    </row>
    <row r="283" spans="1:6" x14ac:dyDescent="0.15">
      <c r="B283" s="59" t="s">
        <v>621</v>
      </c>
      <c r="C283" s="59" t="s">
        <v>1029</v>
      </c>
      <c r="D283" s="59" t="s">
        <v>1029</v>
      </c>
      <c r="E283" s="59"/>
      <c r="F283" s="59" t="s">
        <v>888</v>
      </c>
    </row>
    <row r="284" spans="1:6" x14ac:dyDescent="0.15">
      <c r="B284" s="59" t="s">
        <v>622</v>
      </c>
      <c r="C284" s="59" t="s">
        <v>1030</v>
      </c>
      <c r="D284" s="59" t="s">
        <v>1030</v>
      </c>
      <c r="E284" s="59"/>
      <c r="F284" s="59" t="s">
        <v>903</v>
      </c>
    </row>
    <row r="285" spans="1:6" x14ac:dyDescent="0.15">
      <c r="B285" s="59" t="s">
        <v>623</v>
      </c>
      <c r="C285" s="59" t="s">
        <v>1090</v>
      </c>
      <c r="D285" s="59" t="s">
        <v>1090</v>
      </c>
      <c r="E285" s="59"/>
      <c r="F285" s="59" t="s">
        <v>889</v>
      </c>
    </row>
    <row r="286" spans="1:6" x14ac:dyDescent="0.15">
      <c r="B286" s="59" t="s">
        <v>624</v>
      </c>
      <c r="C286" s="59" t="s">
        <v>1070</v>
      </c>
      <c r="D286" s="59" t="s">
        <v>1069</v>
      </c>
      <c r="E286" s="59"/>
      <c r="F286" s="59" t="s">
        <v>890</v>
      </c>
    </row>
    <row r="287" spans="1:6" x14ac:dyDescent="0.15">
      <c r="B287" s="59" t="s">
        <v>625</v>
      </c>
      <c r="C287" s="59" t="s">
        <v>1032</v>
      </c>
      <c r="D287" s="59" t="s">
        <v>1032</v>
      </c>
      <c r="E287" s="59"/>
      <c r="F287" s="59" t="s">
        <v>891</v>
      </c>
    </row>
    <row r="288" spans="1:6" x14ac:dyDescent="0.15">
      <c r="B288" s="59" t="s">
        <v>626</v>
      </c>
      <c r="C288" s="59" t="s">
        <v>1033</v>
      </c>
      <c r="D288" s="59" t="s">
        <v>1033</v>
      </c>
      <c r="E288" s="59"/>
      <c r="F288" s="59" t="s">
        <v>892</v>
      </c>
    </row>
    <row r="289" spans="2:6" x14ac:dyDescent="0.15">
      <c r="B289" s="59" t="s">
        <v>627</v>
      </c>
      <c r="C289" s="59" t="s">
        <v>1034</v>
      </c>
      <c r="D289" s="59" t="s">
        <v>1034</v>
      </c>
      <c r="E289" s="60"/>
      <c r="F289" s="60" t="s">
        <v>877</v>
      </c>
    </row>
    <row r="290" spans="2:6" x14ac:dyDescent="0.15">
      <c r="B290" s="59" t="s">
        <v>628</v>
      </c>
      <c r="C290" s="60" t="s">
        <v>1035</v>
      </c>
      <c r="D290" s="60" t="s">
        <v>1035</v>
      </c>
      <c r="E290" s="60"/>
      <c r="F290" s="60" t="s">
        <v>878</v>
      </c>
    </row>
    <row r="291" spans="2:6" x14ac:dyDescent="0.15">
      <c r="B291" s="59" t="s">
        <v>629</v>
      </c>
      <c r="C291" s="60" t="s">
        <v>1036</v>
      </c>
      <c r="D291" s="60" t="s">
        <v>1036</v>
      </c>
      <c r="E291" s="60"/>
      <c r="F291" s="60" t="s">
        <v>893</v>
      </c>
    </row>
    <row r="292" spans="2:6" x14ac:dyDescent="0.15">
      <c r="B292" s="59" t="s">
        <v>630</v>
      </c>
      <c r="C292" s="60" t="s">
        <v>908</v>
      </c>
      <c r="D292" s="60" t="s">
        <v>908</v>
      </c>
      <c r="E292" s="60"/>
      <c r="F292" s="60" t="s">
        <v>894</v>
      </c>
    </row>
    <row r="293" spans="2:6" x14ac:dyDescent="0.15">
      <c r="B293" s="59" t="s">
        <v>631</v>
      </c>
      <c r="C293" s="60" t="s">
        <v>43</v>
      </c>
      <c r="D293" s="60" t="s">
        <v>43</v>
      </c>
      <c r="E293" s="60"/>
      <c r="F293" s="60" t="s">
        <v>43</v>
      </c>
    </row>
    <row r="294" spans="2:6" x14ac:dyDescent="0.15">
      <c r="B294" s="59" t="s">
        <v>632</v>
      </c>
      <c r="C294" s="60" t="s">
        <v>44</v>
      </c>
      <c r="D294" s="60" t="s">
        <v>44</v>
      </c>
      <c r="E294" s="60"/>
      <c r="F294" s="60" t="s">
        <v>44</v>
      </c>
    </row>
    <row r="295" spans="2:6" ht="13.5" customHeight="1" x14ac:dyDescent="0.15">
      <c r="B295" s="58" t="s">
        <v>310</v>
      </c>
      <c r="C295" s="58" t="s">
        <v>557</v>
      </c>
      <c r="D295" s="58" t="s">
        <v>1433</v>
      </c>
      <c r="E295" s="58" t="s">
        <v>1434</v>
      </c>
      <c r="F295" s="58" t="s">
        <v>1435</v>
      </c>
    </row>
    <row r="296" spans="2:6" ht="13.5" customHeight="1" x14ac:dyDescent="0.15">
      <c r="B296" s="84"/>
      <c r="C296" s="89" t="s">
        <v>1038</v>
      </c>
      <c r="D296" s="84"/>
      <c r="E296" s="84"/>
      <c r="F296" s="84"/>
    </row>
    <row r="297" spans="2:6" x14ac:dyDescent="0.15">
      <c r="B297" s="59" t="s">
        <v>615</v>
      </c>
      <c r="C297" s="80" t="s">
        <v>1037</v>
      </c>
      <c r="D297" s="61"/>
      <c r="E297" s="60"/>
      <c r="F297" s="60"/>
    </row>
    <row r="298" spans="2:6" x14ac:dyDescent="0.15">
      <c r="B298" s="59" t="s">
        <v>616</v>
      </c>
      <c r="C298" s="59" t="s">
        <v>1039</v>
      </c>
      <c r="D298" s="59"/>
      <c r="E298" s="59"/>
      <c r="F298" s="59"/>
    </row>
    <row r="299" spans="2:6" x14ac:dyDescent="0.15">
      <c r="B299" s="59" t="s">
        <v>617</v>
      </c>
      <c r="C299" s="59" t="s">
        <v>1040</v>
      </c>
      <c r="D299" s="59"/>
      <c r="E299" s="59"/>
      <c r="F299" s="59"/>
    </row>
    <row r="300" spans="2:6" x14ac:dyDescent="0.15">
      <c r="B300" s="59" t="s">
        <v>618</v>
      </c>
      <c r="C300" s="59" t="s">
        <v>1041</v>
      </c>
      <c r="D300" s="59"/>
      <c r="E300" s="59"/>
      <c r="F300" s="59"/>
    </row>
    <row r="301" spans="2:6" x14ac:dyDescent="0.15">
      <c r="B301" s="59" t="s">
        <v>619</v>
      </c>
      <c r="C301" s="59" t="s">
        <v>1042</v>
      </c>
      <c r="D301" s="59"/>
      <c r="E301" s="59"/>
      <c r="F301" s="59"/>
    </row>
    <row r="302" spans="2:6" x14ac:dyDescent="0.15">
      <c r="B302" s="59" t="s">
        <v>620</v>
      </c>
      <c r="C302" s="59" t="s">
        <v>1043</v>
      </c>
      <c r="D302" s="59"/>
      <c r="E302" s="59"/>
      <c r="F302" s="59"/>
    </row>
    <row r="303" spans="2:6" x14ac:dyDescent="0.15">
      <c r="B303" s="59" t="s">
        <v>621</v>
      </c>
      <c r="C303" s="59" t="s">
        <v>1044</v>
      </c>
      <c r="D303" s="59"/>
      <c r="E303" s="59"/>
      <c r="F303" s="59"/>
    </row>
    <row r="304" spans="2:6" x14ac:dyDescent="0.15">
      <c r="B304" s="59" t="s">
        <v>622</v>
      </c>
      <c r="C304" s="59" t="s">
        <v>1045</v>
      </c>
      <c r="D304" s="59"/>
      <c r="E304" s="59"/>
      <c r="F304" s="59"/>
    </row>
    <row r="305" spans="1:6" x14ac:dyDescent="0.15">
      <c r="B305" s="59" t="s">
        <v>623</v>
      </c>
      <c r="C305" s="59" t="s">
        <v>1046</v>
      </c>
      <c r="D305" s="59"/>
      <c r="E305" s="59"/>
      <c r="F305" s="59"/>
    </row>
    <row r="306" spans="1:6" x14ac:dyDescent="0.15">
      <c r="B306" s="59" t="s">
        <v>624</v>
      </c>
      <c r="C306" s="59" t="s">
        <v>1047</v>
      </c>
      <c r="D306" s="59"/>
      <c r="E306" s="59"/>
      <c r="F306" s="59"/>
    </row>
    <row r="307" spans="1:6" x14ac:dyDescent="0.15">
      <c r="B307" s="59" t="s">
        <v>625</v>
      </c>
      <c r="C307" s="59" t="s">
        <v>895</v>
      </c>
      <c r="D307" s="59"/>
      <c r="E307" s="59"/>
      <c r="F307" s="59"/>
    </row>
    <row r="308" spans="1:6" x14ac:dyDescent="0.15">
      <c r="B308" s="59" t="s">
        <v>626</v>
      </c>
      <c r="C308" s="59" t="s">
        <v>896</v>
      </c>
      <c r="D308" s="59"/>
      <c r="E308" s="59"/>
      <c r="F308" s="59"/>
    </row>
    <row r="309" spans="1:6" x14ac:dyDescent="0.15">
      <c r="B309" s="59" t="s">
        <v>627</v>
      </c>
      <c r="C309" s="59" t="s">
        <v>897</v>
      </c>
      <c r="D309" s="59"/>
      <c r="E309" s="60"/>
      <c r="F309" s="60"/>
    </row>
    <row r="310" spans="1:6" x14ac:dyDescent="0.15">
      <c r="B310" s="59" t="s">
        <v>628</v>
      </c>
      <c r="C310" s="59" t="s">
        <v>898</v>
      </c>
      <c r="D310" s="60"/>
      <c r="E310" s="60"/>
      <c r="F310" s="60"/>
    </row>
    <row r="311" spans="1:6" x14ac:dyDescent="0.15">
      <c r="B311" s="59" t="s">
        <v>629</v>
      </c>
      <c r="C311" s="59" t="s">
        <v>899</v>
      </c>
      <c r="D311" s="60"/>
      <c r="E311" s="60"/>
      <c r="F311" s="60"/>
    </row>
    <row r="312" spans="1:6" x14ac:dyDescent="0.15">
      <c r="B312" s="59" t="s">
        <v>630</v>
      </c>
      <c r="C312" s="59" t="s">
        <v>900</v>
      </c>
      <c r="D312" s="60"/>
      <c r="E312" s="60"/>
      <c r="F312" s="60"/>
    </row>
    <row r="313" spans="1:6" x14ac:dyDescent="0.15">
      <c r="B313" s="59" t="s">
        <v>631</v>
      </c>
      <c r="C313" s="59" t="s">
        <v>901</v>
      </c>
      <c r="D313" s="60"/>
      <c r="E313" s="60"/>
      <c r="F313" s="60"/>
    </row>
    <row r="314" spans="1:6" x14ac:dyDescent="0.15">
      <c r="B314" s="59" t="s">
        <v>632</v>
      </c>
      <c r="C314" s="59" t="s">
        <v>902</v>
      </c>
      <c r="D314" s="60"/>
      <c r="E314" s="60"/>
      <c r="F314" s="60"/>
    </row>
    <row r="315" spans="1:6" ht="13.5" customHeight="1" x14ac:dyDescent="0.15"/>
    <row r="316" spans="1:6" x14ac:dyDescent="0.15">
      <c r="A316" s="18" t="s">
        <v>1065</v>
      </c>
    </row>
    <row r="317" spans="1:6" x14ac:dyDescent="0.15">
      <c r="B317" s="58" t="s">
        <v>310</v>
      </c>
      <c r="C317" s="58" t="s">
        <v>557</v>
      </c>
      <c r="D317" s="58" t="s">
        <v>1433</v>
      </c>
      <c r="E317" s="58" t="s">
        <v>1434</v>
      </c>
      <c r="F317" s="58" t="s">
        <v>1435</v>
      </c>
    </row>
    <row r="318" spans="1:6" x14ac:dyDescent="0.15">
      <c r="B318" s="83"/>
      <c r="C318" s="83" t="s">
        <v>1066</v>
      </c>
      <c r="D318" s="83"/>
      <c r="E318" s="83"/>
      <c r="F318" s="83"/>
    </row>
    <row r="319" spans="1:6" ht="13.5" customHeight="1" x14ac:dyDescent="0.15">
      <c r="B319" s="59" t="s">
        <v>633</v>
      </c>
      <c r="C319" s="60" t="s">
        <v>50</v>
      </c>
      <c r="D319" s="60" t="s">
        <v>484</v>
      </c>
      <c r="E319" s="60" t="s">
        <v>50</v>
      </c>
      <c r="F319" s="60" t="s">
        <v>50</v>
      </c>
    </row>
    <row r="320" spans="1:6" x14ac:dyDescent="0.15">
      <c r="B320" s="59" t="s">
        <v>634</v>
      </c>
      <c r="C320" s="59" t="s">
        <v>1856</v>
      </c>
      <c r="D320" s="59" t="s">
        <v>438</v>
      </c>
      <c r="E320" s="59" t="s">
        <v>1856</v>
      </c>
      <c r="F320" s="59" t="s">
        <v>1856</v>
      </c>
    </row>
    <row r="322" spans="1:6" x14ac:dyDescent="0.15">
      <c r="A322" s="18" t="s">
        <v>640</v>
      </c>
    </row>
    <row r="323" spans="1:6" x14ac:dyDescent="0.15">
      <c r="B323" s="58" t="s">
        <v>310</v>
      </c>
      <c r="C323" s="58" t="s">
        <v>557</v>
      </c>
      <c r="D323" s="58" t="s">
        <v>1433</v>
      </c>
      <c r="E323" s="58" t="s">
        <v>1434</v>
      </c>
      <c r="F323" s="58" t="s">
        <v>1435</v>
      </c>
    </row>
    <row r="324" spans="1:6" x14ac:dyDescent="0.15">
      <c r="B324" s="83"/>
      <c r="C324" s="83" t="s">
        <v>581</v>
      </c>
      <c r="D324" s="83" t="s">
        <v>580</v>
      </c>
      <c r="E324" s="83"/>
      <c r="F324" s="83" t="s">
        <v>581</v>
      </c>
    </row>
    <row r="325" spans="1:6" ht="13.5" customHeight="1" x14ac:dyDescent="0.15">
      <c r="B325" s="59" t="s">
        <v>635</v>
      </c>
      <c r="C325" s="59" t="s">
        <v>1048</v>
      </c>
      <c r="D325" s="59" t="s">
        <v>165</v>
      </c>
      <c r="E325" s="59" t="s">
        <v>1048</v>
      </c>
      <c r="F325" s="59" t="s">
        <v>167</v>
      </c>
    </row>
    <row r="326" spans="1:6" ht="13.5" customHeight="1" x14ac:dyDescent="0.15">
      <c r="B326" s="59" t="s">
        <v>636</v>
      </c>
      <c r="C326" s="59" t="s">
        <v>1050</v>
      </c>
      <c r="D326" s="59" t="s">
        <v>166</v>
      </c>
      <c r="E326" s="59" t="s">
        <v>1050</v>
      </c>
      <c r="F326" s="59" t="s">
        <v>309</v>
      </c>
    </row>
    <row r="327" spans="1:6" ht="13.5" customHeight="1" x14ac:dyDescent="0.15">
      <c r="B327" s="59" t="s">
        <v>551</v>
      </c>
      <c r="C327" s="59" t="s">
        <v>1049</v>
      </c>
      <c r="D327" s="59" t="s">
        <v>165</v>
      </c>
      <c r="E327" s="59" t="s">
        <v>1049</v>
      </c>
      <c r="F327" s="59" t="s">
        <v>167</v>
      </c>
    </row>
    <row r="328" spans="1:6" ht="13.5" customHeight="1" x14ac:dyDescent="0.15">
      <c r="B328" s="59" t="s">
        <v>637</v>
      </c>
      <c r="C328" s="59" t="s">
        <v>1050</v>
      </c>
      <c r="D328" s="59" t="s">
        <v>166</v>
      </c>
      <c r="E328" s="59" t="s">
        <v>1050</v>
      </c>
      <c r="F328" s="59" t="s">
        <v>309</v>
      </c>
    </row>
    <row r="330" spans="1:6" x14ac:dyDescent="0.15">
      <c r="A330" s="18" t="s">
        <v>1291</v>
      </c>
    </row>
    <row r="331" spans="1:6" x14ac:dyDescent="0.15">
      <c r="B331" s="58" t="s">
        <v>310</v>
      </c>
      <c r="C331" s="58" t="s">
        <v>557</v>
      </c>
      <c r="D331" s="58" t="s">
        <v>1433</v>
      </c>
      <c r="E331" s="58" t="s">
        <v>1434</v>
      </c>
      <c r="F331" s="58" t="s">
        <v>1435</v>
      </c>
    </row>
    <row r="332" spans="1:6" x14ac:dyDescent="0.15">
      <c r="B332" s="84"/>
      <c r="C332" s="84" t="s">
        <v>1292</v>
      </c>
      <c r="D332" s="85"/>
      <c r="E332" s="84"/>
      <c r="F332" s="84"/>
    </row>
    <row r="333" spans="1:6" x14ac:dyDescent="0.15">
      <c r="B333" s="59" t="s">
        <v>1293</v>
      </c>
      <c r="C333" s="59" t="s">
        <v>1039</v>
      </c>
      <c r="D333" s="59"/>
      <c r="E333" s="59"/>
      <c r="F333" s="59"/>
    </row>
    <row r="334" spans="1:6" x14ac:dyDescent="0.15">
      <c r="B334" s="59" t="s">
        <v>1294</v>
      </c>
      <c r="C334" s="59" t="s">
        <v>1040</v>
      </c>
      <c r="D334" s="59"/>
      <c r="E334" s="59"/>
      <c r="F334" s="59"/>
    </row>
    <row r="335" spans="1:6" x14ac:dyDescent="0.15">
      <c r="B335" s="59" t="s">
        <v>1295</v>
      </c>
      <c r="C335" s="59" t="s">
        <v>1041</v>
      </c>
      <c r="D335" s="59"/>
      <c r="E335" s="59"/>
      <c r="F335" s="59"/>
    </row>
    <row r="336" spans="1:6" x14ac:dyDescent="0.15">
      <c r="B336" s="59" t="s">
        <v>1296</v>
      </c>
      <c r="C336" s="59" t="s">
        <v>1042</v>
      </c>
      <c r="D336" s="59"/>
      <c r="E336" s="59"/>
      <c r="F336" s="59"/>
    </row>
    <row r="337" spans="2:6" x14ac:dyDescent="0.15">
      <c r="B337" s="59" t="s">
        <v>1297</v>
      </c>
      <c r="C337" s="59" t="s">
        <v>1043</v>
      </c>
      <c r="D337" s="59"/>
      <c r="E337" s="59"/>
      <c r="F337" s="59"/>
    </row>
    <row r="338" spans="2:6" x14ac:dyDescent="0.15">
      <c r="B338" s="59" t="s">
        <v>1298</v>
      </c>
      <c r="C338" s="59" t="s">
        <v>1044</v>
      </c>
      <c r="D338" s="59"/>
      <c r="E338" s="59"/>
      <c r="F338" s="59"/>
    </row>
    <row r="339" spans="2:6" x14ac:dyDescent="0.15">
      <c r="B339" s="59" t="s">
        <v>1299</v>
      </c>
      <c r="C339" s="59" t="s">
        <v>1045</v>
      </c>
      <c r="D339" s="59"/>
      <c r="E339" s="59"/>
      <c r="F339" s="59"/>
    </row>
    <row r="340" spans="2:6" x14ac:dyDescent="0.15">
      <c r="B340" s="59" t="s">
        <v>1300</v>
      </c>
      <c r="C340" s="59" t="s">
        <v>1046</v>
      </c>
      <c r="D340" s="59"/>
      <c r="E340" s="59"/>
      <c r="F340" s="59"/>
    </row>
    <row r="341" spans="2:6" x14ac:dyDescent="0.15">
      <c r="B341" s="59" t="s">
        <v>1301</v>
      </c>
      <c r="C341" s="59" t="s">
        <v>1047</v>
      </c>
      <c r="D341" s="59"/>
      <c r="E341" s="59"/>
      <c r="F341" s="59"/>
    </row>
    <row r="342" spans="2:6" x14ac:dyDescent="0.15">
      <c r="B342" s="59" t="s">
        <v>1302</v>
      </c>
      <c r="C342" s="59" t="s">
        <v>895</v>
      </c>
      <c r="D342" s="59"/>
      <c r="E342" s="59"/>
      <c r="F342" s="59"/>
    </row>
    <row r="343" spans="2:6" x14ac:dyDescent="0.15">
      <c r="B343" s="59" t="s">
        <v>1303</v>
      </c>
      <c r="C343" s="59" t="s">
        <v>896</v>
      </c>
      <c r="D343" s="59"/>
      <c r="E343" s="59"/>
      <c r="F343" s="59"/>
    </row>
    <row r="344" spans="2:6" x14ac:dyDescent="0.15">
      <c r="B344" s="59" t="s">
        <v>1304</v>
      </c>
      <c r="C344" s="59" t="s">
        <v>897</v>
      </c>
      <c r="D344" s="59"/>
      <c r="E344" s="60"/>
      <c r="F344" s="60"/>
    </row>
    <row r="345" spans="2:6" x14ac:dyDescent="0.15">
      <c r="B345" s="59" t="s">
        <v>1305</v>
      </c>
      <c r="C345" s="59" t="s">
        <v>898</v>
      </c>
      <c r="D345" s="60"/>
      <c r="E345" s="60"/>
      <c r="F345" s="60"/>
    </row>
    <row r="346" spans="2:6" x14ac:dyDescent="0.15">
      <c r="B346" s="59" t="s">
        <v>1306</v>
      </c>
      <c r="C346" s="59" t="s">
        <v>899</v>
      </c>
      <c r="D346" s="60"/>
      <c r="E346" s="60"/>
      <c r="F346" s="60"/>
    </row>
    <row r="347" spans="2:6" x14ac:dyDescent="0.15">
      <c r="B347" s="59" t="s">
        <v>1307</v>
      </c>
      <c r="C347" s="59" t="s">
        <v>900</v>
      </c>
      <c r="D347" s="60"/>
      <c r="E347" s="60"/>
      <c r="F347" s="60"/>
    </row>
    <row r="348" spans="2:6" x14ac:dyDescent="0.15">
      <c r="B348" s="59" t="s">
        <v>1308</v>
      </c>
      <c r="C348" s="59" t="s">
        <v>901</v>
      </c>
      <c r="D348" s="60"/>
      <c r="E348" s="60"/>
      <c r="F348" s="60"/>
    </row>
    <row r="349" spans="2:6" x14ac:dyDescent="0.15">
      <c r="B349" s="59" t="s">
        <v>1309</v>
      </c>
      <c r="C349" s="59" t="s">
        <v>902</v>
      </c>
      <c r="D349" s="60"/>
      <c r="E349" s="60"/>
      <c r="F349" s="60"/>
    </row>
  </sheetData>
  <sheetProtection algorithmName="SHA-512" hashValue="VsozA00Dgm3ExvPM67uYw1ZAXKmMNR/562OsD1xRdCZAs/EEoAycQGke9DgTDkKJ/PKXEq3QTqI3CpowPbfvfw==" saltValue="46s9IEA70IXwzfBQoxC3rQ==" spinCount="100000" sheet="1" objects="1" scenarios="1"/>
  <phoneticPr fontId="26"/>
  <printOptions headings="1"/>
  <pageMargins left="0.31496062992125984" right="0.31496062992125984" top="0.74803149606299213" bottom="0.74803149606299213" header="0.31496062992125984" footer="0.31496062992125984"/>
  <pageSetup paperSize="8" scale="49" fitToHeight="4" orientation="portrait" cellComments="asDisplayed"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60</vt:i4>
      </vt:variant>
    </vt:vector>
  </HeadingPairs>
  <TitlesOfParts>
    <vt:vector size="63" baseType="lpstr">
      <vt:lpstr>report</vt:lpstr>
      <vt:lpstr>data</vt:lpstr>
      <vt:lpstr>label</vt:lpstr>
      <vt:lpstr>data_ES_CsvData</vt:lpstr>
      <vt:lpstr>data_ES_Label</vt:lpstr>
      <vt:lpstr>data_GuardLimitFlag</vt:lpstr>
      <vt:lpstr>data_Hcl_CLOCKFREQ</vt:lpstr>
      <vt:lpstr>data_Hcl_CNTFREQ</vt:lpstr>
      <vt:lpstr>data_Hcl_CORE_ByCMG</vt:lpstr>
      <vt:lpstr>data_Hcl_CORE_ByNODE</vt:lpstr>
      <vt:lpstr>data_Hcl_CPUPA_Ver</vt:lpstr>
      <vt:lpstr>data_Hcl_CSV_Ver</vt:lpstr>
      <vt:lpstr>data_Hcl_CSV_Ver_lower</vt:lpstr>
      <vt:lpstr>data_Hcl_CSV_Ver_upper</vt:lpstr>
      <vt:lpstr>data_Hcl_DataSize</vt:lpstr>
      <vt:lpstr>data_Hcl_EFCTFRQ</vt:lpstr>
      <vt:lpstr>data_Hcl_LineSizeOfBus</vt:lpstr>
      <vt:lpstr>data_Hcl_LineSizeOfCache</vt:lpstr>
      <vt:lpstr>data_Hcl_MemBandWidth</vt:lpstr>
      <vt:lpstr>data_Hcl_Predicate_coefficient</vt:lpstr>
      <vt:lpstr>data_Hcl_VectorLength</vt:lpstr>
      <vt:lpstr>data_Hcl_VectorLengthBit</vt:lpstr>
      <vt:lpstr>data_Info_CmgNo</vt:lpstr>
      <vt:lpstr>data_Info_CPU_frequency</vt:lpstr>
      <vt:lpstr>data_Info_Measured_time</vt:lpstr>
      <vt:lpstr>data_Info_Node_name</vt:lpstr>
      <vt:lpstr>data_Info_PsNo</vt:lpstr>
      <vt:lpstr>data_Info_Region</vt:lpstr>
      <vt:lpstr>data_Info_VectorLength</vt:lpstr>
      <vt:lpstr>data_Lang_LangValue</vt:lpstr>
      <vt:lpstr>data_Level_Cache</vt:lpstr>
      <vt:lpstr>data_Level_CycleAccounting</vt:lpstr>
      <vt:lpstr>data_Level_Instruction</vt:lpstr>
      <vt:lpstr>data_MeanTime_MeanTime</vt:lpstr>
      <vt:lpstr>data_Navi_pa1_pa17</vt:lpstr>
      <vt:lpstr>data_VOTime_BaseTime</vt:lpstr>
      <vt:lpstr>data_VOTime_Pa2_17PaName</vt:lpstr>
      <vt:lpstr>data_VOTime_Pa2_Pa17Data</vt:lpstr>
      <vt:lpstr>Label_Balance</vt:lpstr>
      <vt:lpstr>Label_Busy</vt:lpstr>
      <vt:lpstr>Label_Cache</vt:lpstr>
      <vt:lpstr>Label_CMG_Above</vt:lpstr>
      <vt:lpstr>Label_CMG_READ</vt:lpstr>
      <vt:lpstr>Label_CMG_WRITE</vt:lpstr>
      <vt:lpstr>Label_CycleAccExtra</vt:lpstr>
      <vt:lpstr>Label_CycleAccounting</vt:lpstr>
      <vt:lpstr>Label_CycleAccounting_Above</vt:lpstr>
      <vt:lpstr>Label_Extra</vt:lpstr>
      <vt:lpstr>Label_Extra_Above</vt:lpstr>
      <vt:lpstr>Label_Extra_Middle</vt:lpstr>
      <vt:lpstr>Label_Flops</vt:lpstr>
      <vt:lpstr>Label_HardwarePrefetch</vt:lpstr>
      <vt:lpstr>Label_HardwarePrefetch_Above</vt:lpstr>
      <vt:lpstr>Label_Instruction</vt:lpstr>
      <vt:lpstr>Label_Instruction_Above</vt:lpstr>
      <vt:lpstr>Label_Instruction_Middle</vt:lpstr>
      <vt:lpstr>Label_Instruction_Middle2</vt:lpstr>
      <vt:lpstr>Label_MeanTime</vt:lpstr>
      <vt:lpstr>Label_PowerConsumption</vt:lpstr>
      <vt:lpstr>Label_Statistics</vt:lpstr>
      <vt:lpstr>Label_Time</vt:lpstr>
      <vt:lpstr>Label_Time_Short</vt:lpstr>
      <vt:lpstr>report!Print_Area</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Miyoshi, Ikuo/三吉 郁夫</cp:lastModifiedBy>
  <cp:lastPrinted>2020-02-20T01:46:32Z</cp:lastPrinted>
  <dcterms:created xsi:type="dcterms:W3CDTF">2019-09-06T08:20:08Z</dcterms:created>
  <dcterms:modified xsi:type="dcterms:W3CDTF">2023-11-23T05:42:49Z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a7295cc1-d279-42ac-ab4d-3b0f4fece050_Enabled">
    <vt:lpwstr>true</vt:lpwstr>
  </property>
  <property fmtid="{D5CDD505-2E9C-101B-9397-08002B2CF9AE}" pid="3" name="MSIP_Label_a7295cc1-d279-42ac-ab4d-3b0f4fece050_SetDate">
    <vt:lpwstr>2023-11-23T05:42:48Z</vt:lpwstr>
  </property>
  <property fmtid="{D5CDD505-2E9C-101B-9397-08002B2CF9AE}" pid="4" name="MSIP_Label_a7295cc1-d279-42ac-ab4d-3b0f4fece050_Method">
    <vt:lpwstr>Standard</vt:lpwstr>
  </property>
  <property fmtid="{D5CDD505-2E9C-101B-9397-08002B2CF9AE}" pid="5" name="MSIP_Label_a7295cc1-d279-42ac-ab4d-3b0f4fece050_Name">
    <vt:lpwstr>FUJITSU-RESTRICTED​</vt:lpwstr>
  </property>
  <property fmtid="{D5CDD505-2E9C-101B-9397-08002B2CF9AE}" pid="6" name="MSIP_Label_a7295cc1-d279-42ac-ab4d-3b0f4fece050_SiteId">
    <vt:lpwstr>a19f121d-81e1-4858-a9d8-736e267fd4c7</vt:lpwstr>
  </property>
  <property fmtid="{D5CDD505-2E9C-101B-9397-08002B2CF9AE}" pid="7" name="MSIP_Label_a7295cc1-d279-42ac-ab4d-3b0f4fece050_ActionId">
    <vt:lpwstr>0d25041d-32b9-4f09-a588-e28f6e911a34</vt:lpwstr>
  </property>
  <property fmtid="{D5CDD505-2E9C-101B-9397-08002B2CF9AE}" pid="8" name="MSIP_Label_a7295cc1-d279-42ac-ab4d-3b0f4fece050_ContentBits">
    <vt:lpwstr>0</vt:lpwstr>
  </property>
</Properties>
</file>